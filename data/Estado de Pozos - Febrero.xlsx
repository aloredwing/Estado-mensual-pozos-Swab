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CNPC_APLX_CAP\RESERVADA\07 BASE DE DATOS\OFM\Archivos de Carga\2024\02 Febrero 2024\"/>
    </mc:Choice>
  </mc:AlternateContent>
  <xr:revisionPtr revIDLastSave="0" documentId="13_ncr:1_{05413AD5-E732-4D57-88A8-86E4CCB0014C}" xr6:coauthVersionLast="47" xr6:coauthVersionMax="47" xr10:uidLastSave="{00000000-0000-0000-0000-000000000000}"/>
  <bookViews>
    <workbookView xWindow="28680" yWindow="-120" windowWidth="29040" windowHeight="15840" tabRatio="762" xr2:uid="{00000000-000D-0000-FFFF-FFFF00000000}"/>
  </bookViews>
  <sheets>
    <sheet name="Febrero" sheetId="104" r:id="rId1"/>
    <sheet name="Enero" sheetId="103" r:id="rId2"/>
  </sheets>
  <definedNames>
    <definedName name="_xlnm._FilterDatabase" localSheetId="1" hidden="1">Enero!$B$2:$H$5822</definedName>
    <definedName name="_xlnm._FilterDatabase" localSheetId="0" hidden="1">Febrero!$B$2:$H$5822</definedName>
  </definedNames>
  <calcPr calcId="191029"/>
  <pivotCaches>
    <pivotCache cacheId="26" r:id="rId3"/>
    <pivotCache cacheId="3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104" l="1"/>
  <c r="S29" i="104"/>
  <c r="S28" i="104"/>
  <c r="S27" i="104"/>
  <c r="S26" i="104"/>
  <c r="S25" i="104"/>
  <c r="S24" i="104"/>
  <c r="S23" i="104"/>
  <c r="S22" i="104"/>
  <c r="S21" i="104"/>
  <c r="S20" i="104"/>
  <c r="S19" i="104"/>
  <c r="S18" i="104"/>
  <c r="S17" i="104"/>
  <c r="S16" i="104"/>
  <c r="S15" i="104"/>
  <c r="S14" i="104"/>
  <c r="S13" i="104"/>
  <c r="S12" i="104"/>
  <c r="S11" i="104"/>
  <c r="S10" i="104"/>
  <c r="S9" i="104"/>
  <c r="S8" i="104"/>
  <c r="S7" i="104"/>
  <c r="S6" i="104"/>
  <c r="S5" i="104"/>
  <c r="S4" i="104"/>
  <c r="G4" i="104"/>
  <c r="G5" i="104"/>
  <c r="G6" i="104"/>
  <c r="G7" i="104"/>
  <c r="G8" i="104"/>
  <c r="G9" i="104"/>
  <c r="G10" i="104"/>
  <c r="G11" i="104"/>
  <c r="G12" i="104"/>
  <c r="G13" i="104"/>
  <c r="G14" i="104"/>
  <c r="G15" i="104"/>
  <c r="G16" i="104"/>
  <c r="G17" i="104"/>
  <c r="G18" i="104"/>
  <c r="G19" i="104"/>
  <c r="G20" i="104"/>
  <c r="G21" i="104"/>
  <c r="G22" i="104"/>
  <c r="G23" i="104"/>
  <c r="G24" i="104"/>
  <c r="G25" i="104"/>
  <c r="G26" i="104"/>
  <c r="G27" i="104"/>
  <c r="G28" i="104"/>
  <c r="G29" i="104"/>
  <c r="G30" i="104"/>
  <c r="G31" i="104"/>
  <c r="G32" i="104"/>
  <c r="G33" i="104"/>
  <c r="G34" i="104"/>
  <c r="G35" i="104"/>
  <c r="G36" i="104"/>
  <c r="G37" i="104"/>
  <c r="G38" i="104"/>
  <c r="G39" i="104"/>
  <c r="G40" i="104"/>
  <c r="G41" i="104"/>
  <c r="G42" i="104"/>
  <c r="G43" i="104"/>
  <c r="G44" i="104"/>
  <c r="G45" i="104"/>
  <c r="G46" i="104"/>
  <c r="G47" i="104"/>
  <c r="G48" i="104"/>
  <c r="G49" i="104"/>
  <c r="G50" i="104"/>
  <c r="G51" i="104"/>
  <c r="G52" i="104"/>
  <c r="G53" i="104"/>
  <c r="G54" i="104"/>
  <c r="G55" i="104"/>
  <c r="G56" i="104"/>
  <c r="G57" i="104"/>
  <c r="G58" i="104"/>
  <c r="G59" i="104"/>
  <c r="G60" i="104"/>
  <c r="G61" i="104"/>
  <c r="G62" i="104"/>
  <c r="G63" i="104"/>
  <c r="G64" i="104"/>
  <c r="G65" i="104"/>
  <c r="G66" i="104"/>
  <c r="G67" i="104"/>
  <c r="G68" i="104"/>
  <c r="G69" i="104"/>
  <c r="G70" i="104"/>
  <c r="G71" i="104"/>
  <c r="G72" i="104"/>
  <c r="G73" i="104"/>
  <c r="G74" i="104"/>
  <c r="G75" i="104"/>
  <c r="G76" i="104"/>
  <c r="G77" i="104"/>
  <c r="G78" i="104"/>
  <c r="G79" i="104"/>
  <c r="G80" i="104"/>
  <c r="G81" i="104"/>
  <c r="G82" i="104"/>
  <c r="G83" i="104"/>
  <c r="G84" i="104"/>
  <c r="G85" i="104"/>
  <c r="G86" i="104"/>
  <c r="G87" i="104"/>
  <c r="G88" i="104"/>
  <c r="G89" i="104"/>
  <c r="G90" i="104"/>
  <c r="G91" i="104"/>
  <c r="G92" i="104"/>
  <c r="G93" i="104"/>
  <c r="G94" i="104"/>
  <c r="G95" i="104"/>
  <c r="G96" i="104"/>
  <c r="G97" i="104"/>
  <c r="G98" i="104"/>
  <c r="G99" i="104"/>
  <c r="G100" i="104"/>
  <c r="G101" i="104"/>
  <c r="G102" i="104"/>
  <c r="G103" i="104"/>
  <c r="G104" i="104"/>
  <c r="G105" i="104"/>
  <c r="G106" i="104"/>
  <c r="G107" i="104"/>
  <c r="G108" i="104"/>
  <c r="G109" i="104"/>
  <c r="G110" i="104"/>
  <c r="G111" i="104"/>
  <c r="G112" i="104"/>
  <c r="G113" i="104"/>
  <c r="G114" i="104"/>
  <c r="G115" i="104"/>
  <c r="G116" i="104"/>
  <c r="G117" i="104"/>
  <c r="G118" i="104"/>
  <c r="G119" i="104"/>
  <c r="G120" i="104"/>
  <c r="G121" i="104"/>
  <c r="G122" i="104"/>
  <c r="G123" i="104"/>
  <c r="G124" i="104"/>
  <c r="G125" i="104"/>
  <c r="G126" i="104"/>
  <c r="G127" i="104"/>
  <c r="G128" i="104"/>
  <c r="G129" i="104"/>
  <c r="G130" i="104"/>
  <c r="G131" i="104"/>
  <c r="G132" i="104"/>
  <c r="G133" i="104"/>
  <c r="G134" i="104"/>
  <c r="G135" i="104"/>
  <c r="G136" i="104"/>
  <c r="G137" i="104"/>
  <c r="G138" i="104"/>
  <c r="G139" i="104"/>
  <c r="G140" i="104"/>
  <c r="G141" i="104"/>
  <c r="G142" i="104"/>
  <c r="G143" i="104"/>
  <c r="G144" i="104"/>
  <c r="G145" i="104"/>
  <c r="G146" i="104"/>
  <c r="G147" i="104"/>
  <c r="G148" i="104"/>
  <c r="G149" i="104"/>
  <c r="G150" i="104"/>
  <c r="G151" i="104"/>
  <c r="G152" i="104"/>
  <c r="G153" i="104"/>
  <c r="G154" i="104"/>
  <c r="G155" i="104"/>
  <c r="G156" i="104"/>
  <c r="G157" i="104"/>
  <c r="G158" i="104"/>
  <c r="G159" i="104"/>
  <c r="G160" i="104"/>
  <c r="G161" i="104"/>
  <c r="G162" i="104"/>
  <c r="G163" i="104"/>
  <c r="G164" i="104"/>
  <c r="G165" i="104"/>
  <c r="G166" i="104"/>
  <c r="G167" i="104"/>
  <c r="G168" i="104"/>
  <c r="G169" i="104"/>
  <c r="G170" i="104"/>
  <c r="G171" i="104"/>
  <c r="G172" i="104"/>
  <c r="G173" i="104"/>
  <c r="G174" i="104"/>
  <c r="G175" i="104"/>
  <c r="G176" i="104"/>
  <c r="G177" i="104"/>
  <c r="G178" i="104"/>
  <c r="G179" i="104"/>
  <c r="G180" i="104"/>
  <c r="G181" i="104"/>
  <c r="G182" i="104"/>
  <c r="G183" i="104"/>
  <c r="G184" i="104"/>
  <c r="G185" i="104"/>
  <c r="G186" i="104"/>
  <c r="G187" i="104"/>
  <c r="G188" i="104"/>
  <c r="G189" i="104"/>
  <c r="G190" i="104"/>
  <c r="G191" i="104"/>
  <c r="G192" i="104"/>
  <c r="G193" i="104"/>
  <c r="G194" i="104"/>
  <c r="G195" i="104"/>
  <c r="G196" i="104"/>
  <c r="G197" i="104"/>
  <c r="G198" i="104"/>
  <c r="G199" i="104"/>
  <c r="G200" i="104"/>
  <c r="G201" i="104"/>
  <c r="G202" i="104"/>
  <c r="G203" i="104"/>
  <c r="G204" i="104"/>
  <c r="G205" i="104"/>
  <c r="G206" i="104"/>
  <c r="G207" i="104"/>
  <c r="G208" i="104"/>
  <c r="G209" i="104"/>
  <c r="G210" i="104"/>
  <c r="G211" i="104"/>
  <c r="G212" i="104"/>
  <c r="G213" i="104"/>
  <c r="G214" i="104"/>
  <c r="G215" i="104"/>
  <c r="G216" i="104"/>
  <c r="G217" i="104"/>
  <c r="G218" i="104"/>
  <c r="G219" i="104"/>
  <c r="G220" i="104"/>
  <c r="G221" i="104"/>
  <c r="G222" i="104"/>
  <c r="G223" i="104"/>
  <c r="G224" i="104"/>
  <c r="G225" i="104"/>
  <c r="G226" i="104"/>
  <c r="G227" i="104"/>
  <c r="G228" i="104"/>
  <c r="G229" i="104"/>
  <c r="G230" i="104"/>
  <c r="G231" i="104"/>
  <c r="G232" i="104"/>
  <c r="G233" i="104"/>
  <c r="G234" i="104"/>
  <c r="G235" i="104"/>
  <c r="G236" i="104"/>
  <c r="G237" i="104"/>
  <c r="G238" i="104"/>
  <c r="G239" i="104"/>
  <c r="G240" i="104"/>
  <c r="G241" i="104"/>
  <c r="G242" i="104"/>
  <c r="G243" i="104"/>
  <c r="G244" i="104"/>
  <c r="G245" i="104"/>
  <c r="G246" i="104"/>
  <c r="G247" i="104"/>
  <c r="G248" i="104"/>
  <c r="G249" i="104"/>
  <c r="G250" i="104"/>
  <c r="G251" i="104"/>
  <c r="G252" i="104"/>
  <c r="G253" i="104"/>
  <c r="G254" i="104"/>
  <c r="G255" i="104"/>
  <c r="G256" i="104"/>
  <c r="G257" i="104"/>
  <c r="G258" i="104"/>
  <c r="G259" i="104"/>
  <c r="G260" i="104"/>
  <c r="G261" i="104"/>
  <c r="G262" i="104"/>
  <c r="G263" i="104"/>
  <c r="G264" i="104"/>
  <c r="G265" i="104"/>
  <c r="G266" i="104"/>
  <c r="G267" i="104"/>
  <c r="G268" i="104"/>
  <c r="G269" i="104"/>
  <c r="G270" i="104"/>
  <c r="G271" i="104"/>
  <c r="G272" i="104"/>
  <c r="G273" i="104"/>
  <c r="G274" i="104"/>
  <c r="G275" i="104"/>
  <c r="G276" i="104"/>
  <c r="G277" i="104"/>
  <c r="G278" i="104"/>
  <c r="G279" i="104"/>
  <c r="G280" i="104"/>
  <c r="G281" i="104"/>
  <c r="G282" i="104"/>
  <c r="G283" i="104"/>
  <c r="G284" i="104"/>
  <c r="G285" i="104"/>
  <c r="G286" i="104"/>
  <c r="G287" i="104"/>
  <c r="G288" i="104"/>
  <c r="G289" i="104"/>
  <c r="G290" i="104"/>
  <c r="G291" i="104"/>
  <c r="G292" i="104"/>
  <c r="G293" i="104"/>
  <c r="G294" i="104"/>
  <c r="G295" i="104"/>
  <c r="G296" i="104"/>
  <c r="G297" i="104"/>
  <c r="G298" i="104"/>
  <c r="G299" i="104"/>
  <c r="G300" i="104"/>
  <c r="G301" i="104"/>
  <c r="G302" i="104"/>
  <c r="G303" i="104"/>
  <c r="G304" i="104"/>
  <c r="G305" i="104"/>
  <c r="G306" i="104"/>
  <c r="G307" i="104"/>
  <c r="G308" i="104"/>
  <c r="G309" i="104"/>
  <c r="G310" i="104"/>
  <c r="G311" i="104"/>
  <c r="G312" i="104"/>
  <c r="G313" i="104"/>
  <c r="G314" i="104"/>
  <c r="G315" i="104"/>
  <c r="G316" i="104"/>
  <c r="G317" i="104"/>
  <c r="G318" i="104"/>
  <c r="G319" i="104"/>
  <c r="G320" i="104"/>
  <c r="G321" i="104"/>
  <c r="G322" i="104"/>
  <c r="G323" i="104"/>
  <c r="G324" i="104"/>
  <c r="G325" i="104"/>
  <c r="G326" i="104"/>
  <c r="G327" i="104"/>
  <c r="G328" i="104"/>
  <c r="G329" i="104"/>
  <c r="G330" i="104"/>
  <c r="G331" i="104"/>
  <c r="G332" i="104"/>
  <c r="G333" i="104"/>
  <c r="G334" i="104"/>
  <c r="G335" i="104"/>
  <c r="G336" i="104"/>
  <c r="G337" i="104"/>
  <c r="G338" i="104"/>
  <c r="G339" i="104"/>
  <c r="G340" i="104"/>
  <c r="G341" i="104"/>
  <c r="G342" i="104"/>
  <c r="G343" i="104"/>
  <c r="G344" i="104"/>
  <c r="G345" i="104"/>
  <c r="G346" i="104"/>
  <c r="G347" i="104"/>
  <c r="G348" i="104"/>
  <c r="G349" i="104"/>
  <c r="G350" i="104"/>
  <c r="G351" i="104"/>
  <c r="G352" i="104"/>
  <c r="G353" i="104"/>
  <c r="G354" i="104"/>
  <c r="G355" i="104"/>
  <c r="G356" i="104"/>
  <c r="G357" i="104"/>
  <c r="G358" i="104"/>
  <c r="G359" i="104"/>
  <c r="G360" i="104"/>
  <c r="G361" i="104"/>
  <c r="G362" i="104"/>
  <c r="G363" i="104"/>
  <c r="G364" i="104"/>
  <c r="G365" i="104"/>
  <c r="G366" i="104"/>
  <c r="G367" i="104"/>
  <c r="G368" i="104"/>
  <c r="G369" i="104"/>
  <c r="G370" i="104"/>
  <c r="G371" i="104"/>
  <c r="G372" i="104"/>
  <c r="G373" i="104"/>
  <c r="G374" i="104"/>
  <c r="G375" i="104"/>
  <c r="G376" i="104"/>
  <c r="G377" i="104"/>
  <c r="G378" i="104"/>
  <c r="G379" i="104"/>
  <c r="G380" i="104"/>
  <c r="G381" i="104"/>
  <c r="G382" i="104"/>
  <c r="G383" i="104"/>
  <c r="G384" i="104"/>
  <c r="G385" i="104"/>
  <c r="G386" i="104"/>
  <c r="G387" i="104"/>
  <c r="G388" i="104"/>
  <c r="G389" i="104"/>
  <c r="G390" i="104"/>
  <c r="G391" i="104"/>
  <c r="G392" i="104"/>
  <c r="G393" i="104"/>
  <c r="G394" i="104"/>
  <c r="G395" i="104"/>
  <c r="G396" i="104"/>
  <c r="G397" i="104"/>
  <c r="G398" i="104"/>
  <c r="G399" i="104"/>
  <c r="G400" i="104"/>
  <c r="G401" i="104"/>
  <c r="G402" i="104"/>
  <c r="G403" i="104"/>
  <c r="G404" i="104"/>
  <c r="G405" i="104"/>
  <c r="G406" i="104"/>
  <c r="G407" i="104"/>
  <c r="G408" i="104"/>
  <c r="G409" i="104"/>
  <c r="G410" i="104"/>
  <c r="G411" i="104"/>
  <c r="G412" i="104"/>
  <c r="G413" i="104"/>
  <c r="G414" i="104"/>
  <c r="G415" i="104"/>
  <c r="G416" i="104"/>
  <c r="G417" i="104"/>
  <c r="G418" i="104"/>
  <c r="G419" i="104"/>
  <c r="G420" i="104"/>
  <c r="G421" i="104"/>
  <c r="G422" i="104"/>
  <c r="G423" i="104"/>
  <c r="G424" i="104"/>
  <c r="G425" i="104"/>
  <c r="G426" i="104"/>
  <c r="G427" i="104"/>
  <c r="G428" i="104"/>
  <c r="G429" i="104"/>
  <c r="G430" i="104"/>
  <c r="G431" i="104"/>
  <c r="G432" i="104"/>
  <c r="G433" i="104"/>
  <c r="G434" i="104"/>
  <c r="G435" i="104"/>
  <c r="G436" i="104"/>
  <c r="G437" i="104"/>
  <c r="G438" i="104"/>
  <c r="G439" i="104"/>
  <c r="G440" i="104"/>
  <c r="G441" i="104"/>
  <c r="G442" i="104"/>
  <c r="G443" i="104"/>
  <c r="G444" i="104"/>
  <c r="G445" i="104"/>
  <c r="G446" i="104"/>
  <c r="G447" i="104"/>
  <c r="G448" i="104"/>
  <c r="G449" i="104"/>
  <c r="G450" i="104"/>
  <c r="G451" i="104"/>
  <c r="G452" i="104"/>
  <c r="G453" i="104"/>
  <c r="G454" i="104"/>
  <c r="G455" i="104"/>
  <c r="G456" i="104"/>
  <c r="G457" i="104"/>
  <c r="G458" i="104"/>
  <c r="G459" i="104"/>
  <c r="G460" i="104"/>
  <c r="G461" i="104"/>
  <c r="G462" i="104"/>
  <c r="G463" i="104"/>
  <c r="G464" i="104"/>
  <c r="G465" i="104"/>
  <c r="G466" i="104"/>
  <c r="G467" i="104"/>
  <c r="G468" i="104"/>
  <c r="G469" i="104"/>
  <c r="G470" i="104"/>
  <c r="G471" i="104"/>
  <c r="G472" i="104"/>
  <c r="G473" i="104"/>
  <c r="G474" i="104"/>
  <c r="G475" i="104"/>
  <c r="G476" i="104"/>
  <c r="G477" i="104"/>
  <c r="G478" i="104"/>
  <c r="G479" i="104"/>
  <c r="G480" i="104"/>
  <c r="G481" i="104"/>
  <c r="G482" i="104"/>
  <c r="G483" i="104"/>
  <c r="G484" i="104"/>
  <c r="G485" i="104"/>
  <c r="G486" i="104"/>
  <c r="G487" i="104"/>
  <c r="G488" i="104"/>
  <c r="G489" i="104"/>
  <c r="G490" i="104"/>
  <c r="G491" i="104"/>
  <c r="G492" i="104"/>
  <c r="G493" i="104"/>
  <c r="G494" i="104"/>
  <c r="G495" i="104"/>
  <c r="G496" i="104"/>
  <c r="G497" i="104"/>
  <c r="G498" i="104"/>
  <c r="G499" i="104"/>
  <c r="G500" i="104"/>
  <c r="G501" i="104"/>
  <c r="G502" i="104"/>
  <c r="G503" i="104"/>
  <c r="G504" i="104"/>
  <c r="G505" i="104"/>
  <c r="G506" i="104"/>
  <c r="G507" i="104"/>
  <c r="G508" i="104"/>
  <c r="G509" i="104"/>
  <c r="G510" i="104"/>
  <c r="G511" i="104"/>
  <c r="G512" i="104"/>
  <c r="G513" i="104"/>
  <c r="G514" i="104"/>
  <c r="G515" i="104"/>
  <c r="G516" i="104"/>
  <c r="G517" i="104"/>
  <c r="G518" i="104"/>
  <c r="G519" i="104"/>
  <c r="G520" i="104"/>
  <c r="G521" i="104"/>
  <c r="G522" i="104"/>
  <c r="G523" i="104"/>
  <c r="G524" i="104"/>
  <c r="G525" i="104"/>
  <c r="G526" i="104"/>
  <c r="G527" i="104"/>
  <c r="G528" i="104"/>
  <c r="G529" i="104"/>
  <c r="G530" i="104"/>
  <c r="G531" i="104"/>
  <c r="G532" i="104"/>
  <c r="G533" i="104"/>
  <c r="G534" i="104"/>
  <c r="G535" i="104"/>
  <c r="G536" i="104"/>
  <c r="G537" i="104"/>
  <c r="G538" i="104"/>
  <c r="G539" i="104"/>
  <c r="G540" i="104"/>
  <c r="G541" i="104"/>
  <c r="G542" i="104"/>
  <c r="G543" i="104"/>
  <c r="G544" i="104"/>
  <c r="G545" i="104"/>
  <c r="G546" i="104"/>
  <c r="G547" i="104"/>
  <c r="G548" i="104"/>
  <c r="G549" i="104"/>
  <c r="G550" i="104"/>
  <c r="G551" i="104"/>
  <c r="G552" i="104"/>
  <c r="G553" i="104"/>
  <c r="G554" i="104"/>
  <c r="G555" i="104"/>
  <c r="G556" i="104"/>
  <c r="G557" i="104"/>
  <c r="G558" i="104"/>
  <c r="G559" i="104"/>
  <c r="G560" i="104"/>
  <c r="G561" i="104"/>
  <c r="G562" i="104"/>
  <c r="G563" i="104"/>
  <c r="G564" i="104"/>
  <c r="G565" i="104"/>
  <c r="G566" i="104"/>
  <c r="G567" i="104"/>
  <c r="G568" i="104"/>
  <c r="G569" i="104"/>
  <c r="G570" i="104"/>
  <c r="G571" i="104"/>
  <c r="G572" i="104"/>
  <c r="G573" i="104"/>
  <c r="G574" i="104"/>
  <c r="G575" i="104"/>
  <c r="G576" i="104"/>
  <c r="G577" i="104"/>
  <c r="G578" i="104"/>
  <c r="G579" i="104"/>
  <c r="G580" i="104"/>
  <c r="G581" i="104"/>
  <c r="G582" i="104"/>
  <c r="G583" i="104"/>
  <c r="G584" i="104"/>
  <c r="G585" i="104"/>
  <c r="G586" i="104"/>
  <c r="G587" i="104"/>
  <c r="G588" i="104"/>
  <c r="G589" i="104"/>
  <c r="G590" i="104"/>
  <c r="G591" i="104"/>
  <c r="G592" i="104"/>
  <c r="G593" i="104"/>
  <c r="G594" i="104"/>
  <c r="G595" i="104"/>
  <c r="G596" i="104"/>
  <c r="G597" i="104"/>
  <c r="G598" i="104"/>
  <c r="G599" i="104"/>
  <c r="G600" i="104"/>
  <c r="G601" i="104"/>
  <c r="G602" i="104"/>
  <c r="G603" i="104"/>
  <c r="G604" i="104"/>
  <c r="G605" i="104"/>
  <c r="G606" i="104"/>
  <c r="G607" i="104"/>
  <c r="G608" i="104"/>
  <c r="G609" i="104"/>
  <c r="G610" i="104"/>
  <c r="G611" i="104"/>
  <c r="G612" i="104"/>
  <c r="G613" i="104"/>
  <c r="G614" i="104"/>
  <c r="G615" i="104"/>
  <c r="G616" i="104"/>
  <c r="G617" i="104"/>
  <c r="G618" i="104"/>
  <c r="G619" i="104"/>
  <c r="G620" i="104"/>
  <c r="G621" i="104"/>
  <c r="G622" i="104"/>
  <c r="G623" i="104"/>
  <c r="G624" i="104"/>
  <c r="G625" i="104"/>
  <c r="G626" i="104"/>
  <c r="G627" i="104"/>
  <c r="G628" i="104"/>
  <c r="G629" i="104"/>
  <c r="G630" i="104"/>
  <c r="G631" i="104"/>
  <c r="G632" i="104"/>
  <c r="G633" i="104"/>
  <c r="G634" i="104"/>
  <c r="G635" i="104"/>
  <c r="G636" i="104"/>
  <c r="G637" i="104"/>
  <c r="G638" i="104"/>
  <c r="G639" i="104"/>
  <c r="G640" i="104"/>
  <c r="G641" i="104"/>
  <c r="G642" i="104"/>
  <c r="G643" i="104"/>
  <c r="G644" i="104"/>
  <c r="G645" i="104"/>
  <c r="G646" i="104"/>
  <c r="G647" i="104"/>
  <c r="G648" i="104"/>
  <c r="G649" i="104"/>
  <c r="G650" i="104"/>
  <c r="G651" i="104"/>
  <c r="G652" i="104"/>
  <c r="G653" i="104"/>
  <c r="G654" i="104"/>
  <c r="G655" i="104"/>
  <c r="G656" i="104"/>
  <c r="G657" i="104"/>
  <c r="G658" i="104"/>
  <c r="G659" i="104"/>
  <c r="G660" i="104"/>
  <c r="G661" i="104"/>
  <c r="G662" i="104"/>
  <c r="G663" i="104"/>
  <c r="G664" i="104"/>
  <c r="G665" i="104"/>
  <c r="G666" i="104"/>
  <c r="G667" i="104"/>
  <c r="G668" i="104"/>
  <c r="G669" i="104"/>
  <c r="G670" i="104"/>
  <c r="G671" i="104"/>
  <c r="G672" i="104"/>
  <c r="G673" i="104"/>
  <c r="G674" i="104"/>
  <c r="G675" i="104"/>
  <c r="G676" i="104"/>
  <c r="G677" i="104"/>
  <c r="G678" i="104"/>
  <c r="G679" i="104"/>
  <c r="G680" i="104"/>
  <c r="G681" i="104"/>
  <c r="G682" i="104"/>
  <c r="G683" i="104"/>
  <c r="G684" i="104"/>
  <c r="G685" i="104"/>
  <c r="G686" i="104"/>
  <c r="G687" i="104"/>
  <c r="G688" i="104"/>
  <c r="G689" i="104"/>
  <c r="G690" i="104"/>
  <c r="G691" i="104"/>
  <c r="G692" i="104"/>
  <c r="G693" i="104"/>
  <c r="G694" i="104"/>
  <c r="G695" i="104"/>
  <c r="G696" i="104"/>
  <c r="G697" i="104"/>
  <c r="G698" i="104"/>
  <c r="G699" i="104"/>
  <c r="G700" i="104"/>
  <c r="G701" i="104"/>
  <c r="G702" i="104"/>
  <c r="G703" i="104"/>
  <c r="G704" i="104"/>
  <c r="G705" i="104"/>
  <c r="G706" i="104"/>
  <c r="G707" i="104"/>
  <c r="G708" i="104"/>
  <c r="G709" i="104"/>
  <c r="G710" i="104"/>
  <c r="G711" i="104"/>
  <c r="G712" i="104"/>
  <c r="G713" i="104"/>
  <c r="G714" i="104"/>
  <c r="G715" i="104"/>
  <c r="G716" i="104"/>
  <c r="G717" i="104"/>
  <c r="G718" i="104"/>
  <c r="G719" i="104"/>
  <c r="G720" i="104"/>
  <c r="G721" i="104"/>
  <c r="G722" i="104"/>
  <c r="G723" i="104"/>
  <c r="G724" i="104"/>
  <c r="G725" i="104"/>
  <c r="G726" i="104"/>
  <c r="G727" i="104"/>
  <c r="G728" i="104"/>
  <c r="G729" i="104"/>
  <c r="G730" i="104"/>
  <c r="G731" i="104"/>
  <c r="G732" i="104"/>
  <c r="G733" i="104"/>
  <c r="G734" i="104"/>
  <c r="G735" i="104"/>
  <c r="G736" i="104"/>
  <c r="G737" i="104"/>
  <c r="G738" i="104"/>
  <c r="G739" i="104"/>
  <c r="G740" i="104"/>
  <c r="G741" i="104"/>
  <c r="G742" i="104"/>
  <c r="G743" i="104"/>
  <c r="G744" i="104"/>
  <c r="G745" i="104"/>
  <c r="G746" i="104"/>
  <c r="G747" i="104"/>
  <c r="G748" i="104"/>
  <c r="G749" i="104"/>
  <c r="G750" i="104"/>
  <c r="G751" i="104"/>
  <c r="G752" i="104"/>
  <c r="G753" i="104"/>
  <c r="G754" i="104"/>
  <c r="G755" i="104"/>
  <c r="G756" i="104"/>
  <c r="G757" i="104"/>
  <c r="G758" i="104"/>
  <c r="G759" i="104"/>
  <c r="G760" i="104"/>
  <c r="G761" i="104"/>
  <c r="G762" i="104"/>
  <c r="G763" i="104"/>
  <c r="G764" i="104"/>
  <c r="G765" i="104"/>
  <c r="G766" i="104"/>
  <c r="G767" i="104"/>
  <c r="G768" i="104"/>
  <c r="G769" i="104"/>
  <c r="G770" i="104"/>
  <c r="G771" i="104"/>
  <c r="G772" i="104"/>
  <c r="G773" i="104"/>
  <c r="G774" i="104"/>
  <c r="G775" i="104"/>
  <c r="G776" i="104"/>
  <c r="G777" i="104"/>
  <c r="G778" i="104"/>
  <c r="G779" i="104"/>
  <c r="G780" i="104"/>
  <c r="G781" i="104"/>
  <c r="G782" i="104"/>
  <c r="G783" i="104"/>
  <c r="G784" i="104"/>
  <c r="G785" i="104"/>
  <c r="G786" i="104"/>
  <c r="G787" i="104"/>
  <c r="G788" i="104"/>
  <c r="G789" i="104"/>
  <c r="G790" i="104"/>
  <c r="G791" i="104"/>
  <c r="G792" i="104"/>
  <c r="G793" i="104"/>
  <c r="G794" i="104"/>
  <c r="G795" i="104"/>
  <c r="G796" i="104"/>
  <c r="G797" i="104"/>
  <c r="G798" i="104"/>
  <c r="G799" i="104"/>
  <c r="G800" i="104"/>
  <c r="G801" i="104"/>
  <c r="G802" i="104"/>
  <c r="G803" i="104"/>
  <c r="G804" i="104"/>
  <c r="G805" i="104"/>
  <c r="G806" i="104"/>
  <c r="G807" i="104"/>
  <c r="G808" i="104"/>
  <c r="G809" i="104"/>
  <c r="G810" i="104"/>
  <c r="G811" i="104"/>
  <c r="G812" i="104"/>
  <c r="G813" i="104"/>
  <c r="G814" i="104"/>
  <c r="G815" i="104"/>
  <c r="G816" i="104"/>
  <c r="G817" i="104"/>
  <c r="G818" i="104"/>
  <c r="G819" i="104"/>
  <c r="G820" i="104"/>
  <c r="G821" i="104"/>
  <c r="G822" i="104"/>
  <c r="G823" i="104"/>
  <c r="G824" i="104"/>
  <c r="G825" i="104"/>
  <c r="G826" i="104"/>
  <c r="G827" i="104"/>
  <c r="G828" i="104"/>
  <c r="G829" i="104"/>
  <c r="G830" i="104"/>
  <c r="G831" i="104"/>
  <c r="G832" i="104"/>
  <c r="G833" i="104"/>
  <c r="G834" i="104"/>
  <c r="G835" i="104"/>
  <c r="G836" i="104"/>
  <c r="G837" i="104"/>
  <c r="G838" i="104"/>
  <c r="G839" i="104"/>
  <c r="G840" i="104"/>
  <c r="G841" i="104"/>
  <c r="G842" i="104"/>
  <c r="G843" i="104"/>
  <c r="G844" i="104"/>
  <c r="G845" i="104"/>
  <c r="G846" i="104"/>
  <c r="G847" i="104"/>
  <c r="G848" i="104"/>
  <c r="G849" i="104"/>
  <c r="G850" i="104"/>
  <c r="G851" i="104"/>
  <c r="G852" i="104"/>
  <c r="G853" i="104"/>
  <c r="G854" i="104"/>
  <c r="G855" i="104"/>
  <c r="G856" i="104"/>
  <c r="G857" i="104"/>
  <c r="G858" i="104"/>
  <c r="G859" i="104"/>
  <c r="G860" i="104"/>
  <c r="G861" i="104"/>
  <c r="G862" i="104"/>
  <c r="G863" i="104"/>
  <c r="G864" i="104"/>
  <c r="G865" i="104"/>
  <c r="G866" i="104"/>
  <c r="G867" i="104"/>
  <c r="G868" i="104"/>
  <c r="G869" i="104"/>
  <c r="G870" i="104"/>
  <c r="G871" i="104"/>
  <c r="G872" i="104"/>
  <c r="G873" i="104"/>
  <c r="G874" i="104"/>
  <c r="G875" i="104"/>
  <c r="G876" i="104"/>
  <c r="G877" i="104"/>
  <c r="G878" i="104"/>
  <c r="G879" i="104"/>
  <c r="G880" i="104"/>
  <c r="G881" i="104"/>
  <c r="G882" i="104"/>
  <c r="G883" i="104"/>
  <c r="G884" i="104"/>
  <c r="G885" i="104"/>
  <c r="G886" i="104"/>
  <c r="G887" i="104"/>
  <c r="G888" i="104"/>
  <c r="G889" i="104"/>
  <c r="G890" i="104"/>
  <c r="G891" i="104"/>
  <c r="G892" i="104"/>
  <c r="G893" i="104"/>
  <c r="G894" i="104"/>
  <c r="G895" i="104"/>
  <c r="G896" i="104"/>
  <c r="G897" i="104"/>
  <c r="G898" i="104"/>
  <c r="G899" i="104"/>
  <c r="G900" i="104"/>
  <c r="G901" i="104"/>
  <c r="G902" i="104"/>
  <c r="G903" i="104"/>
  <c r="G904" i="104"/>
  <c r="G905" i="104"/>
  <c r="G906" i="104"/>
  <c r="G907" i="104"/>
  <c r="G908" i="104"/>
  <c r="G909" i="104"/>
  <c r="G910" i="104"/>
  <c r="G911" i="104"/>
  <c r="G912" i="104"/>
  <c r="G913" i="104"/>
  <c r="G914" i="104"/>
  <c r="G915" i="104"/>
  <c r="G916" i="104"/>
  <c r="G917" i="104"/>
  <c r="G918" i="104"/>
  <c r="G919" i="104"/>
  <c r="G920" i="104"/>
  <c r="G921" i="104"/>
  <c r="G922" i="104"/>
  <c r="G923" i="104"/>
  <c r="G924" i="104"/>
  <c r="G925" i="104"/>
  <c r="G926" i="104"/>
  <c r="G927" i="104"/>
  <c r="G928" i="104"/>
  <c r="G929" i="104"/>
  <c r="G930" i="104"/>
  <c r="G931" i="104"/>
  <c r="G932" i="104"/>
  <c r="G933" i="104"/>
  <c r="G934" i="104"/>
  <c r="G935" i="104"/>
  <c r="G936" i="104"/>
  <c r="G937" i="104"/>
  <c r="G938" i="104"/>
  <c r="G939" i="104"/>
  <c r="G940" i="104"/>
  <c r="G941" i="104"/>
  <c r="G942" i="104"/>
  <c r="G943" i="104"/>
  <c r="G944" i="104"/>
  <c r="G945" i="104"/>
  <c r="G946" i="104"/>
  <c r="G947" i="104"/>
  <c r="G948" i="104"/>
  <c r="G949" i="104"/>
  <c r="G950" i="104"/>
  <c r="G951" i="104"/>
  <c r="G952" i="104"/>
  <c r="G953" i="104"/>
  <c r="G954" i="104"/>
  <c r="G955" i="104"/>
  <c r="G956" i="104"/>
  <c r="G957" i="104"/>
  <c r="G958" i="104"/>
  <c r="G959" i="104"/>
  <c r="G960" i="104"/>
  <c r="G961" i="104"/>
  <c r="G962" i="104"/>
  <c r="G963" i="104"/>
  <c r="G964" i="104"/>
  <c r="G965" i="104"/>
  <c r="G966" i="104"/>
  <c r="G967" i="104"/>
  <c r="G968" i="104"/>
  <c r="G969" i="104"/>
  <c r="G970" i="104"/>
  <c r="G971" i="104"/>
  <c r="G972" i="104"/>
  <c r="G973" i="104"/>
  <c r="G974" i="104"/>
  <c r="G975" i="104"/>
  <c r="G976" i="104"/>
  <c r="G977" i="104"/>
  <c r="G978" i="104"/>
  <c r="G979" i="104"/>
  <c r="G980" i="104"/>
  <c r="G981" i="104"/>
  <c r="G982" i="104"/>
  <c r="G983" i="104"/>
  <c r="G984" i="104"/>
  <c r="G985" i="104"/>
  <c r="G986" i="104"/>
  <c r="G987" i="104"/>
  <c r="G988" i="104"/>
  <c r="G989" i="104"/>
  <c r="G990" i="104"/>
  <c r="G991" i="104"/>
  <c r="G992" i="104"/>
  <c r="G993" i="104"/>
  <c r="G994" i="104"/>
  <c r="G995" i="104"/>
  <c r="G996" i="104"/>
  <c r="G997" i="104"/>
  <c r="G998" i="104"/>
  <c r="G999" i="104"/>
  <c r="G1000" i="104"/>
  <c r="G1001" i="104"/>
  <c r="G1002" i="104"/>
  <c r="G1003" i="104"/>
  <c r="G1004" i="104"/>
  <c r="G1005" i="104"/>
  <c r="G1006" i="104"/>
  <c r="G1007" i="104"/>
  <c r="G1008" i="104"/>
  <c r="G1009" i="104"/>
  <c r="G1010" i="104"/>
  <c r="G1011" i="104"/>
  <c r="G1012" i="104"/>
  <c r="G1013" i="104"/>
  <c r="G1014" i="104"/>
  <c r="G1015" i="104"/>
  <c r="G1016" i="104"/>
  <c r="G1017" i="104"/>
  <c r="G1018" i="104"/>
  <c r="G1019" i="104"/>
  <c r="G1020" i="104"/>
  <c r="G1021" i="104"/>
  <c r="G1022" i="104"/>
  <c r="G1023" i="104"/>
  <c r="G1024" i="104"/>
  <c r="G1025" i="104"/>
  <c r="G1026" i="104"/>
  <c r="G1027" i="104"/>
  <c r="G1028" i="104"/>
  <c r="G1029" i="104"/>
  <c r="G1030" i="104"/>
  <c r="G1031" i="104"/>
  <c r="G1032" i="104"/>
  <c r="G1033" i="104"/>
  <c r="G1034" i="104"/>
  <c r="G1035" i="104"/>
  <c r="G1036" i="104"/>
  <c r="G1037" i="104"/>
  <c r="G1038" i="104"/>
  <c r="G1039" i="104"/>
  <c r="G1040" i="104"/>
  <c r="G1041" i="104"/>
  <c r="G1042" i="104"/>
  <c r="G1043" i="104"/>
  <c r="G1044" i="104"/>
  <c r="G1045" i="104"/>
  <c r="G1046" i="104"/>
  <c r="G1047" i="104"/>
  <c r="G1048" i="104"/>
  <c r="G1049" i="104"/>
  <c r="G1050" i="104"/>
  <c r="G1051" i="104"/>
  <c r="G1052" i="104"/>
  <c r="G1053" i="104"/>
  <c r="G1054" i="104"/>
  <c r="G1055" i="104"/>
  <c r="G1056" i="104"/>
  <c r="G1057" i="104"/>
  <c r="G1058" i="104"/>
  <c r="G1059" i="104"/>
  <c r="G1060" i="104"/>
  <c r="G1061" i="104"/>
  <c r="G1062" i="104"/>
  <c r="G1063" i="104"/>
  <c r="G1064" i="104"/>
  <c r="G1065" i="104"/>
  <c r="G1066" i="104"/>
  <c r="G1067" i="104"/>
  <c r="G1068" i="104"/>
  <c r="G1069" i="104"/>
  <c r="G1070" i="104"/>
  <c r="G1071" i="104"/>
  <c r="G1072" i="104"/>
  <c r="G1073" i="104"/>
  <c r="G1074" i="104"/>
  <c r="G1075" i="104"/>
  <c r="G1076" i="104"/>
  <c r="G1077" i="104"/>
  <c r="G1078" i="104"/>
  <c r="G1079" i="104"/>
  <c r="G1080" i="104"/>
  <c r="G1081" i="104"/>
  <c r="G1082" i="104"/>
  <c r="G1083" i="104"/>
  <c r="G1084" i="104"/>
  <c r="G1085" i="104"/>
  <c r="G1086" i="104"/>
  <c r="G1087" i="104"/>
  <c r="G1088" i="104"/>
  <c r="G1089" i="104"/>
  <c r="G1090" i="104"/>
  <c r="G1091" i="104"/>
  <c r="G1092" i="104"/>
  <c r="G1093" i="104"/>
  <c r="G1094" i="104"/>
  <c r="G1095" i="104"/>
  <c r="G1096" i="104"/>
  <c r="G1097" i="104"/>
  <c r="G1098" i="104"/>
  <c r="G1099" i="104"/>
  <c r="G1100" i="104"/>
  <c r="G1101" i="104"/>
  <c r="G1102" i="104"/>
  <c r="G1103" i="104"/>
  <c r="G1104" i="104"/>
  <c r="G1105" i="104"/>
  <c r="G1106" i="104"/>
  <c r="G1107" i="104"/>
  <c r="G1108" i="104"/>
  <c r="G1109" i="104"/>
  <c r="G1110" i="104"/>
  <c r="G1111" i="104"/>
  <c r="G1112" i="104"/>
  <c r="G1113" i="104"/>
  <c r="G1114" i="104"/>
  <c r="G1115" i="104"/>
  <c r="G1116" i="104"/>
  <c r="G1117" i="104"/>
  <c r="G1118" i="104"/>
  <c r="G1119" i="104"/>
  <c r="G1120" i="104"/>
  <c r="G1121" i="104"/>
  <c r="G1122" i="104"/>
  <c r="G1123" i="104"/>
  <c r="G1124" i="104"/>
  <c r="G1125" i="104"/>
  <c r="G1126" i="104"/>
  <c r="G1127" i="104"/>
  <c r="G1128" i="104"/>
  <c r="G1129" i="104"/>
  <c r="G1130" i="104"/>
  <c r="G1131" i="104"/>
  <c r="G1132" i="104"/>
  <c r="G1133" i="104"/>
  <c r="G1134" i="104"/>
  <c r="G1135" i="104"/>
  <c r="G1136" i="104"/>
  <c r="G1137" i="104"/>
  <c r="G1138" i="104"/>
  <c r="G1139" i="104"/>
  <c r="G1140" i="104"/>
  <c r="G1141" i="104"/>
  <c r="G1142" i="104"/>
  <c r="G1143" i="104"/>
  <c r="G1144" i="104"/>
  <c r="G1145" i="104"/>
  <c r="G1146" i="104"/>
  <c r="G1147" i="104"/>
  <c r="G1148" i="104"/>
  <c r="G1149" i="104"/>
  <c r="G1150" i="104"/>
  <c r="G1151" i="104"/>
  <c r="G1152" i="104"/>
  <c r="G1153" i="104"/>
  <c r="G1154" i="104"/>
  <c r="G1155" i="104"/>
  <c r="G1156" i="104"/>
  <c r="G1157" i="104"/>
  <c r="G1158" i="104"/>
  <c r="G1159" i="104"/>
  <c r="G1160" i="104"/>
  <c r="G1161" i="104"/>
  <c r="G1162" i="104"/>
  <c r="G1163" i="104"/>
  <c r="G1164" i="104"/>
  <c r="G1165" i="104"/>
  <c r="G1166" i="104"/>
  <c r="G1167" i="104"/>
  <c r="G1168" i="104"/>
  <c r="G1169" i="104"/>
  <c r="G1170" i="104"/>
  <c r="G1171" i="104"/>
  <c r="G1172" i="104"/>
  <c r="G1173" i="104"/>
  <c r="G1174" i="104"/>
  <c r="G1175" i="104"/>
  <c r="G1176" i="104"/>
  <c r="G1177" i="104"/>
  <c r="G1178" i="104"/>
  <c r="G1179" i="104"/>
  <c r="G1180" i="104"/>
  <c r="G1181" i="104"/>
  <c r="G1182" i="104"/>
  <c r="G1183" i="104"/>
  <c r="G1184" i="104"/>
  <c r="G1185" i="104"/>
  <c r="G1186" i="104"/>
  <c r="G1187" i="104"/>
  <c r="G1188" i="104"/>
  <c r="G1189" i="104"/>
  <c r="G1190" i="104"/>
  <c r="G1191" i="104"/>
  <c r="G1192" i="104"/>
  <c r="G1193" i="104"/>
  <c r="G1194" i="104"/>
  <c r="G1195" i="104"/>
  <c r="G1196" i="104"/>
  <c r="G1197" i="104"/>
  <c r="G1198" i="104"/>
  <c r="G1199" i="104"/>
  <c r="G1200" i="104"/>
  <c r="G1201" i="104"/>
  <c r="G1202" i="104"/>
  <c r="G1203" i="104"/>
  <c r="G1204" i="104"/>
  <c r="G1205" i="104"/>
  <c r="G1206" i="104"/>
  <c r="G1207" i="104"/>
  <c r="G1208" i="104"/>
  <c r="G1209" i="104"/>
  <c r="G1210" i="104"/>
  <c r="G1211" i="104"/>
  <c r="G1212" i="104"/>
  <c r="G1213" i="104"/>
  <c r="G1214" i="104"/>
  <c r="G1215" i="104"/>
  <c r="G1216" i="104"/>
  <c r="G1217" i="104"/>
  <c r="G1218" i="104"/>
  <c r="G1219" i="104"/>
  <c r="G1220" i="104"/>
  <c r="G1221" i="104"/>
  <c r="G1222" i="104"/>
  <c r="G1223" i="104"/>
  <c r="G1224" i="104"/>
  <c r="G1225" i="104"/>
  <c r="G1226" i="104"/>
  <c r="G1227" i="104"/>
  <c r="G1228" i="104"/>
  <c r="G1229" i="104"/>
  <c r="G1230" i="104"/>
  <c r="G1231" i="104"/>
  <c r="G1232" i="104"/>
  <c r="G1233" i="104"/>
  <c r="G1234" i="104"/>
  <c r="G1235" i="104"/>
  <c r="G1236" i="104"/>
  <c r="G1237" i="104"/>
  <c r="G1238" i="104"/>
  <c r="G1239" i="104"/>
  <c r="G1240" i="104"/>
  <c r="G1241" i="104"/>
  <c r="G1242" i="104"/>
  <c r="G1243" i="104"/>
  <c r="G1244" i="104"/>
  <c r="G1245" i="104"/>
  <c r="G1246" i="104"/>
  <c r="G1247" i="104"/>
  <c r="G1248" i="104"/>
  <c r="G1249" i="104"/>
  <c r="G1250" i="104"/>
  <c r="G1251" i="104"/>
  <c r="G1252" i="104"/>
  <c r="G1253" i="104"/>
  <c r="G1254" i="104"/>
  <c r="G1255" i="104"/>
  <c r="G1256" i="104"/>
  <c r="G1257" i="104"/>
  <c r="G1258" i="104"/>
  <c r="G1259" i="104"/>
  <c r="G1260" i="104"/>
  <c r="G1261" i="104"/>
  <c r="G1262" i="104"/>
  <c r="G1263" i="104"/>
  <c r="G1264" i="104"/>
  <c r="G1265" i="104"/>
  <c r="G1266" i="104"/>
  <c r="G1267" i="104"/>
  <c r="G1268" i="104"/>
  <c r="G1269" i="104"/>
  <c r="G1270" i="104"/>
  <c r="G1271" i="104"/>
  <c r="G1272" i="104"/>
  <c r="G1273" i="104"/>
  <c r="G1274" i="104"/>
  <c r="G1275" i="104"/>
  <c r="G1276" i="104"/>
  <c r="G1277" i="104"/>
  <c r="G1278" i="104"/>
  <c r="G1279" i="104"/>
  <c r="G1280" i="104"/>
  <c r="G1281" i="104"/>
  <c r="G1282" i="104"/>
  <c r="G1283" i="104"/>
  <c r="G1284" i="104"/>
  <c r="G1285" i="104"/>
  <c r="G1286" i="104"/>
  <c r="G1287" i="104"/>
  <c r="G1288" i="104"/>
  <c r="G1289" i="104"/>
  <c r="G1290" i="104"/>
  <c r="G1291" i="104"/>
  <c r="G1292" i="104"/>
  <c r="G1293" i="104"/>
  <c r="G1294" i="104"/>
  <c r="G1295" i="104"/>
  <c r="G1296" i="104"/>
  <c r="G1297" i="104"/>
  <c r="G1298" i="104"/>
  <c r="G1299" i="104"/>
  <c r="G1300" i="104"/>
  <c r="G1301" i="104"/>
  <c r="G1302" i="104"/>
  <c r="G1303" i="104"/>
  <c r="G1304" i="104"/>
  <c r="G1305" i="104"/>
  <c r="G1306" i="104"/>
  <c r="G1307" i="104"/>
  <c r="G1308" i="104"/>
  <c r="G1309" i="104"/>
  <c r="G1310" i="104"/>
  <c r="G1311" i="104"/>
  <c r="G1312" i="104"/>
  <c r="G1313" i="104"/>
  <c r="G1314" i="104"/>
  <c r="G1315" i="104"/>
  <c r="G1316" i="104"/>
  <c r="G1317" i="104"/>
  <c r="G1318" i="104"/>
  <c r="G1319" i="104"/>
  <c r="G1320" i="104"/>
  <c r="G1321" i="104"/>
  <c r="G1322" i="104"/>
  <c r="G1323" i="104"/>
  <c r="G1324" i="104"/>
  <c r="G1325" i="104"/>
  <c r="G1326" i="104"/>
  <c r="G1327" i="104"/>
  <c r="G1328" i="104"/>
  <c r="G1329" i="104"/>
  <c r="G1330" i="104"/>
  <c r="G1331" i="104"/>
  <c r="G1332" i="104"/>
  <c r="G1333" i="104"/>
  <c r="G1334" i="104"/>
  <c r="G1335" i="104"/>
  <c r="G1336" i="104"/>
  <c r="G1337" i="104"/>
  <c r="G1338" i="104"/>
  <c r="G1339" i="104"/>
  <c r="G1340" i="104"/>
  <c r="G1341" i="104"/>
  <c r="G1342" i="104"/>
  <c r="G1343" i="104"/>
  <c r="G1344" i="104"/>
  <c r="G1345" i="104"/>
  <c r="G1346" i="104"/>
  <c r="G1347" i="104"/>
  <c r="G1348" i="104"/>
  <c r="G1349" i="104"/>
  <c r="G1350" i="104"/>
  <c r="G1351" i="104"/>
  <c r="G1352" i="104"/>
  <c r="G1353" i="104"/>
  <c r="G1354" i="104"/>
  <c r="G1355" i="104"/>
  <c r="G1356" i="104"/>
  <c r="G1357" i="104"/>
  <c r="G1358" i="104"/>
  <c r="G1359" i="104"/>
  <c r="G1360" i="104"/>
  <c r="G1361" i="104"/>
  <c r="G1362" i="104"/>
  <c r="G1363" i="104"/>
  <c r="G1364" i="104"/>
  <c r="G1365" i="104"/>
  <c r="G1366" i="104"/>
  <c r="G1367" i="104"/>
  <c r="G1368" i="104"/>
  <c r="G1369" i="104"/>
  <c r="G1370" i="104"/>
  <c r="G1371" i="104"/>
  <c r="G1372" i="104"/>
  <c r="G1373" i="104"/>
  <c r="G1374" i="104"/>
  <c r="G1375" i="104"/>
  <c r="G1376" i="104"/>
  <c r="G1377" i="104"/>
  <c r="G1378" i="104"/>
  <c r="G1379" i="104"/>
  <c r="G1380" i="104"/>
  <c r="G1381" i="104"/>
  <c r="G1382" i="104"/>
  <c r="G1383" i="104"/>
  <c r="G1384" i="104"/>
  <c r="G1385" i="104"/>
  <c r="G1386" i="104"/>
  <c r="G1387" i="104"/>
  <c r="G1388" i="104"/>
  <c r="G1389" i="104"/>
  <c r="G1390" i="104"/>
  <c r="G1391" i="104"/>
  <c r="G1392" i="104"/>
  <c r="G1393" i="104"/>
  <c r="G1394" i="104"/>
  <c r="G1395" i="104"/>
  <c r="G1396" i="104"/>
  <c r="G1397" i="104"/>
  <c r="G1398" i="104"/>
  <c r="G1399" i="104"/>
  <c r="G1400" i="104"/>
  <c r="G1401" i="104"/>
  <c r="G1402" i="104"/>
  <c r="G1403" i="104"/>
  <c r="G1404" i="104"/>
  <c r="G1405" i="104"/>
  <c r="G1406" i="104"/>
  <c r="G1407" i="104"/>
  <c r="G1408" i="104"/>
  <c r="G1409" i="104"/>
  <c r="G1410" i="104"/>
  <c r="G1411" i="104"/>
  <c r="G1412" i="104"/>
  <c r="G1413" i="104"/>
  <c r="G1414" i="104"/>
  <c r="G1415" i="104"/>
  <c r="G1416" i="104"/>
  <c r="G1417" i="104"/>
  <c r="G1418" i="104"/>
  <c r="G1419" i="104"/>
  <c r="G1420" i="104"/>
  <c r="G1421" i="104"/>
  <c r="G1422" i="104"/>
  <c r="G1423" i="104"/>
  <c r="G1424" i="104"/>
  <c r="G1425" i="104"/>
  <c r="G1426" i="104"/>
  <c r="G1427" i="104"/>
  <c r="G1428" i="104"/>
  <c r="G1429" i="104"/>
  <c r="G1430" i="104"/>
  <c r="G1431" i="104"/>
  <c r="G1432" i="104"/>
  <c r="G1433" i="104"/>
  <c r="G1434" i="104"/>
  <c r="G1435" i="104"/>
  <c r="G1436" i="104"/>
  <c r="G1437" i="104"/>
  <c r="G1438" i="104"/>
  <c r="G1439" i="104"/>
  <c r="G1440" i="104"/>
  <c r="G1441" i="104"/>
  <c r="G1442" i="104"/>
  <c r="G1443" i="104"/>
  <c r="G1444" i="104"/>
  <c r="G1445" i="104"/>
  <c r="G1446" i="104"/>
  <c r="G1447" i="104"/>
  <c r="G1448" i="104"/>
  <c r="G1449" i="104"/>
  <c r="G1450" i="104"/>
  <c r="G1451" i="104"/>
  <c r="G1452" i="104"/>
  <c r="G1453" i="104"/>
  <c r="G1454" i="104"/>
  <c r="G1455" i="104"/>
  <c r="G1456" i="104"/>
  <c r="G1457" i="104"/>
  <c r="G1458" i="104"/>
  <c r="G1459" i="104"/>
  <c r="G1460" i="104"/>
  <c r="G1461" i="104"/>
  <c r="G1462" i="104"/>
  <c r="G1463" i="104"/>
  <c r="G1464" i="104"/>
  <c r="G1465" i="104"/>
  <c r="G1466" i="104"/>
  <c r="G1467" i="104"/>
  <c r="G1468" i="104"/>
  <c r="G1469" i="104"/>
  <c r="G1470" i="104"/>
  <c r="G1471" i="104"/>
  <c r="G1472" i="104"/>
  <c r="G1473" i="104"/>
  <c r="G1474" i="104"/>
  <c r="G1475" i="104"/>
  <c r="G1476" i="104"/>
  <c r="G1477" i="104"/>
  <c r="G1478" i="104"/>
  <c r="G1479" i="104"/>
  <c r="G1480" i="104"/>
  <c r="G1481" i="104"/>
  <c r="G1482" i="104"/>
  <c r="G1483" i="104"/>
  <c r="G1484" i="104"/>
  <c r="G1485" i="104"/>
  <c r="G1486" i="104"/>
  <c r="G1487" i="104"/>
  <c r="G1488" i="104"/>
  <c r="G1489" i="104"/>
  <c r="G1490" i="104"/>
  <c r="G1491" i="104"/>
  <c r="G1492" i="104"/>
  <c r="G1493" i="104"/>
  <c r="G1494" i="104"/>
  <c r="G1495" i="104"/>
  <c r="G1496" i="104"/>
  <c r="G1497" i="104"/>
  <c r="G1498" i="104"/>
  <c r="G1499" i="104"/>
  <c r="G1500" i="104"/>
  <c r="G1501" i="104"/>
  <c r="G1502" i="104"/>
  <c r="G1503" i="104"/>
  <c r="G1504" i="104"/>
  <c r="G1505" i="104"/>
  <c r="G1506" i="104"/>
  <c r="G1507" i="104"/>
  <c r="G1508" i="104"/>
  <c r="G1509" i="104"/>
  <c r="G1510" i="104"/>
  <c r="G1511" i="104"/>
  <c r="G1512" i="104"/>
  <c r="G1513" i="104"/>
  <c r="G1514" i="104"/>
  <c r="G1515" i="104"/>
  <c r="G1516" i="104"/>
  <c r="G1517" i="104"/>
  <c r="G1518" i="104"/>
  <c r="G1519" i="104"/>
  <c r="G1520" i="104"/>
  <c r="G1521" i="104"/>
  <c r="G1522" i="104"/>
  <c r="G1523" i="104"/>
  <c r="G1524" i="104"/>
  <c r="G1525" i="104"/>
  <c r="G1526" i="104"/>
  <c r="G1527" i="104"/>
  <c r="G1528" i="104"/>
  <c r="G1529" i="104"/>
  <c r="G1530" i="104"/>
  <c r="G1531" i="104"/>
  <c r="G1532" i="104"/>
  <c r="G1533" i="104"/>
  <c r="G1534" i="104"/>
  <c r="G1535" i="104"/>
  <c r="G1536" i="104"/>
  <c r="G1537" i="104"/>
  <c r="G1538" i="104"/>
  <c r="G1539" i="104"/>
  <c r="G1540" i="104"/>
  <c r="G1541" i="104"/>
  <c r="G1542" i="104"/>
  <c r="G1543" i="104"/>
  <c r="G1544" i="104"/>
  <c r="G1545" i="104"/>
  <c r="G1546" i="104"/>
  <c r="G1547" i="104"/>
  <c r="G1548" i="104"/>
  <c r="G1549" i="104"/>
  <c r="G1550" i="104"/>
  <c r="G1551" i="104"/>
  <c r="G1552" i="104"/>
  <c r="G1553" i="104"/>
  <c r="G1554" i="104"/>
  <c r="G1555" i="104"/>
  <c r="G1556" i="104"/>
  <c r="G1557" i="104"/>
  <c r="G1558" i="104"/>
  <c r="G1559" i="104"/>
  <c r="G1560" i="104"/>
  <c r="G1561" i="104"/>
  <c r="G1562" i="104"/>
  <c r="G1563" i="104"/>
  <c r="G1564" i="104"/>
  <c r="G1565" i="104"/>
  <c r="G1566" i="104"/>
  <c r="G1567" i="104"/>
  <c r="G1568" i="104"/>
  <c r="G1569" i="104"/>
  <c r="G1570" i="104"/>
  <c r="G1571" i="104"/>
  <c r="G1572" i="104"/>
  <c r="G1573" i="104"/>
  <c r="G1574" i="104"/>
  <c r="G1575" i="104"/>
  <c r="G1576" i="104"/>
  <c r="G1577" i="104"/>
  <c r="G1578" i="104"/>
  <c r="G1579" i="104"/>
  <c r="G1580" i="104"/>
  <c r="G1581" i="104"/>
  <c r="G1582" i="104"/>
  <c r="G1583" i="104"/>
  <c r="G1584" i="104"/>
  <c r="G1585" i="104"/>
  <c r="G1586" i="104"/>
  <c r="G1587" i="104"/>
  <c r="G1588" i="104"/>
  <c r="G1589" i="104"/>
  <c r="G1590" i="104"/>
  <c r="G1591" i="104"/>
  <c r="G1592" i="104"/>
  <c r="G1593" i="104"/>
  <c r="G1594" i="104"/>
  <c r="G1595" i="104"/>
  <c r="G1596" i="104"/>
  <c r="G1597" i="104"/>
  <c r="G1598" i="104"/>
  <c r="G1599" i="104"/>
  <c r="G1600" i="104"/>
  <c r="G1601" i="104"/>
  <c r="G1602" i="104"/>
  <c r="G1603" i="104"/>
  <c r="G1604" i="104"/>
  <c r="G1605" i="104"/>
  <c r="G1606" i="104"/>
  <c r="G1607" i="104"/>
  <c r="G1608" i="104"/>
  <c r="G1609" i="104"/>
  <c r="G1610" i="104"/>
  <c r="G1611" i="104"/>
  <c r="G1612" i="104"/>
  <c r="G1613" i="104"/>
  <c r="G1614" i="104"/>
  <c r="G1615" i="104"/>
  <c r="G1616" i="104"/>
  <c r="G1617" i="104"/>
  <c r="G1618" i="104"/>
  <c r="G1619" i="104"/>
  <c r="G1620" i="104"/>
  <c r="G1621" i="104"/>
  <c r="G1622" i="104"/>
  <c r="G1623" i="104"/>
  <c r="G1624" i="104"/>
  <c r="G1625" i="104"/>
  <c r="G1626" i="104"/>
  <c r="G1627" i="104"/>
  <c r="G1628" i="104"/>
  <c r="G1629" i="104"/>
  <c r="G1630" i="104"/>
  <c r="G1631" i="104"/>
  <c r="G1632" i="104"/>
  <c r="G1633" i="104"/>
  <c r="G1634" i="104"/>
  <c r="G1635" i="104"/>
  <c r="G1636" i="104"/>
  <c r="G1637" i="104"/>
  <c r="G1638" i="104"/>
  <c r="G1639" i="104"/>
  <c r="G1640" i="104"/>
  <c r="G1641" i="104"/>
  <c r="G1642" i="104"/>
  <c r="G1643" i="104"/>
  <c r="G1644" i="104"/>
  <c r="G1645" i="104"/>
  <c r="G1646" i="104"/>
  <c r="G1647" i="104"/>
  <c r="G1648" i="104"/>
  <c r="G1649" i="104"/>
  <c r="G1650" i="104"/>
  <c r="G1651" i="104"/>
  <c r="G1652" i="104"/>
  <c r="G1653" i="104"/>
  <c r="G1654" i="104"/>
  <c r="G1655" i="104"/>
  <c r="G1656" i="104"/>
  <c r="G1657" i="104"/>
  <c r="G1658" i="104"/>
  <c r="G1659" i="104"/>
  <c r="G1660" i="104"/>
  <c r="G1661" i="104"/>
  <c r="G1662" i="104"/>
  <c r="G1663" i="104"/>
  <c r="G1664" i="104"/>
  <c r="G1665" i="104"/>
  <c r="G1666" i="104"/>
  <c r="G1667" i="104"/>
  <c r="G1668" i="104"/>
  <c r="G1669" i="104"/>
  <c r="G1670" i="104"/>
  <c r="G1671" i="104"/>
  <c r="G1672" i="104"/>
  <c r="G1673" i="104"/>
  <c r="G1674" i="104"/>
  <c r="G1675" i="104"/>
  <c r="G1676" i="104"/>
  <c r="G1677" i="104"/>
  <c r="G1678" i="104"/>
  <c r="G1679" i="104"/>
  <c r="G1680" i="104"/>
  <c r="G1681" i="104"/>
  <c r="G1682" i="104"/>
  <c r="G1683" i="104"/>
  <c r="G1684" i="104"/>
  <c r="G1685" i="104"/>
  <c r="G1686" i="104"/>
  <c r="G1687" i="104"/>
  <c r="G1688" i="104"/>
  <c r="G1689" i="104"/>
  <c r="G1690" i="104"/>
  <c r="G1691" i="104"/>
  <c r="G1692" i="104"/>
  <c r="G1693" i="104"/>
  <c r="G1694" i="104"/>
  <c r="G1695" i="104"/>
  <c r="G1696" i="104"/>
  <c r="G1697" i="104"/>
  <c r="G1698" i="104"/>
  <c r="G1699" i="104"/>
  <c r="G1700" i="104"/>
  <c r="G1701" i="104"/>
  <c r="G1702" i="104"/>
  <c r="G1703" i="104"/>
  <c r="G1704" i="104"/>
  <c r="G1705" i="104"/>
  <c r="G1706" i="104"/>
  <c r="G1707" i="104"/>
  <c r="G1708" i="104"/>
  <c r="G1709" i="104"/>
  <c r="G1710" i="104"/>
  <c r="G1711" i="104"/>
  <c r="G1712" i="104"/>
  <c r="G1713" i="104"/>
  <c r="G1714" i="104"/>
  <c r="G1715" i="104"/>
  <c r="G1716" i="104"/>
  <c r="G1717" i="104"/>
  <c r="G1718" i="104"/>
  <c r="G1719" i="104"/>
  <c r="G1720" i="104"/>
  <c r="G1721" i="104"/>
  <c r="G1722" i="104"/>
  <c r="G1723" i="104"/>
  <c r="G1724" i="104"/>
  <c r="G1725" i="104"/>
  <c r="G1726" i="104"/>
  <c r="G1727" i="104"/>
  <c r="G1728" i="104"/>
  <c r="G1729" i="104"/>
  <c r="G1730" i="104"/>
  <c r="G1731" i="104"/>
  <c r="G1732" i="104"/>
  <c r="G1733" i="104"/>
  <c r="G1734" i="104"/>
  <c r="G1735" i="104"/>
  <c r="G1736" i="104"/>
  <c r="G1737" i="104"/>
  <c r="G1738" i="104"/>
  <c r="G1739" i="104"/>
  <c r="G1740" i="104"/>
  <c r="G1741" i="104"/>
  <c r="G1742" i="104"/>
  <c r="G1743" i="104"/>
  <c r="G1744" i="104"/>
  <c r="G1745" i="104"/>
  <c r="G1746" i="104"/>
  <c r="G1747" i="104"/>
  <c r="G1748" i="104"/>
  <c r="G1749" i="104"/>
  <c r="G1750" i="104"/>
  <c r="G1751" i="104"/>
  <c r="G1752" i="104"/>
  <c r="G1753" i="104"/>
  <c r="G1754" i="104"/>
  <c r="G1755" i="104"/>
  <c r="G1756" i="104"/>
  <c r="G1757" i="104"/>
  <c r="G1758" i="104"/>
  <c r="G1759" i="104"/>
  <c r="G1760" i="104"/>
  <c r="G1761" i="104"/>
  <c r="G1762" i="104"/>
  <c r="G1763" i="104"/>
  <c r="G1764" i="104"/>
  <c r="G1765" i="104"/>
  <c r="G1766" i="104"/>
  <c r="G1767" i="104"/>
  <c r="G1768" i="104"/>
  <c r="G1769" i="104"/>
  <c r="G1770" i="104"/>
  <c r="G1771" i="104"/>
  <c r="G1772" i="104"/>
  <c r="G1773" i="104"/>
  <c r="G1774" i="104"/>
  <c r="G1775" i="104"/>
  <c r="G1776" i="104"/>
  <c r="G1777" i="104"/>
  <c r="G1778" i="104"/>
  <c r="G1779" i="104"/>
  <c r="G1780" i="104"/>
  <c r="G1781" i="104"/>
  <c r="G1782" i="104"/>
  <c r="G1783" i="104"/>
  <c r="G1784" i="104"/>
  <c r="G1785" i="104"/>
  <c r="G1786" i="104"/>
  <c r="G1787" i="104"/>
  <c r="G1788" i="104"/>
  <c r="G1789" i="104"/>
  <c r="G1790" i="104"/>
  <c r="G1791" i="104"/>
  <c r="G1792" i="104"/>
  <c r="G1793" i="104"/>
  <c r="G1794" i="104"/>
  <c r="G1795" i="104"/>
  <c r="G1796" i="104"/>
  <c r="G1797" i="104"/>
  <c r="G1798" i="104"/>
  <c r="G1799" i="104"/>
  <c r="G1800" i="104"/>
  <c r="G1801" i="104"/>
  <c r="G1802" i="104"/>
  <c r="G1803" i="104"/>
  <c r="G1804" i="104"/>
  <c r="G1805" i="104"/>
  <c r="G1806" i="104"/>
  <c r="G1807" i="104"/>
  <c r="G1808" i="104"/>
  <c r="G1809" i="104"/>
  <c r="G1810" i="104"/>
  <c r="G1811" i="104"/>
  <c r="G1812" i="104"/>
  <c r="G1813" i="104"/>
  <c r="G1814" i="104"/>
  <c r="G1815" i="104"/>
  <c r="G1816" i="104"/>
  <c r="G1817" i="104"/>
  <c r="G1818" i="104"/>
  <c r="G1819" i="104"/>
  <c r="G1820" i="104"/>
  <c r="G1821" i="104"/>
  <c r="G1822" i="104"/>
  <c r="G1823" i="104"/>
  <c r="G1824" i="104"/>
  <c r="G1825" i="104"/>
  <c r="G1826" i="104"/>
  <c r="G1827" i="104"/>
  <c r="G1828" i="104"/>
  <c r="G1829" i="104"/>
  <c r="G1830" i="104"/>
  <c r="G1831" i="104"/>
  <c r="G1832" i="104"/>
  <c r="G1833" i="104"/>
  <c r="G1834" i="104"/>
  <c r="G1835" i="104"/>
  <c r="G1836" i="104"/>
  <c r="G1837" i="104"/>
  <c r="G1838" i="104"/>
  <c r="G1839" i="104"/>
  <c r="G1840" i="104"/>
  <c r="G1841" i="104"/>
  <c r="G1842" i="104"/>
  <c r="G1843" i="104"/>
  <c r="G1844" i="104"/>
  <c r="G1845" i="104"/>
  <c r="G1846" i="104"/>
  <c r="G1847" i="104"/>
  <c r="G1848" i="104"/>
  <c r="G1849" i="104"/>
  <c r="G1850" i="104"/>
  <c r="G1851" i="104"/>
  <c r="G1852" i="104"/>
  <c r="G1853" i="104"/>
  <c r="G1854" i="104"/>
  <c r="G1855" i="104"/>
  <c r="G1856" i="104"/>
  <c r="G1857" i="104"/>
  <c r="G1858" i="104"/>
  <c r="G1859" i="104"/>
  <c r="G1860" i="104"/>
  <c r="G1861" i="104"/>
  <c r="G1862" i="104"/>
  <c r="G1863" i="104"/>
  <c r="G1864" i="104"/>
  <c r="G1865" i="104"/>
  <c r="G1866" i="104"/>
  <c r="G1867" i="104"/>
  <c r="G1868" i="104"/>
  <c r="G1869" i="104"/>
  <c r="G1870" i="104"/>
  <c r="G1871" i="104"/>
  <c r="G1872" i="104"/>
  <c r="G1873" i="104"/>
  <c r="G1874" i="104"/>
  <c r="G1875" i="104"/>
  <c r="G1876" i="104"/>
  <c r="G1877" i="104"/>
  <c r="G1878" i="104"/>
  <c r="G1879" i="104"/>
  <c r="G1880" i="104"/>
  <c r="G1881" i="104"/>
  <c r="G1882" i="104"/>
  <c r="G1883" i="104"/>
  <c r="G1884" i="104"/>
  <c r="G1885" i="104"/>
  <c r="G1886" i="104"/>
  <c r="G1887" i="104"/>
  <c r="G1888" i="104"/>
  <c r="G1889" i="104"/>
  <c r="G1890" i="104"/>
  <c r="G1891" i="104"/>
  <c r="G1892" i="104"/>
  <c r="G1893" i="104"/>
  <c r="G1894" i="104"/>
  <c r="G1895" i="104"/>
  <c r="G1896" i="104"/>
  <c r="G1897" i="104"/>
  <c r="G1898" i="104"/>
  <c r="G1899" i="104"/>
  <c r="G1900" i="104"/>
  <c r="G1901" i="104"/>
  <c r="G1902" i="104"/>
  <c r="G1903" i="104"/>
  <c r="G1904" i="104"/>
  <c r="G1905" i="104"/>
  <c r="G1906" i="104"/>
  <c r="G1907" i="104"/>
  <c r="G1908" i="104"/>
  <c r="G1909" i="104"/>
  <c r="G1910" i="104"/>
  <c r="G1911" i="104"/>
  <c r="G1912" i="104"/>
  <c r="G1913" i="104"/>
  <c r="G1914" i="104"/>
  <c r="G1915" i="104"/>
  <c r="G1916" i="104"/>
  <c r="G1917" i="104"/>
  <c r="G1918" i="104"/>
  <c r="G1919" i="104"/>
  <c r="G1920" i="104"/>
  <c r="G1921" i="104"/>
  <c r="G1922" i="104"/>
  <c r="G1923" i="104"/>
  <c r="G1924" i="104"/>
  <c r="G1925" i="104"/>
  <c r="G1926" i="104"/>
  <c r="G1927" i="104"/>
  <c r="G1928" i="104"/>
  <c r="G1929" i="104"/>
  <c r="G1930" i="104"/>
  <c r="G1931" i="104"/>
  <c r="G1932" i="104"/>
  <c r="G1933" i="104"/>
  <c r="G1934" i="104"/>
  <c r="G1935" i="104"/>
  <c r="G1936" i="104"/>
  <c r="G1937" i="104"/>
  <c r="G1938" i="104"/>
  <c r="G1939" i="104"/>
  <c r="G1940" i="104"/>
  <c r="G1941" i="104"/>
  <c r="G1942" i="104"/>
  <c r="G1943" i="104"/>
  <c r="G1944" i="104"/>
  <c r="G1945" i="104"/>
  <c r="G1946" i="104"/>
  <c r="G1947" i="104"/>
  <c r="G1948" i="104"/>
  <c r="G1949" i="104"/>
  <c r="G1950" i="104"/>
  <c r="G1951" i="104"/>
  <c r="G1952" i="104"/>
  <c r="G1953" i="104"/>
  <c r="G1954" i="104"/>
  <c r="G1955" i="104"/>
  <c r="G1956" i="104"/>
  <c r="G1957" i="104"/>
  <c r="G1958" i="104"/>
  <c r="G1959" i="104"/>
  <c r="G1960" i="104"/>
  <c r="G1961" i="104"/>
  <c r="G1962" i="104"/>
  <c r="G1963" i="104"/>
  <c r="G1964" i="104"/>
  <c r="G1965" i="104"/>
  <c r="G1966" i="104"/>
  <c r="G1967" i="104"/>
  <c r="G1968" i="104"/>
  <c r="G1969" i="104"/>
  <c r="G1970" i="104"/>
  <c r="G1971" i="104"/>
  <c r="G1972" i="104"/>
  <c r="G1973" i="104"/>
  <c r="G1974" i="104"/>
  <c r="G1975" i="104"/>
  <c r="G1976" i="104"/>
  <c r="G1977" i="104"/>
  <c r="G1978" i="104"/>
  <c r="G1979" i="104"/>
  <c r="G1980" i="104"/>
  <c r="G1981" i="104"/>
  <c r="G1982" i="104"/>
  <c r="G1983" i="104"/>
  <c r="G1984" i="104"/>
  <c r="G1985" i="104"/>
  <c r="G1986" i="104"/>
  <c r="G1987" i="104"/>
  <c r="G1988" i="104"/>
  <c r="G1989" i="104"/>
  <c r="G1990" i="104"/>
  <c r="G1991" i="104"/>
  <c r="G1992" i="104"/>
  <c r="G1993" i="104"/>
  <c r="G1994" i="104"/>
  <c r="G1995" i="104"/>
  <c r="G1996" i="104"/>
  <c r="G1997" i="104"/>
  <c r="G1998" i="104"/>
  <c r="G1999" i="104"/>
  <c r="G2000" i="104"/>
  <c r="G2001" i="104"/>
  <c r="G2002" i="104"/>
  <c r="G2003" i="104"/>
  <c r="G2004" i="104"/>
  <c r="G2005" i="104"/>
  <c r="G2006" i="104"/>
  <c r="G2007" i="104"/>
  <c r="G2008" i="104"/>
  <c r="G2009" i="104"/>
  <c r="G2010" i="104"/>
  <c r="G2011" i="104"/>
  <c r="G2012" i="104"/>
  <c r="G2013" i="104"/>
  <c r="G2014" i="104"/>
  <c r="G2015" i="104"/>
  <c r="G2016" i="104"/>
  <c r="G2017" i="104"/>
  <c r="G2018" i="104"/>
  <c r="G2019" i="104"/>
  <c r="G2020" i="104"/>
  <c r="G2021" i="104"/>
  <c r="G2022" i="104"/>
  <c r="G2023" i="104"/>
  <c r="G2024" i="104"/>
  <c r="G2025" i="104"/>
  <c r="G2026" i="104"/>
  <c r="G2027" i="104"/>
  <c r="G2028" i="104"/>
  <c r="G2029" i="104"/>
  <c r="G2030" i="104"/>
  <c r="G2031" i="104"/>
  <c r="G2032" i="104"/>
  <c r="G2033" i="104"/>
  <c r="G2034" i="104"/>
  <c r="G2035" i="104"/>
  <c r="G2036" i="104"/>
  <c r="G2037" i="104"/>
  <c r="G2038" i="104"/>
  <c r="G2039" i="104"/>
  <c r="G2040" i="104"/>
  <c r="G2041" i="104"/>
  <c r="G2042" i="104"/>
  <c r="G2043" i="104"/>
  <c r="G2044" i="104"/>
  <c r="G2045" i="104"/>
  <c r="G2046" i="104"/>
  <c r="G2047" i="104"/>
  <c r="G2048" i="104"/>
  <c r="G2049" i="104"/>
  <c r="G2050" i="104"/>
  <c r="G2051" i="104"/>
  <c r="G2052" i="104"/>
  <c r="G2053" i="104"/>
  <c r="G2054" i="104"/>
  <c r="G2055" i="104"/>
  <c r="G2056" i="104"/>
  <c r="G2057" i="104"/>
  <c r="G2058" i="104"/>
  <c r="G2059" i="104"/>
  <c r="G2060" i="104"/>
  <c r="G2061" i="104"/>
  <c r="G2062" i="104"/>
  <c r="G2063" i="104"/>
  <c r="G2064" i="104"/>
  <c r="G2065" i="104"/>
  <c r="G2066" i="104"/>
  <c r="G2067" i="104"/>
  <c r="G2068" i="104"/>
  <c r="G2069" i="104"/>
  <c r="G2070" i="104"/>
  <c r="G2071" i="104"/>
  <c r="G2072" i="104"/>
  <c r="G2073" i="104"/>
  <c r="G2074" i="104"/>
  <c r="G2075" i="104"/>
  <c r="G2076" i="104"/>
  <c r="G2077" i="104"/>
  <c r="G2078" i="104"/>
  <c r="G2079" i="104"/>
  <c r="G2080" i="104"/>
  <c r="G2081" i="104"/>
  <c r="G2082" i="104"/>
  <c r="G2083" i="104"/>
  <c r="G2084" i="104"/>
  <c r="G2085" i="104"/>
  <c r="G2086" i="104"/>
  <c r="G2087" i="104"/>
  <c r="G2088" i="104"/>
  <c r="G2089" i="104"/>
  <c r="G2090" i="104"/>
  <c r="G2091" i="104"/>
  <c r="G2092" i="104"/>
  <c r="G2093" i="104"/>
  <c r="G2094" i="104"/>
  <c r="G2095" i="104"/>
  <c r="G2096" i="104"/>
  <c r="G2097" i="104"/>
  <c r="G2098" i="104"/>
  <c r="G2099" i="104"/>
  <c r="G2100" i="104"/>
  <c r="G2101" i="104"/>
  <c r="G2102" i="104"/>
  <c r="G2103" i="104"/>
  <c r="G2104" i="104"/>
  <c r="G2105" i="104"/>
  <c r="G2106" i="104"/>
  <c r="G2107" i="104"/>
  <c r="G2108" i="104"/>
  <c r="G2109" i="104"/>
  <c r="G2110" i="104"/>
  <c r="G2111" i="104"/>
  <c r="G2112" i="104"/>
  <c r="G2113" i="104"/>
  <c r="G2114" i="104"/>
  <c r="G2115" i="104"/>
  <c r="G2116" i="104"/>
  <c r="G2117" i="104"/>
  <c r="G2118" i="104"/>
  <c r="G2119" i="104"/>
  <c r="G2120" i="104"/>
  <c r="G2121" i="104"/>
  <c r="G2122" i="104"/>
  <c r="G2123" i="104"/>
  <c r="G2124" i="104"/>
  <c r="G2125" i="104"/>
  <c r="G2126" i="104"/>
  <c r="G2127" i="104"/>
  <c r="G2128" i="104"/>
  <c r="G2129" i="104"/>
  <c r="G2130" i="104"/>
  <c r="G2131" i="104"/>
  <c r="G2132" i="104"/>
  <c r="G2133" i="104"/>
  <c r="G2134" i="104"/>
  <c r="G2135" i="104"/>
  <c r="G2136" i="104"/>
  <c r="G2137" i="104"/>
  <c r="G2138" i="104"/>
  <c r="G2139" i="104"/>
  <c r="G2140" i="104"/>
  <c r="G2141" i="104"/>
  <c r="G2142" i="104"/>
  <c r="G2143" i="104"/>
  <c r="G2144" i="104"/>
  <c r="G2145" i="104"/>
  <c r="G2146" i="104"/>
  <c r="G2147" i="104"/>
  <c r="G2148" i="104"/>
  <c r="G2149" i="104"/>
  <c r="G2150" i="104"/>
  <c r="G2151" i="104"/>
  <c r="G2152" i="104"/>
  <c r="G2153" i="104"/>
  <c r="G2154" i="104"/>
  <c r="G2155" i="104"/>
  <c r="G2156" i="104"/>
  <c r="G2157" i="104"/>
  <c r="G2158" i="104"/>
  <c r="G2159" i="104"/>
  <c r="G2160" i="104"/>
  <c r="G2161" i="104"/>
  <c r="G2162" i="104"/>
  <c r="G2163" i="104"/>
  <c r="G2164" i="104"/>
  <c r="G2165" i="104"/>
  <c r="G2166" i="104"/>
  <c r="G2167" i="104"/>
  <c r="G2168" i="104"/>
  <c r="G2169" i="104"/>
  <c r="G2170" i="104"/>
  <c r="G2171" i="104"/>
  <c r="G2172" i="104"/>
  <c r="G2173" i="104"/>
  <c r="G2174" i="104"/>
  <c r="G2175" i="104"/>
  <c r="G2176" i="104"/>
  <c r="G2177" i="104"/>
  <c r="G2178" i="104"/>
  <c r="G2179" i="104"/>
  <c r="G2180" i="104"/>
  <c r="G2181" i="104"/>
  <c r="G2182" i="104"/>
  <c r="G2183" i="104"/>
  <c r="G2184" i="104"/>
  <c r="G2185" i="104"/>
  <c r="G2186" i="104"/>
  <c r="G2187" i="104"/>
  <c r="G2188" i="104"/>
  <c r="G2189" i="104"/>
  <c r="G2190" i="104"/>
  <c r="G2191" i="104"/>
  <c r="G2192" i="104"/>
  <c r="G2193" i="104"/>
  <c r="G2194" i="104"/>
  <c r="G2195" i="104"/>
  <c r="G2196" i="104"/>
  <c r="G2197" i="104"/>
  <c r="G2198" i="104"/>
  <c r="G2199" i="104"/>
  <c r="G2200" i="104"/>
  <c r="G2201" i="104"/>
  <c r="G2202" i="104"/>
  <c r="G2203" i="104"/>
  <c r="G2204" i="104"/>
  <c r="G2205" i="104"/>
  <c r="G2206" i="104"/>
  <c r="G2207" i="104"/>
  <c r="G2208" i="104"/>
  <c r="G2209" i="104"/>
  <c r="G2210" i="104"/>
  <c r="G2211" i="104"/>
  <c r="G2212" i="104"/>
  <c r="G2213" i="104"/>
  <c r="G2214" i="104"/>
  <c r="G2215" i="104"/>
  <c r="G2216" i="104"/>
  <c r="G2217" i="104"/>
  <c r="G2218" i="104"/>
  <c r="G2219" i="104"/>
  <c r="G2220" i="104"/>
  <c r="G2221" i="104"/>
  <c r="G2222" i="104"/>
  <c r="G2223" i="104"/>
  <c r="G2224" i="104"/>
  <c r="G2225" i="104"/>
  <c r="G2226" i="104"/>
  <c r="G2227" i="104"/>
  <c r="G2228" i="104"/>
  <c r="G2229" i="104"/>
  <c r="G2230" i="104"/>
  <c r="G2231" i="104"/>
  <c r="G2232" i="104"/>
  <c r="G2233" i="104"/>
  <c r="G2234" i="104"/>
  <c r="G2235" i="104"/>
  <c r="G2236" i="104"/>
  <c r="G2237" i="104"/>
  <c r="G2238" i="104"/>
  <c r="G2239" i="104"/>
  <c r="G2240" i="104"/>
  <c r="G2241" i="104"/>
  <c r="G2242" i="104"/>
  <c r="G2243" i="104"/>
  <c r="G2244" i="104"/>
  <c r="G2245" i="104"/>
  <c r="G2246" i="104"/>
  <c r="G2247" i="104"/>
  <c r="G2248" i="104"/>
  <c r="G2249" i="104"/>
  <c r="G2250" i="104"/>
  <c r="G2251" i="104"/>
  <c r="G2252" i="104"/>
  <c r="G2253" i="104"/>
  <c r="G2254" i="104"/>
  <c r="G2255" i="104"/>
  <c r="G2256" i="104"/>
  <c r="G2257" i="104"/>
  <c r="G2258" i="104"/>
  <c r="G2259" i="104"/>
  <c r="G2260" i="104"/>
  <c r="G2261" i="104"/>
  <c r="G2262" i="104"/>
  <c r="G2263" i="104"/>
  <c r="G2264" i="104"/>
  <c r="G2265" i="104"/>
  <c r="G2266" i="104"/>
  <c r="G2267" i="104"/>
  <c r="G2268" i="104"/>
  <c r="G2269" i="104"/>
  <c r="G2270" i="104"/>
  <c r="G2271" i="104"/>
  <c r="G2272" i="104"/>
  <c r="G2273" i="104"/>
  <c r="G2274" i="104"/>
  <c r="G2275" i="104"/>
  <c r="G2276" i="104"/>
  <c r="G2277" i="104"/>
  <c r="G2278" i="104"/>
  <c r="G2279" i="104"/>
  <c r="G2280" i="104"/>
  <c r="G2281" i="104"/>
  <c r="G2282" i="104"/>
  <c r="G2283" i="104"/>
  <c r="G2284" i="104"/>
  <c r="G2285" i="104"/>
  <c r="G2286" i="104"/>
  <c r="G2287" i="104"/>
  <c r="G2288" i="104"/>
  <c r="G2289" i="104"/>
  <c r="G2290" i="104"/>
  <c r="G2291" i="104"/>
  <c r="G2292" i="104"/>
  <c r="G2293" i="104"/>
  <c r="G2294" i="104"/>
  <c r="G2295" i="104"/>
  <c r="G2296" i="104"/>
  <c r="G2297" i="104"/>
  <c r="G2298" i="104"/>
  <c r="G2299" i="104"/>
  <c r="G2300" i="104"/>
  <c r="G2301" i="104"/>
  <c r="G2302" i="104"/>
  <c r="G2303" i="104"/>
  <c r="G2304" i="104"/>
  <c r="G2305" i="104"/>
  <c r="G2306" i="104"/>
  <c r="G2307" i="104"/>
  <c r="G2308" i="104"/>
  <c r="G2309" i="104"/>
  <c r="G2310" i="104"/>
  <c r="G2311" i="104"/>
  <c r="G2312" i="104"/>
  <c r="G2313" i="104"/>
  <c r="G2314" i="104"/>
  <c r="G2315" i="104"/>
  <c r="G2316" i="104"/>
  <c r="G2317" i="104"/>
  <c r="G2318" i="104"/>
  <c r="G2319" i="104"/>
  <c r="G2320" i="104"/>
  <c r="G2321" i="104"/>
  <c r="G2322" i="104"/>
  <c r="G2323" i="104"/>
  <c r="G2324" i="104"/>
  <c r="G2325" i="104"/>
  <c r="G2326" i="104"/>
  <c r="G2327" i="104"/>
  <c r="G2328" i="104"/>
  <c r="G2329" i="104"/>
  <c r="G2330" i="104"/>
  <c r="G2331" i="104"/>
  <c r="G2332" i="104"/>
  <c r="G2333" i="104"/>
  <c r="G2334" i="104"/>
  <c r="G2335" i="104"/>
  <c r="G2336" i="104"/>
  <c r="G2337" i="104"/>
  <c r="G2338" i="104"/>
  <c r="G2339" i="104"/>
  <c r="G2340" i="104"/>
  <c r="G2341" i="104"/>
  <c r="G2342" i="104"/>
  <c r="G2343" i="104"/>
  <c r="G2344" i="104"/>
  <c r="G2345" i="104"/>
  <c r="G2346" i="104"/>
  <c r="G2347" i="104"/>
  <c r="G2348" i="104"/>
  <c r="G2349" i="104"/>
  <c r="G2350" i="104"/>
  <c r="G2351" i="104"/>
  <c r="G2352" i="104"/>
  <c r="G2353" i="104"/>
  <c r="G2354" i="104"/>
  <c r="G2355" i="104"/>
  <c r="G2356" i="104"/>
  <c r="G2357" i="104"/>
  <c r="G2358" i="104"/>
  <c r="G2359" i="104"/>
  <c r="G2360" i="104"/>
  <c r="G2361" i="104"/>
  <c r="G2362" i="104"/>
  <c r="G2363" i="104"/>
  <c r="G2364" i="104"/>
  <c r="G2365" i="104"/>
  <c r="G2366" i="104"/>
  <c r="G2367" i="104"/>
  <c r="G2368" i="104"/>
  <c r="G2369" i="104"/>
  <c r="G2370" i="104"/>
  <c r="G2371" i="104"/>
  <c r="G2372" i="104"/>
  <c r="G2373" i="104"/>
  <c r="G2374" i="104"/>
  <c r="G2375" i="104"/>
  <c r="G2376" i="104"/>
  <c r="G2377" i="104"/>
  <c r="G2378" i="104"/>
  <c r="G2379" i="104"/>
  <c r="G2380" i="104"/>
  <c r="G2381" i="104"/>
  <c r="G2382" i="104"/>
  <c r="G2383" i="104"/>
  <c r="G2384" i="104"/>
  <c r="G2385" i="104"/>
  <c r="G2386" i="104"/>
  <c r="G2387" i="104"/>
  <c r="G2388" i="104"/>
  <c r="G2389" i="104"/>
  <c r="G2390" i="104"/>
  <c r="G2391" i="104"/>
  <c r="G2392" i="104"/>
  <c r="G2393" i="104"/>
  <c r="G2394" i="104"/>
  <c r="G2395" i="104"/>
  <c r="G2396" i="104"/>
  <c r="G2397" i="104"/>
  <c r="G2398" i="104"/>
  <c r="G2399" i="104"/>
  <c r="G2400" i="104"/>
  <c r="G2401" i="104"/>
  <c r="G2402" i="104"/>
  <c r="G2403" i="104"/>
  <c r="G2404" i="104"/>
  <c r="G2405" i="104"/>
  <c r="G2406" i="104"/>
  <c r="G2407" i="104"/>
  <c r="G2408" i="104"/>
  <c r="G2409" i="104"/>
  <c r="G2410" i="104"/>
  <c r="G2411" i="104"/>
  <c r="G2412" i="104"/>
  <c r="G2413" i="104"/>
  <c r="G2414" i="104"/>
  <c r="G2415" i="104"/>
  <c r="G2416" i="104"/>
  <c r="G2417" i="104"/>
  <c r="G2418" i="104"/>
  <c r="G2419" i="104"/>
  <c r="G2420" i="104"/>
  <c r="G2421" i="104"/>
  <c r="G2422" i="104"/>
  <c r="G2423" i="104"/>
  <c r="G2424" i="104"/>
  <c r="G2425" i="104"/>
  <c r="G2426" i="104"/>
  <c r="G2427" i="104"/>
  <c r="G2428" i="104"/>
  <c r="G2429" i="104"/>
  <c r="G2430" i="104"/>
  <c r="G2431" i="104"/>
  <c r="G2432" i="104"/>
  <c r="G2433" i="104"/>
  <c r="G2434" i="104"/>
  <c r="G2435" i="104"/>
  <c r="G2436" i="104"/>
  <c r="G2437" i="104"/>
  <c r="G2438" i="104"/>
  <c r="G2439" i="104"/>
  <c r="G2440" i="104"/>
  <c r="G2441" i="104"/>
  <c r="G2442" i="104"/>
  <c r="G2443" i="104"/>
  <c r="G2444" i="104"/>
  <c r="G2445" i="104"/>
  <c r="G2446" i="104"/>
  <c r="G2447" i="104"/>
  <c r="G2448" i="104"/>
  <c r="G2449" i="104"/>
  <c r="G2450" i="104"/>
  <c r="G2451" i="104"/>
  <c r="G2452" i="104"/>
  <c r="G2453" i="104"/>
  <c r="G2454" i="104"/>
  <c r="G2455" i="104"/>
  <c r="G2456" i="104"/>
  <c r="G2457" i="104"/>
  <c r="G2458" i="104"/>
  <c r="G2459" i="104"/>
  <c r="G2460" i="104"/>
  <c r="G2461" i="104"/>
  <c r="G2462" i="104"/>
  <c r="G2463" i="104"/>
  <c r="G2464" i="104"/>
  <c r="G2465" i="104"/>
  <c r="G2466" i="104"/>
  <c r="G2467" i="104"/>
  <c r="G2468" i="104"/>
  <c r="G2469" i="104"/>
  <c r="G2470" i="104"/>
  <c r="G2471" i="104"/>
  <c r="G2472" i="104"/>
  <c r="G2473" i="104"/>
  <c r="G2474" i="104"/>
  <c r="G2475" i="104"/>
  <c r="G2476" i="104"/>
  <c r="G2477" i="104"/>
  <c r="G2478" i="104"/>
  <c r="G2479" i="104"/>
  <c r="G2480" i="104"/>
  <c r="G2481" i="104"/>
  <c r="G2482" i="104"/>
  <c r="G2483" i="104"/>
  <c r="G2484" i="104"/>
  <c r="G2485" i="104"/>
  <c r="G2486" i="104"/>
  <c r="G2487" i="104"/>
  <c r="G2488" i="104"/>
  <c r="G2489" i="104"/>
  <c r="G2490" i="104"/>
  <c r="G2491" i="104"/>
  <c r="G2492" i="104"/>
  <c r="G2493" i="104"/>
  <c r="G2494" i="104"/>
  <c r="G2495" i="104"/>
  <c r="G2496" i="104"/>
  <c r="G2497" i="104"/>
  <c r="G2498" i="104"/>
  <c r="G2499" i="104"/>
  <c r="G2500" i="104"/>
  <c r="G2501" i="104"/>
  <c r="G2502" i="104"/>
  <c r="G2503" i="104"/>
  <c r="G2504" i="104"/>
  <c r="G2505" i="104"/>
  <c r="G2506" i="104"/>
  <c r="G2507" i="104"/>
  <c r="G2508" i="104"/>
  <c r="G2509" i="104"/>
  <c r="G2510" i="104"/>
  <c r="G2511" i="104"/>
  <c r="G2512" i="104"/>
  <c r="G2513" i="104"/>
  <c r="G2514" i="104"/>
  <c r="G2515" i="104"/>
  <c r="G2516" i="104"/>
  <c r="G2517" i="104"/>
  <c r="G2518" i="104"/>
  <c r="G2519" i="104"/>
  <c r="G2520" i="104"/>
  <c r="G2521" i="104"/>
  <c r="G2522" i="104"/>
  <c r="G2523" i="104"/>
  <c r="G2524" i="104"/>
  <c r="G2525" i="104"/>
  <c r="G2526" i="104"/>
  <c r="G2527" i="104"/>
  <c r="G2528" i="104"/>
  <c r="G2529" i="104"/>
  <c r="G2530" i="104"/>
  <c r="G2531" i="104"/>
  <c r="G2532" i="104"/>
  <c r="G2533" i="104"/>
  <c r="G2534" i="104"/>
  <c r="G2535" i="104"/>
  <c r="G2536" i="104"/>
  <c r="G2537" i="104"/>
  <c r="G2538" i="104"/>
  <c r="G2539" i="104"/>
  <c r="G2540" i="104"/>
  <c r="G2541" i="104"/>
  <c r="G2542" i="104"/>
  <c r="G2543" i="104"/>
  <c r="G2544" i="104"/>
  <c r="G2545" i="104"/>
  <c r="G2546" i="104"/>
  <c r="G2547" i="104"/>
  <c r="G2548" i="104"/>
  <c r="G2549" i="104"/>
  <c r="G2550" i="104"/>
  <c r="G2551" i="104"/>
  <c r="G2552" i="104"/>
  <c r="G2553" i="104"/>
  <c r="G2554" i="104"/>
  <c r="G2555" i="104"/>
  <c r="G2556" i="104"/>
  <c r="G2557" i="104"/>
  <c r="G2558" i="104"/>
  <c r="G2559" i="104"/>
  <c r="G2560" i="104"/>
  <c r="G2561" i="104"/>
  <c r="G2562" i="104"/>
  <c r="G2563" i="104"/>
  <c r="G2564" i="104"/>
  <c r="G2565" i="104"/>
  <c r="G2566" i="104"/>
  <c r="G2567" i="104"/>
  <c r="G2568" i="104"/>
  <c r="G2569" i="104"/>
  <c r="G2570" i="104"/>
  <c r="G2571" i="104"/>
  <c r="G2572" i="104"/>
  <c r="G2573" i="104"/>
  <c r="G2574" i="104"/>
  <c r="G2575" i="104"/>
  <c r="G2576" i="104"/>
  <c r="G2577" i="104"/>
  <c r="G2578" i="104"/>
  <c r="G2579" i="104"/>
  <c r="G2580" i="104"/>
  <c r="G2581" i="104"/>
  <c r="G2582" i="104"/>
  <c r="G2583" i="104"/>
  <c r="G2584" i="104"/>
  <c r="G2585" i="104"/>
  <c r="G2586" i="104"/>
  <c r="G2587" i="104"/>
  <c r="G2588" i="104"/>
  <c r="G2589" i="104"/>
  <c r="G2590" i="104"/>
  <c r="G2591" i="104"/>
  <c r="G2592" i="104"/>
  <c r="G2593" i="104"/>
  <c r="G2594" i="104"/>
  <c r="G2595" i="104"/>
  <c r="G2596" i="104"/>
  <c r="G2597" i="104"/>
  <c r="G2598" i="104"/>
  <c r="G2599" i="104"/>
  <c r="G2600" i="104"/>
  <c r="G2601" i="104"/>
  <c r="G2602" i="104"/>
  <c r="G2603" i="104"/>
  <c r="G2604" i="104"/>
  <c r="G2605" i="104"/>
  <c r="G2606" i="104"/>
  <c r="G2607" i="104"/>
  <c r="G2608" i="104"/>
  <c r="G2609" i="104"/>
  <c r="G2610" i="104"/>
  <c r="G2611" i="104"/>
  <c r="G2612" i="104"/>
  <c r="G2613" i="104"/>
  <c r="G2614" i="104"/>
  <c r="G2615" i="104"/>
  <c r="G2616" i="104"/>
  <c r="G2617" i="104"/>
  <c r="G2618" i="104"/>
  <c r="G2619" i="104"/>
  <c r="G2620" i="104"/>
  <c r="G2621" i="104"/>
  <c r="G2622" i="104"/>
  <c r="G2623" i="104"/>
  <c r="G2624" i="104"/>
  <c r="G2625" i="104"/>
  <c r="G2626" i="104"/>
  <c r="G2627" i="104"/>
  <c r="G2628" i="104"/>
  <c r="G2629" i="104"/>
  <c r="G2630" i="104"/>
  <c r="G2631" i="104"/>
  <c r="G2632" i="104"/>
  <c r="G2633" i="104"/>
  <c r="G2634" i="104"/>
  <c r="G2635" i="104"/>
  <c r="G2636" i="104"/>
  <c r="G2637" i="104"/>
  <c r="G2638" i="104"/>
  <c r="G2639" i="104"/>
  <c r="G2640" i="104"/>
  <c r="G2641" i="104"/>
  <c r="G2642" i="104"/>
  <c r="G2643" i="104"/>
  <c r="G2644" i="104"/>
  <c r="G2645" i="104"/>
  <c r="G2646" i="104"/>
  <c r="G2647" i="104"/>
  <c r="G2648" i="104"/>
  <c r="G2649" i="104"/>
  <c r="G2650" i="104"/>
  <c r="G2651" i="104"/>
  <c r="G2652" i="104"/>
  <c r="G2653" i="104"/>
  <c r="G2654" i="104"/>
  <c r="G2655" i="104"/>
  <c r="G2656" i="104"/>
  <c r="G2657" i="104"/>
  <c r="G2658" i="104"/>
  <c r="G2659" i="104"/>
  <c r="G2660" i="104"/>
  <c r="G2661" i="104"/>
  <c r="G2662" i="104"/>
  <c r="G2663" i="104"/>
  <c r="G2664" i="104"/>
  <c r="G2665" i="104"/>
  <c r="G2666" i="104"/>
  <c r="G2667" i="104"/>
  <c r="G2668" i="104"/>
  <c r="G2669" i="104"/>
  <c r="G2670" i="104"/>
  <c r="G2671" i="104"/>
  <c r="G2672" i="104"/>
  <c r="G2673" i="104"/>
  <c r="G2674" i="104"/>
  <c r="G2675" i="104"/>
  <c r="G2676" i="104"/>
  <c r="G2677" i="104"/>
  <c r="G2678" i="104"/>
  <c r="G2679" i="104"/>
  <c r="G2680" i="104"/>
  <c r="G2681" i="104"/>
  <c r="G2682" i="104"/>
  <c r="G2683" i="104"/>
  <c r="G2684" i="104"/>
  <c r="G2685" i="104"/>
  <c r="G2686" i="104"/>
  <c r="G2687" i="104"/>
  <c r="G2688" i="104"/>
  <c r="G2689" i="104"/>
  <c r="G2690" i="104"/>
  <c r="G2691" i="104"/>
  <c r="G2692" i="104"/>
  <c r="G2693" i="104"/>
  <c r="G2694" i="104"/>
  <c r="G2695" i="104"/>
  <c r="G2696" i="104"/>
  <c r="G2697" i="104"/>
  <c r="G2698" i="104"/>
  <c r="G2699" i="104"/>
  <c r="G2700" i="104"/>
  <c r="G2701" i="104"/>
  <c r="G2702" i="104"/>
  <c r="G2703" i="104"/>
  <c r="G2704" i="104"/>
  <c r="G2705" i="104"/>
  <c r="G2706" i="104"/>
  <c r="G2707" i="104"/>
  <c r="G2708" i="104"/>
  <c r="G2709" i="104"/>
  <c r="G2710" i="104"/>
  <c r="G2711" i="104"/>
  <c r="G2712" i="104"/>
  <c r="G2713" i="104"/>
  <c r="G2714" i="104"/>
  <c r="G2715" i="104"/>
  <c r="G2716" i="104"/>
  <c r="G2717" i="104"/>
  <c r="G2718" i="104"/>
  <c r="G2719" i="104"/>
  <c r="G2720" i="104"/>
  <c r="G2721" i="104"/>
  <c r="G2722" i="104"/>
  <c r="G2723" i="104"/>
  <c r="G2724" i="104"/>
  <c r="G2725" i="104"/>
  <c r="G2726" i="104"/>
  <c r="G2727" i="104"/>
  <c r="G2728" i="104"/>
  <c r="G2729" i="104"/>
  <c r="G2730" i="104"/>
  <c r="G2731" i="104"/>
  <c r="G2732" i="104"/>
  <c r="G2733" i="104"/>
  <c r="G2734" i="104"/>
  <c r="G2735" i="104"/>
  <c r="G2736" i="104"/>
  <c r="G2737" i="104"/>
  <c r="G2738" i="104"/>
  <c r="G2739" i="104"/>
  <c r="G2740" i="104"/>
  <c r="G2741" i="104"/>
  <c r="G2742" i="104"/>
  <c r="G2743" i="104"/>
  <c r="G2744" i="104"/>
  <c r="G2745" i="104"/>
  <c r="G2746" i="104"/>
  <c r="G2747" i="104"/>
  <c r="G2748" i="104"/>
  <c r="G2749" i="104"/>
  <c r="G2750" i="104"/>
  <c r="G2751" i="104"/>
  <c r="G2752" i="104"/>
  <c r="G2753" i="104"/>
  <c r="G2754" i="104"/>
  <c r="G2755" i="104"/>
  <c r="G2756" i="104"/>
  <c r="G2757" i="104"/>
  <c r="G2758" i="104"/>
  <c r="G2759" i="104"/>
  <c r="G2760" i="104"/>
  <c r="G2761" i="104"/>
  <c r="G2762" i="104"/>
  <c r="G2763" i="104"/>
  <c r="G2764" i="104"/>
  <c r="G2765" i="104"/>
  <c r="G2766" i="104"/>
  <c r="G2767" i="104"/>
  <c r="G2768" i="104"/>
  <c r="G2769" i="104"/>
  <c r="G2770" i="104"/>
  <c r="G2771" i="104"/>
  <c r="G2772" i="104"/>
  <c r="G2773" i="104"/>
  <c r="G2774" i="104"/>
  <c r="G2775" i="104"/>
  <c r="G2776" i="104"/>
  <c r="G2777" i="104"/>
  <c r="G2778" i="104"/>
  <c r="G2779" i="104"/>
  <c r="G2780" i="104"/>
  <c r="G2781" i="104"/>
  <c r="G2782" i="104"/>
  <c r="G2783" i="104"/>
  <c r="G2784" i="104"/>
  <c r="G2785" i="104"/>
  <c r="G2786" i="104"/>
  <c r="G2787" i="104"/>
  <c r="G2788" i="104"/>
  <c r="G2789" i="104"/>
  <c r="G2790" i="104"/>
  <c r="G2791" i="104"/>
  <c r="G2792" i="104"/>
  <c r="G2793" i="104"/>
  <c r="G2794" i="104"/>
  <c r="G2795" i="104"/>
  <c r="G2796" i="104"/>
  <c r="G2797" i="104"/>
  <c r="G2798" i="104"/>
  <c r="G2799" i="104"/>
  <c r="G2800" i="104"/>
  <c r="G2801" i="104"/>
  <c r="G2802" i="104"/>
  <c r="G2803" i="104"/>
  <c r="G2804" i="104"/>
  <c r="G2805" i="104"/>
  <c r="G2806" i="104"/>
  <c r="G2807" i="104"/>
  <c r="G2808" i="104"/>
  <c r="G2809" i="104"/>
  <c r="G2810" i="104"/>
  <c r="G2811" i="104"/>
  <c r="G2812" i="104"/>
  <c r="G2813" i="104"/>
  <c r="G2814" i="104"/>
  <c r="G2815" i="104"/>
  <c r="G2816" i="104"/>
  <c r="G2817" i="104"/>
  <c r="G2818" i="104"/>
  <c r="G2819" i="104"/>
  <c r="G2820" i="104"/>
  <c r="G2821" i="104"/>
  <c r="G2822" i="104"/>
  <c r="G2823" i="104"/>
  <c r="G2824" i="104"/>
  <c r="G2825" i="104"/>
  <c r="G2826" i="104"/>
  <c r="G2827" i="104"/>
  <c r="G2828" i="104"/>
  <c r="G2829" i="104"/>
  <c r="G2830" i="104"/>
  <c r="G2831" i="104"/>
  <c r="G2832" i="104"/>
  <c r="G2833" i="104"/>
  <c r="G2834" i="104"/>
  <c r="G2835" i="104"/>
  <c r="G2836" i="104"/>
  <c r="G2837" i="104"/>
  <c r="G2838" i="104"/>
  <c r="G2839" i="104"/>
  <c r="G2840" i="104"/>
  <c r="G2841" i="104"/>
  <c r="G2842" i="104"/>
  <c r="G2843" i="104"/>
  <c r="G2844" i="104"/>
  <c r="G2845" i="104"/>
  <c r="G2846" i="104"/>
  <c r="G2847" i="104"/>
  <c r="G2848" i="104"/>
  <c r="G2849" i="104"/>
  <c r="G2850" i="104"/>
  <c r="G2851" i="104"/>
  <c r="G2852" i="104"/>
  <c r="G2853" i="104"/>
  <c r="G2854" i="104"/>
  <c r="G2855" i="104"/>
  <c r="G2856" i="104"/>
  <c r="G2857" i="104"/>
  <c r="G2858" i="104"/>
  <c r="G2859" i="104"/>
  <c r="G2860" i="104"/>
  <c r="G2861" i="104"/>
  <c r="G2862" i="104"/>
  <c r="G2863" i="104"/>
  <c r="G2864" i="104"/>
  <c r="G2865" i="104"/>
  <c r="G2866" i="104"/>
  <c r="G2867" i="104"/>
  <c r="G2868" i="104"/>
  <c r="G2869" i="104"/>
  <c r="G2870" i="104"/>
  <c r="G2871" i="104"/>
  <c r="G2872" i="104"/>
  <c r="G2873" i="104"/>
  <c r="G2874" i="104"/>
  <c r="G2875" i="104"/>
  <c r="G2876" i="104"/>
  <c r="G2877" i="104"/>
  <c r="G2878" i="104"/>
  <c r="G2879" i="104"/>
  <c r="G2880" i="104"/>
  <c r="G2881" i="104"/>
  <c r="G2882" i="104"/>
  <c r="G2883" i="104"/>
  <c r="G2884" i="104"/>
  <c r="G2885" i="104"/>
  <c r="G2886" i="104"/>
  <c r="G2887" i="104"/>
  <c r="G2888" i="104"/>
  <c r="G2889" i="104"/>
  <c r="G2890" i="104"/>
  <c r="G2891" i="104"/>
  <c r="G2892" i="104"/>
  <c r="G2893" i="104"/>
  <c r="G2894" i="104"/>
  <c r="G2895" i="104"/>
  <c r="G2896" i="104"/>
  <c r="G2897" i="104"/>
  <c r="G2898" i="104"/>
  <c r="G2899" i="104"/>
  <c r="G2900" i="104"/>
  <c r="G2901" i="104"/>
  <c r="G2902" i="104"/>
  <c r="G2903" i="104"/>
  <c r="G2904" i="104"/>
  <c r="G2905" i="104"/>
  <c r="G2906" i="104"/>
  <c r="G2907" i="104"/>
  <c r="G2908" i="104"/>
  <c r="G2909" i="104"/>
  <c r="G2910" i="104"/>
  <c r="G2911" i="104"/>
  <c r="G2912" i="104"/>
  <c r="G2913" i="104"/>
  <c r="G2914" i="104"/>
  <c r="G2915" i="104"/>
  <c r="G2916" i="104"/>
  <c r="G2917" i="104"/>
  <c r="G2918" i="104"/>
  <c r="G2919" i="104"/>
  <c r="G2920" i="104"/>
  <c r="G2921" i="104"/>
  <c r="G2922" i="104"/>
  <c r="G2923" i="104"/>
  <c r="G2924" i="104"/>
  <c r="G2925" i="104"/>
  <c r="G2926" i="104"/>
  <c r="G2927" i="104"/>
  <c r="G2928" i="104"/>
  <c r="G2929" i="104"/>
  <c r="G2930" i="104"/>
  <c r="G2931" i="104"/>
  <c r="G2932" i="104"/>
  <c r="G2933" i="104"/>
  <c r="G2934" i="104"/>
  <c r="G2935" i="104"/>
  <c r="G2936" i="104"/>
  <c r="G2937" i="104"/>
  <c r="G2938" i="104"/>
  <c r="G2939" i="104"/>
  <c r="G2940" i="104"/>
  <c r="G2941" i="104"/>
  <c r="G2942" i="104"/>
  <c r="G2943" i="104"/>
  <c r="G2944" i="104"/>
  <c r="G2945" i="104"/>
  <c r="G2946" i="104"/>
  <c r="G2947" i="104"/>
  <c r="G2948" i="104"/>
  <c r="G2949" i="104"/>
  <c r="G2950" i="104"/>
  <c r="G2951" i="104"/>
  <c r="G2952" i="104"/>
  <c r="G2953" i="104"/>
  <c r="G2954" i="104"/>
  <c r="G2955" i="104"/>
  <c r="G2956" i="104"/>
  <c r="G2957" i="104"/>
  <c r="G2958" i="104"/>
  <c r="G2959" i="104"/>
  <c r="G2960" i="104"/>
  <c r="G2961" i="104"/>
  <c r="G2962" i="104"/>
  <c r="G2963" i="104"/>
  <c r="G2964" i="104"/>
  <c r="G2965" i="104"/>
  <c r="G2966" i="104"/>
  <c r="G2967" i="104"/>
  <c r="G2968" i="104"/>
  <c r="G2969" i="104"/>
  <c r="G2970" i="104"/>
  <c r="G2971" i="104"/>
  <c r="G2972" i="104"/>
  <c r="G2973" i="104"/>
  <c r="G2974" i="104"/>
  <c r="G2975" i="104"/>
  <c r="G2976" i="104"/>
  <c r="G2977" i="104"/>
  <c r="G2978" i="104"/>
  <c r="G2979" i="104"/>
  <c r="G2980" i="104"/>
  <c r="G2981" i="104"/>
  <c r="G2982" i="104"/>
  <c r="G2983" i="104"/>
  <c r="G2984" i="104"/>
  <c r="G2985" i="104"/>
  <c r="G2986" i="104"/>
  <c r="G2987" i="104"/>
  <c r="G2988" i="104"/>
  <c r="G2989" i="104"/>
  <c r="G2990" i="104"/>
  <c r="G2991" i="104"/>
  <c r="G2992" i="104"/>
  <c r="G2993" i="104"/>
  <c r="G2994" i="104"/>
  <c r="G2995" i="104"/>
  <c r="G2996" i="104"/>
  <c r="G2997" i="104"/>
  <c r="G2998" i="104"/>
  <c r="G2999" i="104"/>
  <c r="G3000" i="104"/>
  <c r="G3001" i="104"/>
  <c r="G3002" i="104"/>
  <c r="G3003" i="104"/>
  <c r="G3004" i="104"/>
  <c r="G3005" i="104"/>
  <c r="G3006" i="104"/>
  <c r="G3007" i="104"/>
  <c r="G3008" i="104"/>
  <c r="G3009" i="104"/>
  <c r="G3010" i="104"/>
  <c r="G3011" i="104"/>
  <c r="G3012" i="104"/>
  <c r="G3013" i="104"/>
  <c r="G3014" i="104"/>
  <c r="G3015" i="104"/>
  <c r="G3016" i="104"/>
  <c r="G3017" i="104"/>
  <c r="G3018" i="104"/>
  <c r="G3019" i="104"/>
  <c r="G3020" i="104"/>
  <c r="G3021" i="104"/>
  <c r="G3022" i="104"/>
  <c r="G3023" i="104"/>
  <c r="G3024" i="104"/>
  <c r="G3025" i="104"/>
  <c r="G3026" i="104"/>
  <c r="G3027" i="104"/>
  <c r="G3028" i="104"/>
  <c r="G3029" i="104"/>
  <c r="G3030" i="104"/>
  <c r="G3031" i="104"/>
  <c r="G3032" i="104"/>
  <c r="G3033" i="104"/>
  <c r="G3034" i="104"/>
  <c r="G3035" i="104"/>
  <c r="G3036" i="104"/>
  <c r="G3037" i="104"/>
  <c r="G3038" i="104"/>
  <c r="G3039" i="104"/>
  <c r="G3040" i="104"/>
  <c r="G3041" i="104"/>
  <c r="G3042" i="104"/>
  <c r="G3043" i="104"/>
  <c r="G3044" i="104"/>
  <c r="G3045" i="104"/>
  <c r="G3046" i="104"/>
  <c r="G3047" i="104"/>
  <c r="G3048" i="104"/>
  <c r="G3049" i="104"/>
  <c r="G3050" i="104"/>
  <c r="G3051" i="104"/>
  <c r="G3052" i="104"/>
  <c r="G3053" i="104"/>
  <c r="G3054" i="104"/>
  <c r="G3055" i="104"/>
  <c r="G3056" i="104"/>
  <c r="G3057" i="104"/>
  <c r="G3058" i="104"/>
  <c r="G3059" i="104"/>
  <c r="G3060" i="104"/>
  <c r="G3061" i="104"/>
  <c r="G3062" i="104"/>
  <c r="G3063" i="104"/>
  <c r="G3064" i="104"/>
  <c r="G3065" i="104"/>
  <c r="G3066" i="104"/>
  <c r="G3067" i="104"/>
  <c r="G3068" i="104"/>
  <c r="G3069" i="104"/>
  <c r="G3070" i="104"/>
  <c r="G3071" i="104"/>
  <c r="G3072" i="104"/>
  <c r="G3073" i="104"/>
  <c r="G3074" i="104"/>
  <c r="G3075" i="104"/>
  <c r="G3076" i="104"/>
  <c r="G3077" i="104"/>
  <c r="G3078" i="104"/>
  <c r="G3079" i="104"/>
  <c r="G3080" i="104"/>
  <c r="G3081" i="104"/>
  <c r="G3082" i="104"/>
  <c r="G3083" i="104"/>
  <c r="G3084" i="104"/>
  <c r="G3085" i="104"/>
  <c r="G3086" i="104"/>
  <c r="G3087" i="104"/>
  <c r="G3088" i="104"/>
  <c r="G3089" i="104"/>
  <c r="G3090" i="104"/>
  <c r="G3091" i="104"/>
  <c r="G3092" i="104"/>
  <c r="G3093" i="104"/>
  <c r="G3094" i="104"/>
  <c r="G3095" i="104"/>
  <c r="G3096" i="104"/>
  <c r="G3097" i="104"/>
  <c r="G3098" i="104"/>
  <c r="G3099" i="104"/>
  <c r="G3100" i="104"/>
  <c r="G3101" i="104"/>
  <c r="G3102" i="104"/>
  <c r="G3103" i="104"/>
  <c r="G3104" i="104"/>
  <c r="G3105" i="104"/>
  <c r="G3106" i="104"/>
  <c r="G3107" i="104"/>
  <c r="G3108" i="104"/>
  <c r="G3109" i="104"/>
  <c r="G3110" i="104"/>
  <c r="G3111" i="104"/>
  <c r="G3112" i="104"/>
  <c r="G3113" i="104"/>
  <c r="G3114" i="104"/>
  <c r="G3115" i="104"/>
  <c r="G3116" i="104"/>
  <c r="G3117" i="104"/>
  <c r="G3118" i="104"/>
  <c r="G3119" i="104"/>
  <c r="G3120" i="104"/>
  <c r="G3121" i="104"/>
  <c r="G3122" i="104"/>
  <c r="G3123" i="104"/>
  <c r="G3124" i="104"/>
  <c r="G3125" i="104"/>
  <c r="G3126" i="104"/>
  <c r="G3127" i="104"/>
  <c r="G3128" i="104"/>
  <c r="G3129" i="104"/>
  <c r="G3130" i="104"/>
  <c r="G3131" i="104"/>
  <c r="G3132" i="104"/>
  <c r="G3133" i="104"/>
  <c r="G3134" i="104"/>
  <c r="G3135" i="104"/>
  <c r="G3136" i="104"/>
  <c r="G3137" i="104"/>
  <c r="G3138" i="104"/>
  <c r="G3139" i="104"/>
  <c r="G3140" i="104"/>
  <c r="G3141" i="104"/>
  <c r="G3142" i="104"/>
  <c r="G3143" i="104"/>
  <c r="G3144" i="104"/>
  <c r="G3145" i="104"/>
  <c r="G3146" i="104"/>
  <c r="G3147" i="104"/>
  <c r="G3148" i="104"/>
  <c r="G3149" i="104"/>
  <c r="G3150" i="104"/>
  <c r="G3151" i="104"/>
  <c r="G3152" i="104"/>
  <c r="G3153" i="104"/>
  <c r="G3154" i="104"/>
  <c r="G3155" i="104"/>
  <c r="G3156" i="104"/>
  <c r="G3157" i="104"/>
  <c r="G3158" i="104"/>
  <c r="G3159" i="104"/>
  <c r="G3160" i="104"/>
  <c r="G3161" i="104"/>
  <c r="G3162" i="104"/>
  <c r="G3163" i="104"/>
  <c r="G3164" i="104"/>
  <c r="G3165" i="104"/>
  <c r="G3166" i="104"/>
  <c r="G3167" i="104"/>
  <c r="G3168" i="104"/>
  <c r="G3169" i="104"/>
  <c r="G3170" i="104"/>
  <c r="G3171" i="104"/>
  <c r="G3172" i="104"/>
  <c r="G3173" i="104"/>
  <c r="G3174" i="104"/>
  <c r="G3175" i="104"/>
  <c r="G3176" i="104"/>
  <c r="G3177" i="104"/>
  <c r="G3178" i="104"/>
  <c r="G3179" i="104"/>
  <c r="G3180" i="104"/>
  <c r="G3181" i="104"/>
  <c r="G3182" i="104"/>
  <c r="G3183" i="104"/>
  <c r="G3184" i="104"/>
  <c r="G3185" i="104"/>
  <c r="G3186" i="104"/>
  <c r="G3187" i="104"/>
  <c r="G3188" i="104"/>
  <c r="G3189" i="104"/>
  <c r="G3190" i="104"/>
  <c r="G3191" i="104"/>
  <c r="G3192" i="104"/>
  <c r="G3193" i="104"/>
  <c r="G3194" i="104"/>
  <c r="G3195" i="104"/>
  <c r="G3196" i="104"/>
  <c r="G3197" i="104"/>
  <c r="G3198" i="104"/>
  <c r="G3199" i="104"/>
  <c r="G3200" i="104"/>
  <c r="G3201" i="104"/>
  <c r="G3202" i="104"/>
  <c r="G3203" i="104"/>
  <c r="G3204" i="104"/>
  <c r="G3205" i="104"/>
  <c r="G3206" i="104"/>
  <c r="G3207" i="104"/>
  <c r="G3208" i="104"/>
  <c r="G3209" i="104"/>
  <c r="G3210" i="104"/>
  <c r="G3211" i="104"/>
  <c r="G3212" i="104"/>
  <c r="G3213" i="104"/>
  <c r="G3214" i="104"/>
  <c r="G3215" i="104"/>
  <c r="G3216" i="104"/>
  <c r="G3217" i="104"/>
  <c r="G3218" i="104"/>
  <c r="G3219" i="104"/>
  <c r="G3220" i="104"/>
  <c r="G3221" i="104"/>
  <c r="G3222" i="104"/>
  <c r="G3223" i="104"/>
  <c r="G3224" i="104"/>
  <c r="G3225" i="104"/>
  <c r="G3226" i="104"/>
  <c r="G3227" i="104"/>
  <c r="G3228" i="104"/>
  <c r="G3229" i="104"/>
  <c r="G3230" i="104"/>
  <c r="G3231" i="104"/>
  <c r="G3232" i="104"/>
  <c r="G3233" i="104"/>
  <c r="G3234" i="104"/>
  <c r="G3235" i="104"/>
  <c r="G3236" i="104"/>
  <c r="G3237" i="104"/>
  <c r="G3238" i="104"/>
  <c r="G3239" i="104"/>
  <c r="G3240" i="104"/>
  <c r="G3241" i="104"/>
  <c r="G3242" i="104"/>
  <c r="G3243" i="104"/>
  <c r="G3244" i="104"/>
  <c r="G3245" i="104"/>
  <c r="G3246" i="104"/>
  <c r="G3247" i="104"/>
  <c r="G3248" i="104"/>
  <c r="G3249" i="104"/>
  <c r="G3250" i="104"/>
  <c r="G3251" i="104"/>
  <c r="G3252" i="104"/>
  <c r="G3253" i="104"/>
  <c r="G3254" i="104"/>
  <c r="G3255" i="104"/>
  <c r="G3256" i="104"/>
  <c r="G3257" i="104"/>
  <c r="G3258" i="104"/>
  <c r="G3259" i="104"/>
  <c r="G3260" i="104"/>
  <c r="G3261" i="104"/>
  <c r="G3262" i="104"/>
  <c r="G3263" i="104"/>
  <c r="G3264" i="104"/>
  <c r="G3265" i="104"/>
  <c r="G3266" i="104"/>
  <c r="G3267" i="104"/>
  <c r="G3268" i="104"/>
  <c r="G3269" i="104"/>
  <c r="G3270" i="104"/>
  <c r="G3271" i="104"/>
  <c r="G3272" i="104"/>
  <c r="G3273" i="104"/>
  <c r="G3274" i="104"/>
  <c r="G3275" i="104"/>
  <c r="G3276" i="104"/>
  <c r="G3277" i="104"/>
  <c r="G3278" i="104"/>
  <c r="G3279" i="104"/>
  <c r="G3280" i="104"/>
  <c r="G3281" i="104"/>
  <c r="G3282" i="104"/>
  <c r="G3283" i="104"/>
  <c r="G3284" i="104"/>
  <c r="G3285" i="104"/>
  <c r="G3286" i="104"/>
  <c r="G3287" i="104"/>
  <c r="G3288" i="104"/>
  <c r="G3289" i="104"/>
  <c r="G3290" i="104"/>
  <c r="G3291" i="104"/>
  <c r="G3292" i="104"/>
  <c r="G3293" i="104"/>
  <c r="G3294" i="104"/>
  <c r="G3295" i="104"/>
  <c r="G3296" i="104"/>
  <c r="G3297" i="104"/>
  <c r="G3298" i="104"/>
  <c r="G3299" i="104"/>
  <c r="G3300" i="104"/>
  <c r="G3301" i="104"/>
  <c r="G3302" i="104"/>
  <c r="G3303" i="104"/>
  <c r="G3304" i="104"/>
  <c r="G3305" i="104"/>
  <c r="G3306" i="104"/>
  <c r="G3307" i="104"/>
  <c r="G3308" i="104"/>
  <c r="G3309" i="104"/>
  <c r="G3310" i="104"/>
  <c r="G3311" i="104"/>
  <c r="G3312" i="104"/>
  <c r="G3313" i="104"/>
  <c r="G3314" i="104"/>
  <c r="G3315" i="104"/>
  <c r="G3316" i="104"/>
  <c r="G3317" i="104"/>
  <c r="G3318" i="104"/>
  <c r="G3319" i="104"/>
  <c r="G3320" i="104"/>
  <c r="G3321" i="104"/>
  <c r="G3322" i="104"/>
  <c r="G3323" i="104"/>
  <c r="G3324" i="104"/>
  <c r="G3325" i="104"/>
  <c r="G3326" i="104"/>
  <c r="G3327" i="104"/>
  <c r="G3328" i="104"/>
  <c r="G3329" i="104"/>
  <c r="G3330" i="104"/>
  <c r="G3331" i="104"/>
  <c r="G3332" i="104"/>
  <c r="G3333" i="104"/>
  <c r="G3334" i="104"/>
  <c r="G3335" i="104"/>
  <c r="G3336" i="104"/>
  <c r="G3337" i="104"/>
  <c r="G3338" i="104"/>
  <c r="G3339" i="104"/>
  <c r="G3340" i="104"/>
  <c r="G3341" i="104"/>
  <c r="G3342" i="104"/>
  <c r="G3343" i="104"/>
  <c r="G3344" i="104"/>
  <c r="G3345" i="104"/>
  <c r="G3346" i="104"/>
  <c r="G3347" i="104"/>
  <c r="G3348" i="104"/>
  <c r="G3349" i="104"/>
  <c r="G3350" i="104"/>
  <c r="G3351" i="104"/>
  <c r="G3352" i="104"/>
  <c r="G3353" i="104"/>
  <c r="G3354" i="104"/>
  <c r="G3355" i="104"/>
  <c r="G3356" i="104"/>
  <c r="G3357" i="104"/>
  <c r="G3358" i="104"/>
  <c r="G3359" i="104"/>
  <c r="G3360" i="104"/>
  <c r="G3361" i="104"/>
  <c r="G3362" i="104"/>
  <c r="G3363" i="104"/>
  <c r="G3364" i="104"/>
  <c r="G3365" i="104"/>
  <c r="G3366" i="104"/>
  <c r="G3367" i="104"/>
  <c r="G3368" i="104"/>
  <c r="G3369" i="104"/>
  <c r="G3370" i="104"/>
  <c r="G3371" i="104"/>
  <c r="G3372" i="104"/>
  <c r="G3373" i="104"/>
  <c r="G3374" i="104"/>
  <c r="G3375" i="104"/>
  <c r="G3376" i="104"/>
  <c r="G3377" i="104"/>
  <c r="G3378" i="104"/>
  <c r="G3379" i="104"/>
  <c r="G3380" i="104"/>
  <c r="G3381" i="104"/>
  <c r="G3382" i="104"/>
  <c r="G3383" i="104"/>
  <c r="G3384" i="104"/>
  <c r="G3385" i="104"/>
  <c r="G3386" i="104"/>
  <c r="G3387" i="104"/>
  <c r="G3388" i="104"/>
  <c r="G3389" i="104"/>
  <c r="G3390" i="104"/>
  <c r="G3391" i="104"/>
  <c r="G3392" i="104"/>
  <c r="G3393" i="104"/>
  <c r="G3394" i="104"/>
  <c r="G3395" i="104"/>
  <c r="G3396" i="104"/>
  <c r="G3397" i="104"/>
  <c r="G3398" i="104"/>
  <c r="G3399" i="104"/>
  <c r="G3400" i="104"/>
  <c r="G3401" i="104"/>
  <c r="G3402" i="104"/>
  <c r="G3403" i="104"/>
  <c r="G3404" i="104"/>
  <c r="G3405" i="104"/>
  <c r="G3406" i="104"/>
  <c r="G3407" i="104"/>
  <c r="G3408" i="104"/>
  <c r="G3409" i="104"/>
  <c r="G3410" i="104"/>
  <c r="G3411" i="104"/>
  <c r="G3412" i="104"/>
  <c r="G3413" i="104"/>
  <c r="G3414" i="104"/>
  <c r="G3415" i="104"/>
  <c r="G3416" i="104"/>
  <c r="G3417" i="104"/>
  <c r="G3418" i="104"/>
  <c r="G3419" i="104"/>
  <c r="G3420" i="104"/>
  <c r="G3421" i="104"/>
  <c r="G3422" i="104"/>
  <c r="G3423" i="104"/>
  <c r="G3424" i="104"/>
  <c r="G3425" i="104"/>
  <c r="G3426" i="104"/>
  <c r="G3427" i="104"/>
  <c r="G3428" i="104"/>
  <c r="G3429" i="104"/>
  <c r="G3430" i="104"/>
  <c r="G3431" i="104"/>
  <c r="G3432" i="104"/>
  <c r="G3433" i="104"/>
  <c r="G3434" i="104"/>
  <c r="G3435" i="104"/>
  <c r="G3436" i="104"/>
  <c r="G3437" i="104"/>
  <c r="G3438" i="104"/>
  <c r="G3439" i="104"/>
  <c r="G3440" i="104"/>
  <c r="G3441" i="104"/>
  <c r="G3442" i="104"/>
  <c r="G3443" i="104"/>
  <c r="G3444" i="104"/>
  <c r="G3445" i="104"/>
  <c r="G3446" i="104"/>
  <c r="G3447" i="104"/>
  <c r="G3448" i="104"/>
  <c r="G3449" i="104"/>
  <c r="G3450" i="104"/>
  <c r="G3451" i="104"/>
  <c r="G3452" i="104"/>
  <c r="G3453" i="104"/>
  <c r="G3454" i="104"/>
  <c r="G3455" i="104"/>
  <c r="G3456" i="104"/>
  <c r="G3457" i="104"/>
  <c r="G3458" i="104"/>
  <c r="G3459" i="104"/>
  <c r="G3460" i="104"/>
  <c r="G3461" i="104"/>
  <c r="G3462" i="104"/>
  <c r="G3463" i="104"/>
  <c r="G3464" i="104"/>
  <c r="G3465" i="104"/>
  <c r="G3466" i="104"/>
  <c r="G3467" i="104"/>
  <c r="G3468" i="104"/>
  <c r="G3469" i="104"/>
  <c r="G3470" i="104"/>
  <c r="G3471" i="104"/>
  <c r="G3472" i="104"/>
  <c r="G3473" i="104"/>
  <c r="G3474" i="104"/>
  <c r="G3475" i="104"/>
  <c r="G3476" i="104"/>
  <c r="G3477" i="104"/>
  <c r="G3478" i="104"/>
  <c r="G3479" i="104"/>
  <c r="G3480" i="104"/>
  <c r="G3481" i="104"/>
  <c r="G3482" i="104"/>
  <c r="G3483" i="104"/>
  <c r="G3484" i="104"/>
  <c r="G3485" i="104"/>
  <c r="G3486" i="104"/>
  <c r="G3487" i="104"/>
  <c r="G3488" i="104"/>
  <c r="G3489" i="104"/>
  <c r="G3490" i="104"/>
  <c r="G3491" i="104"/>
  <c r="G3492" i="104"/>
  <c r="G3493" i="104"/>
  <c r="G3494" i="104"/>
  <c r="G3495" i="104"/>
  <c r="G3496" i="104"/>
  <c r="G3497" i="104"/>
  <c r="G3498" i="104"/>
  <c r="G3499" i="104"/>
  <c r="G3500" i="104"/>
  <c r="G3501" i="104"/>
  <c r="G3502" i="104"/>
  <c r="G3503" i="104"/>
  <c r="G3504" i="104"/>
  <c r="G3505" i="104"/>
  <c r="G3506" i="104"/>
  <c r="G3507" i="104"/>
  <c r="G3508" i="104"/>
  <c r="G3509" i="104"/>
  <c r="G3510" i="104"/>
  <c r="G3511" i="104"/>
  <c r="G3512" i="104"/>
  <c r="G3513" i="104"/>
  <c r="G3514" i="104"/>
  <c r="G3515" i="104"/>
  <c r="G3516" i="104"/>
  <c r="G3517" i="104"/>
  <c r="G3518" i="104"/>
  <c r="G3519" i="104"/>
  <c r="G3520" i="104"/>
  <c r="G3521" i="104"/>
  <c r="G3522" i="104"/>
  <c r="G3523" i="104"/>
  <c r="G3524" i="104"/>
  <c r="G3525" i="104"/>
  <c r="G3526" i="104"/>
  <c r="G3527" i="104"/>
  <c r="G3528" i="104"/>
  <c r="G3529" i="104"/>
  <c r="G3530" i="104"/>
  <c r="G3531" i="104"/>
  <c r="G3532" i="104"/>
  <c r="G3533" i="104"/>
  <c r="G3534" i="104"/>
  <c r="G3535" i="104"/>
  <c r="G3536" i="104"/>
  <c r="G3537" i="104"/>
  <c r="G3538" i="104"/>
  <c r="G3539" i="104"/>
  <c r="G3540" i="104"/>
  <c r="G3541" i="104"/>
  <c r="G3542" i="104"/>
  <c r="G3543" i="104"/>
  <c r="G3544" i="104"/>
  <c r="G3545" i="104"/>
  <c r="G3546" i="104"/>
  <c r="G3547" i="104"/>
  <c r="G3548" i="104"/>
  <c r="G3549" i="104"/>
  <c r="G3550" i="104"/>
  <c r="G3551" i="104"/>
  <c r="G3552" i="104"/>
  <c r="G3553" i="104"/>
  <c r="G3554" i="104"/>
  <c r="G3555" i="104"/>
  <c r="G3556" i="104"/>
  <c r="G3557" i="104"/>
  <c r="G3558" i="104"/>
  <c r="G3559" i="104"/>
  <c r="G3560" i="104"/>
  <c r="G3561" i="104"/>
  <c r="G3562" i="104"/>
  <c r="G3563" i="104"/>
  <c r="G3564" i="104"/>
  <c r="G3565" i="104"/>
  <c r="G3566" i="104"/>
  <c r="G3567" i="104"/>
  <c r="G3568" i="104"/>
  <c r="G3569" i="104"/>
  <c r="G3570" i="104"/>
  <c r="G3571" i="104"/>
  <c r="G3572" i="104"/>
  <c r="G3573" i="104"/>
  <c r="G3574" i="104"/>
  <c r="G3575" i="104"/>
  <c r="G3576" i="104"/>
  <c r="G3577" i="104"/>
  <c r="G3578" i="104"/>
  <c r="G3579" i="104"/>
  <c r="G3580" i="104"/>
  <c r="G3581" i="104"/>
  <c r="G3582" i="104"/>
  <c r="G3583" i="104"/>
  <c r="G3584" i="104"/>
  <c r="G3585" i="104"/>
  <c r="G3586" i="104"/>
  <c r="G3587" i="104"/>
  <c r="G3588" i="104"/>
  <c r="G3589" i="104"/>
  <c r="G3590" i="104"/>
  <c r="G3591" i="104"/>
  <c r="G3592" i="104"/>
  <c r="G3593" i="104"/>
  <c r="G3594" i="104"/>
  <c r="G3595" i="104"/>
  <c r="G3596" i="104"/>
  <c r="G3597" i="104"/>
  <c r="G3598" i="104"/>
  <c r="G3599" i="104"/>
  <c r="G3600" i="104"/>
  <c r="G3601" i="104"/>
  <c r="G3602" i="104"/>
  <c r="G3603" i="104"/>
  <c r="G3604" i="104"/>
  <c r="G3605" i="104"/>
  <c r="G3606" i="104"/>
  <c r="G3607" i="104"/>
  <c r="G3608" i="104"/>
  <c r="G3609" i="104"/>
  <c r="G3610" i="104"/>
  <c r="G3611" i="104"/>
  <c r="G3612" i="104"/>
  <c r="G3613" i="104"/>
  <c r="G3614" i="104"/>
  <c r="G3615" i="104"/>
  <c r="G3616" i="104"/>
  <c r="G3617" i="104"/>
  <c r="G3618" i="104"/>
  <c r="G3619" i="104"/>
  <c r="G3620" i="104"/>
  <c r="G3621" i="104"/>
  <c r="G3622" i="104"/>
  <c r="G3623" i="104"/>
  <c r="G3624" i="104"/>
  <c r="G3625" i="104"/>
  <c r="G3626" i="104"/>
  <c r="G3627" i="104"/>
  <c r="G3628" i="104"/>
  <c r="G3629" i="104"/>
  <c r="G3630" i="104"/>
  <c r="G3631" i="104"/>
  <c r="G3632" i="104"/>
  <c r="G3633" i="104"/>
  <c r="G3634" i="104"/>
  <c r="G3635" i="104"/>
  <c r="G3636" i="104"/>
  <c r="G3637" i="104"/>
  <c r="G3638" i="104"/>
  <c r="G3639" i="104"/>
  <c r="G3640" i="104"/>
  <c r="G3641" i="104"/>
  <c r="G3642" i="104"/>
  <c r="G3643" i="104"/>
  <c r="G3644" i="104"/>
  <c r="G3645" i="104"/>
  <c r="G3646" i="104"/>
  <c r="G3647" i="104"/>
  <c r="G3648" i="104"/>
  <c r="G3649" i="104"/>
  <c r="G3650" i="104"/>
  <c r="G3651" i="104"/>
  <c r="G3652" i="104"/>
  <c r="G3653" i="104"/>
  <c r="G3654" i="104"/>
  <c r="G3655" i="104"/>
  <c r="G3656" i="104"/>
  <c r="G3657" i="104"/>
  <c r="G3658" i="104"/>
  <c r="G3659" i="104"/>
  <c r="G3660" i="104"/>
  <c r="G3661" i="104"/>
  <c r="G3662" i="104"/>
  <c r="G3663" i="104"/>
  <c r="G3664" i="104"/>
  <c r="G3665" i="104"/>
  <c r="G3666" i="104"/>
  <c r="G3667" i="104"/>
  <c r="G3668" i="104"/>
  <c r="G3669" i="104"/>
  <c r="G3670" i="104"/>
  <c r="G3671" i="104"/>
  <c r="G3672" i="104"/>
  <c r="G3673" i="104"/>
  <c r="G3674" i="104"/>
  <c r="G3675" i="104"/>
  <c r="G3676" i="104"/>
  <c r="G3677" i="104"/>
  <c r="G3678" i="104"/>
  <c r="G3679" i="104"/>
  <c r="G3680" i="104"/>
  <c r="G3681" i="104"/>
  <c r="G3682" i="104"/>
  <c r="G3683" i="104"/>
  <c r="G3684" i="104"/>
  <c r="G3685" i="104"/>
  <c r="G3686" i="104"/>
  <c r="G3687" i="104"/>
  <c r="G3688" i="104"/>
  <c r="G3689" i="104"/>
  <c r="G3690" i="104"/>
  <c r="G3691" i="104"/>
  <c r="G3692" i="104"/>
  <c r="G3693" i="104"/>
  <c r="G3694" i="104"/>
  <c r="G3695" i="104"/>
  <c r="G3696" i="104"/>
  <c r="G3697" i="104"/>
  <c r="G3698" i="104"/>
  <c r="G3699" i="104"/>
  <c r="G3700" i="104"/>
  <c r="G3701" i="104"/>
  <c r="G3702" i="104"/>
  <c r="G3703" i="104"/>
  <c r="G3704" i="104"/>
  <c r="G3705" i="104"/>
  <c r="G3706" i="104"/>
  <c r="G3707" i="104"/>
  <c r="G3708" i="104"/>
  <c r="G3709" i="104"/>
  <c r="G3710" i="104"/>
  <c r="G3711" i="104"/>
  <c r="G3712" i="104"/>
  <c r="G3713" i="104"/>
  <c r="G3714" i="104"/>
  <c r="G3715" i="104"/>
  <c r="G3716" i="104"/>
  <c r="G3717" i="104"/>
  <c r="G3718" i="104"/>
  <c r="G3719" i="104"/>
  <c r="G3720" i="104"/>
  <c r="G3721" i="104"/>
  <c r="G3722" i="104"/>
  <c r="G3723" i="104"/>
  <c r="G3724" i="104"/>
  <c r="G3725" i="104"/>
  <c r="G3726" i="104"/>
  <c r="G3727" i="104"/>
  <c r="G3728" i="104"/>
  <c r="G3729" i="104"/>
  <c r="G3730" i="104"/>
  <c r="G3731" i="104"/>
  <c r="G3732" i="104"/>
  <c r="G3733" i="104"/>
  <c r="G3734" i="104"/>
  <c r="G3735" i="104"/>
  <c r="G3736" i="104"/>
  <c r="G3737" i="104"/>
  <c r="G3738" i="104"/>
  <c r="G3739" i="104"/>
  <c r="G3740" i="104"/>
  <c r="G3741" i="104"/>
  <c r="G3742" i="104"/>
  <c r="G3743" i="104"/>
  <c r="G3744" i="104"/>
  <c r="G3745" i="104"/>
  <c r="G3746" i="104"/>
  <c r="G3747" i="104"/>
  <c r="G3748" i="104"/>
  <c r="G3749" i="104"/>
  <c r="G3750" i="104"/>
  <c r="G3751" i="104"/>
  <c r="G3752" i="104"/>
  <c r="G3753" i="104"/>
  <c r="G3754" i="104"/>
  <c r="G3755" i="104"/>
  <c r="G3756" i="104"/>
  <c r="G3757" i="104"/>
  <c r="G3758" i="104"/>
  <c r="G3759" i="104"/>
  <c r="G3760" i="104"/>
  <c r="G3761" i="104"/>
  <c r="G3762" i="104"/>
  <c r="G3763" i="104"/>
  <c r="G3764" i="104"/>
  <c r="G3765" i="104"/>
  <c r="G3766" i="104"/>
  <c r="G3767" i="104"/>
  <c r="G3768" i="104"/>
  <c r="G3769" i="104"/>
  <c r="G3770" i="104"/>
  <c r="G3771" i="104"/>
  <c r="G3772" i="104"/>
  <c r="G3773" i="104"/>
  <c r="G3774" i="104"/>
  <c r="G3775" i="104"/>
  <c r="G3776" i="104"/>
  <c r="G3777" i="104"/>
  <c r="G3778" i="104"/>
  <c r="G3779" i="104"/>
  <c r="G3780" i="104"/>
  <c r="G3781" i="104"/>
  <c r="G3782" i="104"/>
  <c r="G3783" i="104"/>
  <c r="G3784" i="104"/>
  <c r="G3785" i="104"/>
  <c r="G3786" i="104"/>
  <c r="G3787" i="104"/>
  <c r="G3788" i="104"/>
  <c r="G3789" i="104"/>
  <c r="G3790" i="104"/>
  <c r="G3791" i="104"/>
  <c r="G3792" i="104"/>
  <c r="G3793" i="104"/>
  <c r="G3794" i="104"/>
  <c r="G3795" i="104"/>
  <c r="G3796" i="104"/>
  <c r="G3797" i="104"/>
  <c r="G3798" i="104"/>
  <c r="G3799" i="104"/>
  <c r="G3800" i="104"/>
  <c r="G3801" i="104"/>
  <c r="G3802" i="104"/>
  <c r="G3803" i="104"/>
  <c r="G3804" i="104"/>
  <c r="G3805" i="104"/>
  <c r="G3806" i="104"/>
  <c r="G3807" i="104"/>
  <c r="G3808" i="104"/>
  <c r="G3809" i="104"/>
  <c r="G3810" i="104"/>
  <c r="G3811" i="104"/>
  <c r="G3812" i="104"/>
  <c r="G3813" i="104"/>
  <c r="G3814" i="104"/>
  <c r="G3815" i="104"/>
  <c r="G3816" i="104"/>
  <c r="G3817" i="104"/>
  <c r="G3818" i="104"/>
  <c r="G3819" i="104"/>
  <c r="G3820" i="104"/>
  <c r="G3821" i="104"/>
  <c r="G3822" i="104"/>
  <c r="G3823" i="104"/>
  <c r="G3824" i="104"/>
  <c r="G3825" i="104"/>
  <c r="G3826" i="104"/>
  <c r="G3827" i="104"/>
  <c r="G3828" i="104"/>
  <c r="G3829" i="104"/>
  <c r="G3830" i="104"/>
  <c r="G3831" i="104"/>
  <c r="G3832" i="104"/>
  <c r="G3833" i="104"/>
  <c r="G3834" i="104"/>
  <c r="G3835" i="104"/>
  <c r="G3836" i="104"/>
  <c r="G3837" i="104"/>
  <c r="G3838" i="104"/>
  <c r="G3839" i="104"/>
  <c r="G3840" i="104"/>
  <c r="G3841" i="104"/>
  <c r="G3842" i="104"/>
  <c r="G3843" i="104"/>
  <c r="G3844" i="104"/>
  <c r="G3845" i="104"/>
  <c r="G3846" i="104"/>
  <c r="G3847" i="104"/>
  <c r="G3848" i="104"/>
  <c r="G3849" i="104"/>
  <c r="G3850" i="104"/>
  <c r="G3851" i="104"/>
  <c r="G3852" i="104"/>
  <c r="G3853" i="104"/>
  <c r="G3854" i="104"/>
  <c r="G3855" i="104"/>
  <c r="G3856" i="104"/>
  <c r="G3857" i="104"/>
  <c r="G3858" i="104"/>
  <c r="G3859" i="104"/>
  <c r="G3860" i="104"/>
  <c r="G3861" i="104"/>
  <c r="G3862" i="104"/>
  <c r="G3863" i="104"/>
  <c r="G3864" i="104"/>
  <c r="G3865" i="104"/>
  <c r="G3866" i="104"/>
  <c r="G3867" i="104"/>
  <c r="G3868" i="104"/>
  <c r="G3869" i="104"/>
  <c r="G3870" i="104"/>
  <c r="G3871" i="104"/>
  <c r="G3872" i="104"/>
  <c r="G3873" i="104"/>
  <c r="G3874" i="104"/>
  <c r="G3875" i="104"/>
  <c r="G3876" i="104"/>
  <c r="G3877" i="104"/>
  <c r="G3878" i="104"/>
  <c r="G3879" i="104"/>
  <c r="G3880" i="104"/>
  <c r="G3881" i="104"/>
  <c r="G3882" i="104"/>
  <c r="G3883" i="104"/>
  <c r="G3884" i="104"/>
  <c r="G3885" i="104"/>
  <c r="G3886" i="104"/>
  <c r="G3887" i="104"/>
  <c r="G3888" i="104"/>
  <c r="G3889" i="104"/>
  <c r="G3890" i="104"/>
  <c r="G3891" i="104"/>
  <c r="G3892" i="104"/>
  <c r="G3893" i="104"/>
  <c r="G3894" i="104"/>
  <c r="G3895" i="104"/>
  <c r="G3896" i="104"/>
  <c r="G3897" i="104"/>
  <c r="G3898" i="104"/>
  <c r="G3899" i="104"/>
  <c r="G3900" i="104"/>
  <c r="G3901" i="104"/>
  <c r="G3902" i="104"/>
  <c r="G3903" i="104"/>
  <c r="G3904" i="104"/>
  <c r="G3905" i="104"/>
  <c r="G3906" i="104"/>
  <c r="G3907" i="104"/>
  <c r="G3908" i="104"/>
  <c r="G3909" i="104"/>
  <c r="G3910" i="104"/>
  <c r="G3911" i="104"/>
  <c r="G3912" i="104"/>
  <c r="G3913" i="104"/>
  <c r="G3914" i="104"/>
  <c r="G3915" i="104"/>
  <c r="G3916" i="104"/>
  <c r="G3917" i="104"/>
  <c r="G3918" i="104"/>
  <c r="G3919" i="104"/>
  <c r="G3920" i="104"/>
  <c r="G3921" i="104"/>
  <c r="G3922" i="104"/>
  <c r="G3923" i="104"/>
  <c r="G3924" i="104"/>
  <c r="G3925" i="104"/>
  <c r="G3926" i="104"/>
  <c r="G3927" i="104"/>
  <c r="G3928" i="104"/>
  <c r="G3929" i="104"/>
  <c r="G3930" i="104"/>
  <c r="G3931" i="104"/>
  <c r="G3932" i="104"/>
  <c r="G3933" i="104"/>
  <c r="G3934" i="104"/>
  <c r="G3935" i="104"/>
  <c r="G3936" i="104"/>
  <c r="G3937" i="104"/>
  <c r="G3938" i="104"/>
  <c r="G3939" i="104"/>
  <c r="G3940" i="104"/>
  <c r="G3941" i="104"/>
  <c r="G3942" i="104"/>
  <c r="G3943" i="104"/>
  <c r="G3944" i="104"/>
  <c r="G3945" i="104"/>
  <c r="G3946" i="104"/>
  <c r="G3947" i="104"/>
  <c r="G3948" i="104"/>
  <c r="G3949" i="104"/>
  <c r="G3950" i="104"/>
  <c r="G3951" i="104"/>
  <c r="G3952" i="104"/>
  <c r="G3953" i="104"/>
  <c r="G3954" i="104"/>
  <c r="G3955" i="104"/>
  <c r="G3956" i="104"/>
  <c r="G3957" i="104"/>
  <c r="G3958" i="104"/>
  <c r="G3959" i="104"/>
  <c r="G3960" i="104"/>
  <c r="G3961" i="104"/>
  <c r="G3962" i="104"/>
  <c r="G3963" i="104"/>
  <c r="G3964" i="104"/>
  <c r="G3965" i="104"/>
  <c r="G3966" i="104"/>
  <c r="G3967" i="104"/>
  <c r="G3968" i="104"/>
  <c r="G3969" i="104"/>
  <c r="G3970" i="104"/>
  <c r="G3971" i="104"/>
  <c r="G3972" i="104"/>
  <c r="G3973" i="104"/>
  <c r="G3974" i="104"/>
  <c r="G3975" i="104"/>
  <c r="G3976" i="104"/>
  <c r="G3977" i="104"/>
  <c r="G3978" i="104"/>
  <c r="G3979" i="104"/>
  <c r="G3980" i="104"/>
  <c r="G3981" i="104"/>
  <c r="G3982" i="104"/>
  <c r="G3983" i="104"/>
  <c r="G3984" i="104"/>
  <c r="G3985" i="104"/>
  <c r="G3986" i="104"/>
  <c r="G3987" i="104"/>
  <c r="G3988" i="104"/>
  <c r="G3989" i="104"/>
  <c r="G3990" i="104"/>
  <c r="G3991" i="104"/>
  <c r="G3992" i="104"/>
  <c r="G3993" i="104"/>
  <c r="G3994" i="104"/>
  <c r="G3995" i="104"/>
  <c r="G3996" i="104"/>
  <c r="G3997" i="104"/>
  <c r="G3998" i="104"/>
  <c r="G3999" i="104"/>
  <c r="G4000" i="104"/>
  <c r="G4001" i="104"/>
  <c r="G4002" i="104"/>
  <c r="G4003" i="104"/>
  <c r="G4004" i="104"/>
  <c r="G4005" i="104"/>
  <c r="G4006" i="104"/>
  <c r="G4007" i="104"/>
  <c r="G4008" i="104"/>
  <c r="G4009" i="104"/>
  <c r="G4010" i="104"/>
  <c r="G4011" i="104"/>
  <c r="G4012" i="104"/>
  <c r="G4013" i="104"/>
  <c r="G4014" i="104"/>
  <c r="G4015" i="104"/>
  <c r="G4016" i="104"/>
  <c r="G4017" i="104"/>
  <c r="G4018" i="104"/>
  <c r="G4019" i="104"/>
  <c r="G4020" i="104"/>
  <c r="G4021" i="104"/>
  <c r="G4022" i="104"/>
  <c r="G4023" i="104"/>
  <c r="G4024" i="104"/>
  <c r="G4025" i="104"/>
  <c r="G4026" i="104"/>
  <c r="G4027" i="104"/>
  <c r="G4028" i="104"/>
  <c r="G4029" i="104"/>
  <c r="G4030" i="104"/>
  <c r="G4031" i="104"/>
  <c r="G4032" i="104"/>
  <c r="G4033" i="104"/>
  <c r="G4034" i="104"/>
  <c r="G4035" i="104"/>
  <c r="G4036" i="104"/>
  <c r="G4037" i="104"/>
  <c r="G4038" i="104"/>
  <c r="G4039" i="104"/>
  <c r="G4040" i="104"/>
  <c r="G4041" i="104"/>
  <c r="G4042" i="104"/>
  <c r="G4043" i="104"/>
  <c r="G4044" i="104"/>
  <c r="G4045" i="104"/>
  <c r="G4046" i="104"/>
  <c r="G4047" i="104"/>
  <c r="G4048" i="104"/>
  <c r="G4049" i="104"/>
  <c r="G4050" i="104"/>
  <c r="G4051" i="104"/>
  <c r="G4052" i="104"/>
  <c r="G4053" i="104"/>
  <c r="G4054" i="104"/>
  <c r="G4055" i="104"/>
  <c r="G4056" i="104"/>
  <c r="G4057" i="104"/>
  <c r="G4058" i="104"/>
  <c r="G4059" i="104"/>
  <c r="G4060" i="104"/>
  <c r="G4061" i="104"/>
  <c r="G4062" i="104"/>
  <c r="G4063" i="104"/>
  <c r="G4064" i="104"/>
  <c r="G4065" i="104"/>
  <c r="G4066" i="104"/>
  <c r="G4067" i="104"/>
  <c r="G4068" i="104"/>
  <c r="G4069" i="104"/>
  <c r="G4070" i="104"/>
  <c r="G4071" i="104"/>
  <c r="G4072" i="104"/>
  <c r="G4073" i="104"/>
  <c r="G4074" i="104"/>
  <c r="G4075" i="104"/>
  <c r="G4076" i="104"/>
  <c r="G4077" i="104"/>
  <c r="G4078" i="104"/>
  <c r="G4079" i="104"/>
  <c r="G4080" i="104"/>
  <c r="G4081" i="104"/>
  <c r="G4082" i="104"/>
  <c r="G4083" i="104"/>
  <c r="G4084" i="104"/>
  <c r="G4085" i="104"/>
  <c r="G4086" i="104"/>
  <c r="G4087" i="104"/>
  <c r="G4088" i="104"/>
  <c r="G4089" i="104"/>
  <c r="G4090" i="104"/>
  <c r="G4091" i="104"/>
  <c r="G4092" i="104"/>
  <c r="G4093" i="104"/>
  <c r="G4094" i="104"/>
  <c r="G4095" i="104"/>
  <c r="G4096" i="104"/>
  <c r="G4097" i="104"/>
  <c r="G4098" i="104"/>
  <c r="G4099" i="104"/>
  <c r="G4100" i="104"/>
  <c r="G4101" i="104"/>
  <c r="G4102" i="104"/>
  <c r="G4103" i="104"/>
  <c r="G4104" i="104"/>
  <c r="G4105" i="104"/>
  <c r="G4106" i="104"/>
  <c r="G4107" i="104"/>
  <c r="G4108" i="104"/>
  <c r="G4109" i="104"/>
  <c r="G4110" i="104"/>
  <c r="G4111" i="104"/>
  <c r="G4112" i="104"/>
  <c r="G4113" i="104"/>
  <c r="G4114" i="104"/>
  <c r="G4115" i="104"/>
  <c r="G4116" i="104"/>
  <c r="G4117" i="104"/>
  <c r="G4118" i="104"/>
  <c r="G4119" i="104"/>
  <c r="G4120" i="104"/>
  <c r="G4121" i="104"/>
  <c r="G4122" i="104"/>
  <c r="G4123" i="104"/>
  <c r="G4124" i="104"/>
  <c r="G4125" i="104"/>
  <c r="G4126" i="104"/>
  <c r="G4127" i="104"/>
  <c r="G4128" i="104"/>
  <c r="G4129" i="104"/>
  <c r="G4130" i="104"/>
  <c r="G4131" i="104"/>
  <c r="G4132" i="104"/>
  <c r="G4133" i="104"/>
  <c r="G4134" i="104"/>
  <c r="G4135" i="104"/>
  <c r="G4136" i="104"/>
  <c r="G4137" i="104"/>
  <c r="G4138" i="104"/>
  <c r="G4139" i="104"/>
  <c r="G4140" i="104"/>
  <c r="G4141" i="104"/>
  <c r="G4142" i="104"/>
  <c r="G4143" i="104"/>
  <c r="G4144" i="104"/>
  <c r="G4145" i="104"/>
  <c r="G4146" i="104"/>
  <c r="G4147" i="104"/>
  <c r="G4148" i="104"/>
  <c r="G4149" i="104"/>
  <c r="G4150" i="104"/>
  <c r="G4151" i="104"/>
  <c r="G4152" i="104"/>
  <c r="G4153" i="104"/>
  <c r="G4154" i="104"/>
  <c r="G4155" i="104"/>
  <c r="G4156" i="104"/>
  <c r="G4157" i="104"/>
  <c r="G4158" i="104"/>
  <c r="G4159" i="104"/>
  <c r="G4160" i="104"/>
  <c r="G4161" i="104"/>
  <c r="G4162" i="104"/>
  <c r="G4163" i="104"/>
  <c r="G4164" i="104"/>
  <c r="G4165" i="104"/>
  <c r="G4166" i="104"/>
  <c r="G4167" i="104"/>
  <c r="G4168" i="104"/>
  <c r="G4169" i="104"/>
  <c r="G4170" i="104"/>
  <c r="G4171" i="104"/>
  <c r="G4172" i="104"/>
  <c r="G4173" i="104"/>
  <c r="G4174" i="104"/>
  <c r="G4175" i="104"/>
  <c r="G4176" i="104"/>
  <c r="G4177" i="104"/>
  <c r="G4178" i="104"/>
  <c r="G4179" i="104"/>
  <c r="G4180" i="104"/>
  <c r="G4181" i="104"/>
  <c r="G4182" i="104"/>
  <c r="G4183" i="104"/>
  <c r="G4184" i="104"/>
  <c r="G4185" i="104"/>
  <c r="G4186" i="104"/>
  <c r="G4187" i="104"/>
  <c r="G4188" i="104"/>
  <c r="G4189" i="104"/>
  <c r="G4190" i="104"/>
  <c r="G4191" i="104"/>
  <c r="G4192" i="104"/>
  <c r="G4193" i="104"/>
  <c r="G4194" i="104"/>
  <c r="G4195" i="104"/>
  <c r="G4196" i="104"/>
  <c r="G4197" i="104"/>
  <c r="G4198" i="104"/>
  <c r="G4199" i="104"/>
  <c r="G4200" i="104"/>
  <c r="G4201" i="104"/>
  <c r="G4202" i="104"/>
  <c r="G4203" i="104"/>
  <c r="G4204" i="104"/>
  <c r="G4205" i="104"/>
  <c r="G4206" i="104"/>
  <c r="G4207" i="104"/>
  <c r="G4208" i="104"/>
  <c r="G4209" i="104"/>
  <c r="G4210" i="104"/>
  <c r="G4211" i="104"/>
  <c r="G4212" i="104"/>
  <c r="G4213" i="104"/>
  <c r="G4214" i="104"/>
  <c r="G4215" i="104"/>
  <c r="G4216" i="104"/>
  <c r="G4217" i="104"/>
  <c r="G4218" i="104"/>
  <c r="G4219" i="104"/>
  <c r="G4220" i="104"/>
  <c r="G4221" i="104"/>
  <c r="G4222" i="104"/>
  <c r="G4223" i="104"/>
  <c r="G4224" i="104"/>
  <c r="G4225" i="104"/>
  <c r="G4226" i="104"/>
  <c r="G4227" i="104"/>
  <c r="G4228" i="104"/>
  <c r="G4229" i="104"/>
  <c r="G4230" i="104"/>
  <c r="G4231" i="104"/>
  <c r="G4232" i="104"/>
  <c r="G4233" i="104"/>
  <c r="G4234" i="104"/>
  <c r="G4235" i="104"/>
  <c r="G4236" i="104"/>
  <c r="G4237" i="104"/>
  <c r="G4238" i="104"/>
  <c r="G4239" i="104"/>
  <c r="G4240" i="104"/>
  <c r="G4241" i="104"/>
  <c r="G4242" i="104"/>
  <c r="G4243" i="104"/>
  <c r="G4244" i="104"/>
  <c r="G4245" i="104"/>
  <c r="G4246" i="104"/>
  <c r="G4247" i="104"/>
  <c r="G4248" i="104"/>
  <c r="G4249" i="104"/>
  <c r="G4250" i="104"/>
  <c r="G4251" i="104"/>
  <c r="G4252" i="104"/>
  <c r="G4253" i="104"/>
  <c r="G4254" i="104"/>
  <c r="G4255" i="104"/>
  <c r="G4256" i="104"/>
  <c r="G4257" i="104"/>
  <c r="G4258" i="104"/>
  <c r="G4259" i="104"/>
  <c r="G4260" i="104"/>
  <c r="G4261" i="104"/>
  <c r="G4262" i="104"/>
  <c r="G4263" i="104"/>
  <c r="G4264" i="104"/>
  <c r="G4265" i="104"/>
  <c r="G4266" i="104"/>
  <c r="G4267" i="104"/>
  <c r="G4268" i="104"/>
  <c r="G4269" i="104"/>
  <c r="G4270" i="104"/>
  <c r="G4271" i="104"/>
  <c r="G4272" i="104"/>
  <c r="G4273" i="104"/>
  <c r="G4274" i="104"/>
  <c r="G4275" i="104"/>
  <c r="G4276" i="104"/>
  <c r="G4277" i="104"/>
  <c r="G4278" i="104"/>
  <c r="G4279" i="104"/>
  <c r="G4280" i="104"/>
  <c r="G4281" i="104"/>
  <c r="G4282" i="104"/>
  <c r="G4283" i="104"/>
  <c r="G4284" i="104"/>
  <c r="G4285" i="104"/>
  <c r="G4286" i="104"/>
  <c r="G4287" i="104"/>
  <c r="G4288" i="104"/>
  <c r="G4289" i="104"/>
  <c r="G4290" i="104"/>
  <c r="G4291" i="104"/>
  <c r="G4292" i="104"/>
  <c r="G4293" i="104"/>
  <c r="G4294" i="104"/>
  <c r="G4295" i="104"/>
  <c r="G4296" i="104"/>
  <c r="G4297" i="104"/>
  <c r="G4298" i="104"/>
  <c r="G4299" i="104"/>
  <c r="G4300" i="104"/>
  <c r="G4301" i="104"/>
  <c r="G4302" i="104"/>
  <c r="G4303" i="104"/>
  <c r="G4304" i="104"/>
  <c r="G4305" i="104"/>
  <c r="G4306" i="104"/>
  <c r="G4307" i="104"/>
  <c r="G4308" i="104"/>
  <c r="G4309" i="104"/>
  <c r="G4310" i="104"/>
  <c r="G4311" i="104"/>
  <c r="G4312" i="104"/>
  <c r="G4313" i="104"/>
  <c r="G4314" i="104"/>
  <c r="G4315" i="104"/>
  <c r="G4316" i="104"/>
  <c r="G4317" i="104"/>
  <c r="G4318" i="104"/>
  <c r="G4319" i="104"/>
  <c r="G4320" i="104"/>
  <c r="G4321" i="104"/>
  <c r="G4322" i="104"/>
  <c r="G4323" i="104"/>
  <c r="G4324" i="104"/>
  <c r="G4325" i="104"/>
  <c r="G4326" i="104"/>
  <c r="G4327" i="104"/>
  <c r="G4328" i="104"/>
  <c r="G4329" i="104"/>
  <c r="G4330" i="104"/>
  <c r="G4331" i="104"/>
  <c r="G4332" i="104"/>
  <c r="G4333" i="104"/>
  <c r="G4334" i="104"/>
  <c r="G4335" i="104"/>
  <c r="G4336" i="104"/>
  <c r="G4337" i="104"/>
  <c r="G4338" i="104"/>
  <c r="G4339" i="104"/>
  <c r="G4340" i="104"/>
  <c r="G4341" i="104"/>
  <c r="G4342" i="104"/>
  <c r="G4343" i="104"/>
  <c r="G4344" i="104"/>
  <c r="G4345" i="104"/>
  <c r="G4346" i="104"/>
  <c r="G4347" i="104"/>
  <c r="G4348" i="104"/>
  <c r="G4349" i="104"/>
  <c r="G4350" i="104"/>
  <c r="G4351" i="104"/>
  <c r="G4352" i="104"/>
  <c r="G4353" i="104"/>
  <c r="G4354" i="104"/>
  <c r="G4355" i="104"/>
  <c r="G4356" i="104"/>
  <c r="G4357" i="104"/>
  <c r="G4358" i="104"/>
  <c r="G4359" i="104"/>
  <c r="G4360" i="104"/>
  <c r="G4361" i="104"/>
  <c r="G4362" i="104"/>
  <c r="G4363" i="104"/>
  <c r="G4364" i="104"/>
  <c r="G4365" i="104"/>
  <c r="G4366" i="104"/>
  <c r="G4367" i="104"/>
  <c r="G4368" i="104"/>
  <c r="G4369" i="104"/>
  <c r="G4370" i="104"/>
  <c r="G4371" i="104"/>
  <c r="G4372" i="104"/>
  <c r="G4373" i="104"/>
  <c r="G4374" i="104"/>
  <c r="G4375" i="104"/>
  <c r="G4376" i="104"/>
  <c r="G4377" i="104"/>
  <c r="G4378" i="104"/>
  <c r="G4379" i="104"/>
  <c r="G4380" i="104"/>
  <c r="G4381" i="104"/>
  <c r="G4382" i="104"/>
  <c r="G4383" i="104"/>
  <c r="G4384" i="104"/>
  <c r="G4385" i="104"/>
  <c r="G4386" i="104"/>
  <c r="G4387" i="104"/>
  <c r="G4388" i="104"/>
  <c r="G4389" i="104"/>
  <c r="G4390" i="104"/>
  <c r="G4391" i="104"/>
  <c r="G4392" i="104"/>
  <c r="G4393" i="104"/>
  <c r="G4394" i="104"/>
  <c r="G4395" i="104"/>
  <c r="G4396" i="104"/>
  <c r="G4397" i="104"/>
  <c r="G4398" i="104"/>
  <c r="G4399" i="104"/>
  <c r="G4400" i="104"/>
  <c r="G4401" i="104"/>
  <c r="G4402" i="104"/>
  <c r="G4403" i="104"/>
  <c r="G4404" i="104"/>
  <c r="G4405" i="104"/>
  <c r="G4406" i="104"/>
  <c r="G4407" i="104"/>
  <c r="G4408" i="104"/>
  <c r="G4409" i="104"/>
  <c r="G4410" i="104"/>
  <c r="G4411" i="104"/>
  <c r="G4412" i="104"/>
  <c r="G4413" i="104"/>
  <c r="G4414" i="104"/>
  <c r="G4415" i="104"/>
  <c r="G4416" i="104"/>
  <c r="G4417" i="104"/>
  <c r="G4418" i="104"/>
  <c r="G4419" i="104"/>
  <c r="G4420" i="104"/>
  <c r="G4421" i="104"/>
  <c r="G4422" i="104"/>
  <c r="G4423" i="104"/>
  <c r="G4424" i="104"/>
  <c r="G4425" i="104"/>
  <c r="G4426" i="104"/>
  <c r="G4427" i="104"/>
  <c r="G4428" i="104"/>
  <c r="G4429" i="104"/>
  <c r="G4430" i="104"/>
  <c r="G4431" i="104"/>
  <c r="G4432" i="104"/>
  <c r="G4433" i="104"/>
  <c r="G4434" i="104"/>
  <c r="G4435" i="104"/>
  <c r="G4436" i="104"/>
  <c r="G4437" i="104"/>
  <c r="G4438" i="104"/>
  <c r="G4439" i="104"/>
  <c r="G4440" i="104"/>
  <c r="G4441" i="104"/>
  <c r="G4442" i="104"/>
  <c r="G4443" i="104"/>
  <c r="G4444" i="104"/>
  <c r="G4445" i="104"/>
  <c r="G4446" i="104"/>
  <c r="G4447" i="104"/>
  <c r="G4448" i="104"/>
  <c r="G4449" i="104"/>
  <c r="G4450" i="104"/>
  <c r="G4451" i="104"/>
  <c r="G4452" i="104"/>
  <c r="G4453" i="104"/>
  <c r="G4454" i="104"/>
  <c r="G4455" i="104"/>
  <c r="G4456" i="104"/>
  <c r="G4457" i="104"/>
  <c r="G4458" i="104"/>
  <c r="G4459" i="104"/>
  <c r="G4460" i="104"/>
  <c r="G4461" i="104"/>
  <c r="G4462" i="104"/>
  <c r="G4463" i="104"/>
  <c r="G4464" i="104"/>
  <c r="G4465" i="104"/>
  <c r="G4466" i="104"/>
  <c r="G4467" i="104"/>
  <c r="G4468" i="104"/>
  <c r="G4469" i="104"/>
  <c r="G4470" i="104"/>
  <c r="G4471" i="104"/>
  <c r="G4472" i="104"/>
  <c r="G4473" i="104"/>
  <c r="G4474" i="104"/>
  <c r="G4475" i="104"/>
  <c r="G4476" i="104"/>
  <c r="G4477" i="104"/>
  <c r="G4478" i="104"/>
  <c r="G4479" i="104"/>
  <c r="G4480" i="104"/>
  <c r="G4481" i="104"/>
  <c r="G4482" i="104"/>
  <c r="G4483" i="104"/>
  <c r="G4484" i="104"/>
  <c r="G4485" i="104"/>
  <c r="G4486" i="104"/>
  <c r="G4487" i="104"/>
  <c r="G4488" i="104"/>
  <c r="G4489" i="104"/>
  <c r="G4490" i="104"/>
  <c r="G4491" i="104"/>
  <c r="G4492" i="104"/>
  <c r="G4493" i="104"/>
  <c r="G4494" i="104"/>
  <c r="G4495" i="104"/>
  <c r="G4496" i="104"/>
  <c r="G4497" i="104"/>
  <c r="G4498" i="104"/>
  <c r="G4499" i="104"/>
  <c r="G4500" i="104"/>
  <c r="G4501" i="104"/>
  <c r="G4502" i="104"/>
  <c r="G4503" i="104"/>
  <c r="G4504" i="104"/>
  <c r="G4505" i="104"/>
  <c r="G4506" i="104"/>
  <c r="G4507" i="104"/>
  <c r="G4508" i="104"/>
  <c r="G4509" i="104"/>
  <c r="G4510" i="104"/>
  <c r="G4511" i="104"/>
  <c r="G4512" i="104"/>
  <c r="G4513" i="104"/>
  <c r="G4514" i="104"/>
  <c r="G4515" i="104"/>
  <c r="G4516" i="104"/>
  <c r="G4517" i="104"/>
  <c r="G4518" i="104"/>
  <c r="G4519" i="104"/>
  <c r="G4520" i="104"/>
  <c r="G4521" i="104"/>
  <c r="G4522" i="104"/>
  <c r="G4523" i="104"/>
  <c r="G4524" i="104"/>
  <c r="G4525" i="104"/>
  <c r="G4526" i="104"/>
  <c r="G4527" i="104"/>
  <c r="G4528" i="104"/>
  <c r="G4529" i="104"/>
  <c r="G4530" i="104"/>
  <c r="G4531" i="104"/>
  <c r="G4532" i="104"/>
  <c r="G4533" i="104"/>
  <c r="G4534" i="104"/>
  <c r="G4535" i="104"/>
  <c r="G4536" i="104"/>
  <c r="G4537" i="104"/>
  <c r="G4538" i="104"/>
  <c r="G4539" i="104"/>
  <c r="G4540" i="104"/>
  <c r="G4541" i="104"/>
  <c r="G4542" i="104"/>
  <c r="G4543" i="104"/>
  <c r="G4544" i="104"/>
  <c r="G4545" i="104"/>
  <c r="G4546" i="104"/>
  <c r="G4547" i="104"/>
  <c r="G4548" i="104"/>
  <c r="G4549" i="104"/>
  <c r="G4550" i="104"/>
  <c r="G4551" i="104"/>
  <c r="G4552" i="104"/>
  <c r="G4553" i="104"/>
  <c r="G4554" i="104"/>
  <c r="G4555" i="104"/>
  <c r="G4556" i="104"/>
  <c r="G4557" i="104"/>
  <c r="G4558" i="104"/>
  <c r="G4559" i="104"/>
  <c r="G4560" i="104"/>
  <c r="G4561" i="104"/>
  <c r="G4562" i="104"/>
  <c r="G4563" i="104"/>
  <c r="G4564" i="104"/>
  <c r="G4565" i="104"/>
  <c r="G4566" i="104"/>
  <c r="G4567" i="104"/>
  <c r="G4568" i="104"/>
  <c r="G4569" i="104"/>
  <c r="G4570" i="104"/>
  <c r="G4571" i="104"/>
  <c r="G4572" i="104"/>
  <c r="G4573" i="104"/>
  <c r="G4574" i="104"/>
  <c r="G4575" i="104"/>
  <c r="G4576" i="104"/>
  <c r="G4577" i="104"/>
  <c r="G4578" i="104"/>
  <c r="G4579" i="104"/>
  <c r="G4580" i="104"/>
  <c r="G4581" i="104"/>
  <c r="G4582" i="104"/>
  <c r="G4583" i="104"/>
  <c r="G4584" i="104"/>
  <c r="G4585" i="104"/>
  <c r="G4586" i="104"/>
  <c r="G4587" i="104"/>
  <c r="G4588" i="104"/>
  <c r="G4589" i="104"/>
  <c r="G4590" i="104"/>
  <c r="G4591" i="104"/>
  <c r="G4592" i="104"/>
  <c r="G4593" i="104"/>
  <c r="G4594" i="104"/>
  <c r="G4595" i="104"/>
  <c r="G4596" i="104"/>
  <c r="G4597" i="104"/>
  <c r="G4598" i="104"/>
  <c r="G4599" i="104"/>
  <c r="G4600" i="104"/>
  <c r="G4601" i="104"/>
  <c r="G4602" i="104"/>
  <c r="G4603" i="104"/>
  <c r="G4604" i="104"/>
  <c r="G4605" i="104"/>
  <c r="G4606" i="104"/>
  <c r="G4607" i="104"/>
  <c r="G4608" i="104"/>
  <c r="G4609" i="104"/>
  <c r="G4610" i="104"/>
  <c r="G4611" i="104"/>
  <c r="G4612" i="104"/>
  <c r="G4613" i="104"/>
  <c r="G4614" i="104"/>
  <c r="G4615" i="104"/>
  <c r="G4616" i="104"/>
  <c r="G4617" i="104"/>
  <c r="G4618" i="104"/>
  <c r="G4619" i="104"/>
  <c r="G4620" i="104"/>
  <c r="G4621" i="104"/>
  <c r="G4622" i="104"/>
  <c r="G4623" i="104"/>
  <c r="G4624" i="104"/>
  <c r="G4625" i="104"/>
  <c r="G4626" i="104"/>
  <c r="G4627" i="104"/>
  <c r="G4628" i="104"/>
  <c r="G4629" i="104"/>
  <c r="G4630" i="104"/>
  <c r="G4631" i="104"/>
  <c r="G4632" i="104"/>
  <c r="G4633" i="104"/>
  <c r="G4634" i="104"/>
  <c r="G4635" i="104"/>
  <c r="G4636" i="104"/>
  <c r="G4637" i="104"/>
  <c r="G4638" i="104"/>
  <c r="G4639" i="104"/>
  <c r="G4640" i="104"/>
  <c r="G4641" i="104"/>
  <c r="G4642" i="104"/>
  <c r="G4643" i="104"/>
  <c r="G4644" i="104"/>
  <c r="G4645" i="104"/>
  <c r="G4646" i="104"/>
  <c r="G4647" i="104"/>
  <c r="G4648" i="104"/>
  <c r="G4649" i="104"/>
  <c r="G4650" i="104"/>
  <c r="G4651" i="104"/>
  <c r="G4652" i="104"/>
  <c r="G4653" i="104"/>
  <c r="G4654" i="104"/>
  <c r="G4655" i="104"/>
  <c r="G4656" i="104"/>
  <c r="G4657" i="104"/>
  <c r="G4658" i="104"/>
  <c r="G4659" i="104"/>
  <c r="G4660" i="104"/>
  <c r="G4661" i="104"/>
  <c r="G4662" i="104"/>
  <c r="G4663" i="104"/>
  <c r="G4664" i="104"/>
  <c r="G4665" i="104"/>
  <c r="G4666" i="104"/>
  <c r="G4667" i="104"/>
  <c r="G4668" i="104"/>
  <c r="G4669" i="104"/>
  <c r="G4670" i="104"/>
  <c r="G4671" i="104"/>
  <c r="G4672" i="104"/>
  <c r="G4673" i="104"/>
  <c r="G4674" i="104"/>
  <c r="G4675" i="104"/>
  <c r="G4676" i="104"/>
  <c r="G4677" i="104"/>
  <c r="G4678" i="104"/>
  <c r="G4679" i="104"/>
  <c r="G4680" i="104"/>
  <c r="G4681" i="104"/>
  <c r="G4682" i="104"/>
  <c r="G4683" i="104"/>
  <c r="G4684" i="104"/>
  <c r="G4685" i="104"/>
  <c r="G4686" i="104"/>
  <c r="G4687" i="104"/>
  <c r="G4688" i="104"/>
  <c r="G4689" i="104"/>
  <c r="G4690" i="104"/>
  <c r="G4691" i="104"/>
  <c r="G4692" i="104"/>
  <c r="G4693" i="104"/>
  <c r="G4694" i="104"/>
  <c r="G4695" i="104"/>
  <c r="G4696" i="104"/>
  <c r="G4697" i="104"/>
  <c r="G4698" i="104"/>
  <c r="G4699" i="104"/>
  <c r="G4700" i="104"/>
  <c r="G4701" i="104"/>
  <c r="G4702" i="104"/>
  <c r="G4703" i="104"/>
  <c r="G4704" i="104"/>
  <c r="G4705" i="104"/>
  <c r="G4706" i="104"/>
  <c r="G4707" i="104"/>
  <c r="G4708" i="104"/>
  <c r="G4709" i="104"/>
  <c r="G4710" i="104"/>
  <c r="G4711" i="104"/>
  <c r="G4712" i="104"/>
  <c r="G4713" i="104"/>
  <c r="G4714" i="104"/>
  <c r="G4715" i="104"/>
  <c r="G4716" i="104"/>
  <c r="G4717" i="104"/>
  <c r="G4718" i="104"/>
  <c r="G4719" i="104"/>
  <c r="G4720" i="104"/>
  <c r="G4721" i="104"/>
  <c r="G4722" i="104"/>
  <c r="G4723" i="104"/>
  <c r="G4724" i="104"/>
  <c r="G4725" i="104"/>
  <c r="G4726" i="104"/>
  <c r="G4727" i="104"/>
  <c r="G4728" i="104"/>
  <c r="G4729" i="104"/>
  <c r="G4730" i="104"/>
  <c r="G4731" i="104"/>
  <c r="G4732" i="104"/>
  <c r="G4733" i="104"/>
  <c r="G4734" i="104"/>
  <c r="G4735" i="104"/>
  <c r="G4736" i="104"/>
  <c r="G4737" i="104"/>
  <c r="G4738" i="104"/>
  <c r="G4739" i="104"/>
  <c r="G4740" i="104"/>
  <c r="G4741" i="104"/>
  <c r="G4742" i="104"/>
  <c r="G4743" i="104"/>
  <c r="G4744" i="104"/>
  <c r="G4745" i="104"/>
  <c r="G4746" i="104"/>
  <c r="G4747" i="104"/>
  <c r="G4748" i="104"/>
  <c r="G4749" i="104"/>
  <c r="G4750" i="104"/>
  <c r="G4751" i="104"/>
  <c r="G4752" i="104"/>
  <c r="G4753" i="104"/>
  <c r="G4754" i="104"/>
  <c r="G4755" i="104"/>
  <c r="G4756" i="104"/>
  <c r="G4757" i="104"/>
  <c r="G4758" i="104"/>
  <c r="G4759" i="104"/>
  <c r="G4760" i="104"/>
  <c r="G4761" i="104"/>
  <c r="G4762" i="104"/>
  <c r="G4763" i="104"/>
  <c r="G4764" i="104"/>
  <c r="G4765" i="104"/>
  <c r="G4766" i="104"/>
  <c r="G4767" i="104"/>
  <c r="G4768" i="104"/>
  <c r="G4769" i="104"/>
  <c r="G4770" i="104"/>
  <c r="G4771" i="104"/>
  <c r="G4772" i="104"/>
  <c r="G4773" i="104"/>
  <c r="G4774" i="104"/>
  <c r="G4775" i="104"/>
  <c r="G4776" i="104"/>
  <c r="G4777" i="104"/>
  <c r="G4778" i="104"/>
  <c r="G4779" i="104"/>
  <c r="G4780" i="104"/>
  <c r="G4781" i="104"/>
  <c r="G4782" i="104"/>
  <c r="G4783" i="104"/>
  <c r="G4784" i="104"/>
  <c r="G4785" i="104"/>
  <c r="G4786" i="104"/>
  <c r="G4787" i="104"/>
  <c r="G4788" i="104"/>
  <c r="G4789" i="104"/>
  <c r="G4790" i="104"/>
  <c r="G4791" i="104"/>
  <c r="G4792" i="104"/>
  <c r="G4793" i="104"/>
  <c r="G4794" i="104"/>
  <c r="G4795" i="104"/>
  <c r="G4796" i="104"/>
  <c r="G4797" i="104"/>
  <c r="G4798" i="104"/>
  <c r="G4799" i="104"/>
  <c r="G4800" i="104"/>
  <c r="G4801" i="104"/>
  <c r="G4802" i="104"/>
  <c r="G4803" i="104"/>
  <c r="G4804" i="104"/>
  <c r="G4805" i="104"/>
  <c r="G4806" i="104"/>
  <c r="G4807" i="104"/>
  <c r="G4808" i="104"/>
  <c r="G4809" i="104"/>
  <c r="G4810" i="104"/>
  <c r="G4811" i="104"/>
  <c r="G4812" i="104"/>
  <c r="G4813" i="104"/>
  <c r="G4814" i="104"/>
  <c r="G4815" i="104"/>
  <c r="G4816" i="104"/>
  <c r="G4817" i="104"/>
  <c r="G4818" i="104"/>
  <c r="G4819" i="104"/>
  <c r="G4820" i="104"/>
  <c r="G4821" i="104"/>
  <c r="G4822" i="104"/>
  <c r="G4823" i="104"/>
  <c r="G4824" i="104"/>
  <c r="G4825" i="104"/>
  <c r="G4826" i="104"/>
  <c r="G4827" i="104"/>
  <c r="G4828" i="104"/>
  <c r="G4829" i="104"/>
  <c r="G4830" i="104"/>
  <c r="G4831" i="104"/>
  <c r="G4832" i="104"/>
  <c r="G4833" i="104"/>
  <c r="G4834" i="104"/>
  <c r="G4835" i="104"/>
  <c r="G4836" i="104"/>
  <c r="G4837" i="104"/>
  <c r="G4838" i="104"/>
  <c r="G4839" i="104"/>
  <c r="G4840" i="104"/>
  <c r="G4841" i="104"/>
  <c r="G4842" i="104"/>
  <c r="G4843" i="104"/>
  <c r="G4844" i="104"/>
  <c r="G4845" i="104"/>
  <c r="G4846" i="104"/>
  <c r="G4847" i="104"/>
  <c r="G4848" i="104"/>
  <c r="G4849" i="104"/>
  <c r="G4850" i="104"/>
  <c r="G4851" i="104"/>
  <c r="G4852" i="104"/>
  <c r="G4853" i="104"/>
  <c r="G4854" i="104"/>
  <c r="G4855" i="104"/>
  <c r="G4856" i="104"/>
  <c r="G4857" i="104"/>
  <c r="G4858" i="104"/>
  <c r="G4859" i="104"/>
  <c r="G4860" i="104"/>
  <c r="G4861" i="104"/>
  <c r="G4862" i="104"/>
  <c r="G4863" i="104"/>
  <c r="G4864" i="104"/>
  <c r="G4865" i="104"/>
  <c r="G4866" i="104"/>
  <c r="G4867" i="104"/>
  <c r="G4868" i="104"/>
  <c r="G4869" i="104"/>
  <c r="G4870" i="104"/>
  <c r="G4871" i="104"/>
  <c r="G4872" i="104"/>
  <c r="G4873" i="104"/>
  <c r="G4874" i="104"/>
  <c r="G4875" i="104"/>
  <c r="G4876" i="104"/>
  <c r="G4877" i="104"/>
  <c r="G4878" i="104"/>
  <c r="G4879" i="104"/>
  <c r="G4880" i="104"/>
  <c r="G4881" i="104"/>
  <c r="G4882" i="104"/>
  <c r="G4883" i="104"/>
  <c r="G4884" i="104"/>
  <c r="G4885" i="104"/>
  <c r="G4886" i="104"/>
  <c r="G4887" i="104"/>
  <c r="G4888" i="104"/>
  <c r="G4889" i="104"/>
  <c r="G4890" i="104"/>
  <c r="G4891" i="104"/>
  <c r="G4892" i="104"/>
  <c r="G4893" i="104"/>
  <c r="G4894" i="104"/>
  <c r="G4895" i="104"/>
  <c r="G4896" i="104"/>
  <c r="G4897" i="104"/>
  <c r="G4898" i="104"/>
  <c r="G4899" i="104"/>
  <c r="G4900" i="104"/>
  <c r="G4901" i="104"/>
  <c r="G4902" i="104"/>
  <c r="G4903" i="104"/>
  <c r="G4904" i="104"/>
  <c r="G4905" i="104"/>
  <c r="G4906" i="104"/>
  <c r="G4907" i="104"/>
  <c r="G4908" i="104"/>
  <c r="G4909" i="104"/>
  <c r="G4910" i="104"/>
  <c r="G4911" i="104"/>
  <c r="G4912" i="104"/>
  <c r="G4913" i="104"/>
  <c r="G4914" i="104"/>
  <c r="G4915" i="104"/>
  <c r="G4916" i="104"/>
  <c r="G4917" i="104"/>
  <c r="G4918" i="104"/>
  <c r="G4919" i="104"/>
  <c r="G4920" i="104"/>
  <c r="G4921" i="104"/>
  <c r="G4922" i="104"/>
  <c r="G4923" i="104"/>
  <c r="G4924" i="104"/>
  <c r="G4925" i="104"/>
  <c r="G4926" i="104"/>
  <c r="G4927" i="104"/>
  <c r="G4928" i="104"/>
  <c r="G4929" i="104"/>
  <c r="G4930" i="104"/>
  <c r="G4931" i="104"/>
  <c r="G4932" i="104"/>
  <c r="G4933" i="104"/>
  <c r="G4934" i="104"/>
  <c r="G4935" i="104"/>
  <c r="G4936" i="104"/>
  <c r="G4937" i="104"/>
  <c r="G4938" i="104"/>
  <c r="G4939" i="104"/>
  <c r="G4940" i="104"/>
  <c r="G4941" i="104"/>
  <c r="G4942" i="104"/>
  <c r="G4943" i="104"/>
  <c r="G4944" i="104"/>
  <c r="G4945" i="104"/>
  <c r="G4946" i="104"/>
  <c r="G4947" i="104"/>
  <c r="G4948" i="104"/>
  <c r="G4949" i="104"/>
  <c r="G4950" i="104"/>
  <c r="G4951" i="104"/>
  <c r="G4952" i="104"/>
  <c r="G4953" i="104"/>
  <c r="G4954" i="104"/>
  <c r="G4955" i="104"/>
  <c r="G4956" i="104"/>
  <c r="G4957" i="104"/>
  <c r="G4958" i="104"/>
  <c r="G4959" i="104"/>
  <c r="G4960" i="104"/>
  <c r="G4961" i="104"/>
  <c r="G4962" i="104"/>
  <c r="G4963" i="104"/>
  <c r="G4964" i="104"/>
  <c r="G4965" i="104"/>
  <c r="G4966" i="104"/>
  <c r="G4967" i="104"/>
  <c r="G4968" i="104"/>
  <c r="G4969" i="104"/>
  <c r="G4970" i="104"/>
  <c r="G4971" i="104"/>
  <c r="G4972" i="104"/>
  <c r="G4973" i="104"/>
  <c r="G4974" i="104"/>
  <c r="G4975" i="104"/>
  <c r="G4976" i="104"/>
  <c r="G4977" i="104"/>
  <c r="G4978" i="104"/>
  <c r="G4979" i="104"/>
  <c r="G4980" i="104"/>
  <c r="G4981" i="104"/>
  <c r="G4982" i="104"/>
  <c r="G4983" i="104"/>
  <c r="G4984" i="104"/>
  <c r="G4985" i="104"/>
  <c r="G4986" i="104"/>
  <c r="G4987" i="104"/>
  <c r="G4988" i="104"/>
  <c r="G4989" i="104"/>
  <c r="G4990" i="104"/>
  <c r="G4991" i="104"/>
  <c r="G4992" i="104"/>
  <c r="G4993" i="104"/>
  <c r="G4994" i="104"/>
  <c r="G4995" i="104"/>
  <c r="G4996" i="104"/>
  <c r="G4997" i="104"/>
  <c r="G4998" i="104"/>
  <c r="G4999" i="104"/>
  <c r="G5000" i="104"/>
  <c r="G5001" i="104"/>
  <c r="G5002" i="104"/>
  <c r="G5003" i="104"/>
  <c r="G5004" i="104"/>
  <c r="G5005" i="104"/>
  <c r="G5006" i="104"/>
  <c r="G5007" i="104"/>
  <c r="G5008" i="104"/>
  <c r="G5009" i="104"/>
  <c r="G5010" i="104"/>
  <c r="G5011" i="104"/>
  <c r="G5012" i="104"/>
  <c r="G5013" i="104"/>
  <c r="G5014" i="104"/>
  <c r="G5015" i="104"/>
  <c r="G5016" i="104"/>
  <c r="G5017" i="104"/>
  <c r="G5018" i="104"/>
  <c r="G5019" i="104"/>
  <c r="G5020" i="104"/>
  <c r="G5021" i="104"/>
  <c r="G5022" i="104"/>
  <c r="G5023" i="104"/>
  <c r="G5024" i="104"/>
  <c r="G5025" i="104"/>
  <c r="G5026" i="104"/>
  <c r="G5027" i="104"/>
  <c r="G5028" i="104"/>
  <c r="G5029" i="104"/>
  <c r="G5030" i="104"/>
  <c r="G5031" i="104"/>
  <c r="G5032" i="104"/>
  <c r="G5033" i="104"/>
  <c r="G5034" i="104"/>
  <c r="G5035" i="104"/>
  <c r="G5036" i="104"/>
  <c r="G5037" i="104"/>
  <c r="G5038" i="104"/>
  <c r="G5039" i="104"/>
  <c r="G5040" i="104"/>
  <c r="G5041" i="104"/>
  <c r="G5042" i="104"/>
  <c r="G5043" i="104"/>
  <c r="G5044" i="104"/>
  <c r="G5045" i="104"/>
  <c r="G5046" i="104"/>
  <c r="G5047" i="104"/>
  <c r="G5048" i="104"/>
  <c r="G5049" i="104"/>
  <c r="G5050" i="104"/>
  <c r="G5051" i="104"/>
  <c r="G5052" i="104"/>
  <c r="G5053" i="104"/>
  <c r="G5054" i="104"/>
  <c r="G5055" i="104"/>
  <c r="G5056" i="104"/>
  <c r="G5057" i="104"/>
  <c r="G5058" i="104"/>
  <c r="G5059" i="104"/>
  <c r="G5060" i="104"/>
  <c r="G5061" i="104"/>
  <c r="G5062" i="104"/>
  <c r="G5063" i="104"/>
  <c r="G5064" i="104"/>
  <c r="G5065" i="104"/>
  <c r="G5066" i="104"/>
  <c r="G5067" i="104"/>
  <c r="G5068" i="104"/>
  <c r="G5069" i="104"/>
  <c r="G5070" i="104"/>
  <c r="G5071" i="104"/>
  <c r="G5072" i="104"/>
  <c r="G5073" i="104"/>
  <c r="G5074" i="104"/>
  <c r="G5075" i="104"/>
  <c r="G5076" i="104"/>
  <c r="G5077" i="104"/>
  <c r="G5078" i="104"/>
  <c r="G5079" i="104"/>
  <c r="G5080" i="104"/>
  <c r="G5081" i="104"/>
  <c r="G5082" i="104"/>
  <c r="G5083" i="104"/>
  <c r="G5084" i="104"/>
  <c r="G5085" i="104"/>
  <c r="G5086" i="104"/>
  <c r="G5087" i="104"/>
  <c r="G5088" i="104"/>
  <c r="G5089" i="104"/>
  <c r="G5090" i="104"/>
  <c r="G5091" i="104"/>
  <c r="G5092" i="104"/>
  <c r="G5093" i="104"/>
  <c r="G5094" i="104"/>
  <c r="G5095" i="104"/>
  <c r="G5096" i="104"/>
  <c r="G5097" i="104"/>
  <c r="G5098" i="104"/>
  <c r="G5099" i="104"/>
  <c r="G5100" i="104"/>
  <c r="G5101" i="104"/>
  <c r="G5102" i="104"/>
  <c r="G5103" i="104"/>
  <c r="G5104" i="104"/>
  <c r="G5105" i="104"/>
  <c r="G5106" i="104"/>
  <c r="G5107" i="104"/>
  <c r="G5108" i="104"/>
  <c r="G5109" i="104"/>
  <c r="G5110" i="104"/>
  <c r="G5111" i="104"/>
  <c r="G5112" i="104"/>
  <c r="G5113" i="104"/>
  <c r="G5114" i="104"/>
  <c r="G5115" i="104"/>
  <c r="G5116" i="104"/>
  <c r="G5117" i="104"/>
  <c r="G5118" i="104"/>
  <c r="G5119" i="104"/>
  <c r="G5120" i="104"/>
  <c r="G5121" i="104"/>
  <c r="G5122" i="104"/>
  <c r="G5123" i="104"/>
  <c r="G5124" i="104"/>
  <c r="G5125" i="104"/>
  <c r="G5126" i="104"/>
  <c r="G5127" i="104"/>
  <c r="G5128" i="104"/>
  <c r="G5129" i="104"/>
  <c r="G5130" i="104"/>
  <c r="G5131" i="104"/>
  <c r="G5132" i="104"/>
  <c r="G5133" i="104"/>
  <c r="G5134" i="104"/>
  <c r="G5135" i="104"/>
  <c r="G5136" i="104"/>
  <c r="G5137" i="104"/>
  <c r="G5138" i="104"/>
  <c r="G5139" i="104"/>
  <c r="G5140" i="104"/>
  <c r="G5141" i="104"/>
  <c r="G5142" i="104"/>
  <c r="G5143" i="104"/>
  <c r="G5144" i="104"/>
  <c r="G5145" i="104"/>
  <c r="G5146" i="104"/>
  <c r="G5147" i="104"/>
  <c r="G5148" i="104"/>
  <c r="G5149" i="104"/>
  <c r="G5150" i="104"/>
  <c r="G5151" i="104"/>
  <c r="G5152" i="104"/>
  <c r="G5153" i="104"/>
  <c r="G5154" i="104"/>
  <c r="G5155" i="104"/>
  <c r="G5156" i="104"/>
  <c r="G5157" i="104"/>
  <c r="G5158" i="104"/>
  <c r="G5159" i="104"/>
  <c r="G5160" i="104"/>
  <c r="G5161" i="104"/>
  <c r="G5162" i="104"/>
  <c r="G5163" i="104"/>
  <c r="G5164" i="104"/>
  <c r="G5165" i="104"/>
  <c r="G5166" i="104"/>
  <c r="G5167" i="104"/>
  <c r="G5168" i="104"/>
  <c r="G5169" i="104"/>
  <c r="G5170" i="104"/>
  <c r="G5171" i="104"/>
  <c r="G5172" i="104"/>
  <c r="G5173" i="104"/>
  <c r="G5174" i="104"/>
  <c r="G5175" i="104"/>
  <c r="G5176" i="104"/>
  <c r="G5177" i="104"/>
  <c r="G5178" i="104"/>
  <c r="G5179" i="104"/>
  <c r="G5180" i="104"/>
  <c r="G5181" i="104"/>
  <c r="G5182" i="104"/>
  <c r="G5183" i="104"/>
  <c r="G5184" i="104"/>
  <c r="G5185" i="104"/>
  <c r="G5186" i="104"/>
  <c r="G5187" i="104"/>
  <c r="G5188" i="104"/>
  <c r="G5189" i="104"/>
  <c r="G5190" i="104"/>
  <c r="G5191" i="104"/>
  <c r="G5192" i="104"/>
  <c r="G5193" i="104"/>
  <c r="G5194" i="104"/>
  <c r="G5195" i="104"/>
  <c r="G5196" i="104"/>
  <c r="G5197" i="104"/>
  <c r="G5198" i="104"/>
  <c r="G5199" i="104"/>
  <c r="G5200" i="104"/>
  <c r="G5201" i="104"/>
  <c r="G5202" i="104"/>
  <c r="G5203" i="104"/>
  <c r="G5204" i="104"/>
  <c r="G5205" i="104"/>
  <c r="G5206" i="104"/>
  <c r="G5207" i="104"/>
  <c r="G5208" i="104"/>
  <c r="G5209" i="104"/>
  <c r="G5210" i="104"/>
  <c r="G5211" i="104"/>
  <c r="G5212" i="104"/>
  <c r="G5213" i="104"/>
  <c r="G5214" i="104"/>
  <c r="G5215" i="104"/>
  <c r="G5216" i="104"/>
  <c r="G5217" i="104"/>
  <c r="G5218" i="104"/>
  <c r="G5219" i="104"/>
  <c r="G5220" i="104"/>
  <c r="G5221" i="104"/>
  <c r="G5222" i="104"/>
  <c r="G5223" i="104"/>
  <c r="G5224" i="104"/>
  <c r="G5225" i="104"/>
  <c r="G5226" i="104"/>
  <c r="G5227" i="104"/>
  <c r="G5228" i="104"/>
  <c r="G5229" i="104"/>
  <c r="G5230" i="104"/>
  <c r="G5231" i="104"/>
  <c r="G5232" i="104"/>
  <c r="G5233" i="104"/>
  <c r="G5234" i="104"/>
  <c r="G5235" i="104"/>
  <c r="G5236" i="104"/>
  <c r="G5237" i="104"/>
  <c r="G5238" i="104"/>
  <c r="G5239" i="104"/>
  <c r="G5240" i="104"/>
  <c r="G5241" i="104"/>
  <c r="G5242" i="104"/>
  <c r="G5243" i="104"/>
  <c r="G5244" i="104"/>
  <c r="G5245" i="104"/>
  <c r="G5246" i="104"/>
  <c r="G5247" i="104"/>
  <c r="G5248" i="104"/>
  <c r="G5249" i="104"/>
  <c r="G5250" i="104"/>
  <c r="G5251" i="104"/>
  <c r="G5252" i="104"/>
  <c r="G5253" i="104"/>
  <c r="G5254" i="104"/>
  <c r="G5255" i="104"/>
  <c r="G5256" i="104"/>
  <c r="G5257" i="104"/>
  <c r="G5258" i="104"/>
  <c r="G5259" i="104"/>
  <c r="G5260" i="104"/>
  <c r="G5261" i="104"/>
  <c r="G5262" i="104"/>
  <c r="G5263" i="104"/>
  <c r="G5264" i="104"/>
  <c r="G5265" i="104"/>
  <c r="G5266" i="104"/>
  <c r="G5267" i="104"/>
  <c r="G5268" i="104"/>
  <c r="G5269" i="104"/>
  <c r="G5270" i="104"/>
  <c r="G5271" i="104"/>
  <c r="G5272" i="104"/>
  <c r="G5273" i="104"/>
  <c r="G5274" i="104"/>
  <c r="G5275" i="104"/>
  <c r="G5276" i="104"/>
  <c r="G5277" i="104"/>
  <c r="G5278" i="104"/>
  <c r="G5279" i="104"/>
  <c r="G5280" i="104"/>
  <c r="G5281" i="104"/>
  <c r="G5282" i="104"/>
  <c r="G5283" i="104"/>
  <c r="G5284" i="104"/>
  <c r="G5285" i="104"/>
  <c r="G5286" i="104"/>
  <c r="G5287" i="104"/>
  <c r="G5288" i="104"/>
  <c r="G5289" i="104"/>
  <c r="G5290" i="104"/>
  <c r="G5291" i="104"/>
  <c r="G5292" i="104"/>
  <c r="G5293" i="104"/>
  <c r="G5294" i="104"/>
  <c r="G5295" i="104"/>
  <c r="G5296" i="104"/>
  <c r="G5297" i="104"/>
  <c r="G5298" i="104"/>
  <c r="G5299" i="104"/>
  <c r="G5300" i="104"/>
  <c r="G5301" i="104"/>
  <c r="G5302" i="104"/>
  <c r="G5303" i="104"/>
  <c r="G5304" i="104"/>
  <c r="G5305" i="104"/>
  <c r="G5306" i="104"/>
  <c r="G5307" i="104"/>
  <c r="G5308" i="104"/>
  <c r="G5309" i="104"/>
  <c r="G5310" i="104"/>
  <c r="G5311" i="104"/>
  <c r="G5312" i="104"/>
  <c r="G5313" i="104"/>
  <c r="G5314" i="104"/>
  <c r="G5315" i="104"/>
  <c r="G5316" i="104"/>
  <c r="G5317" i="104"/>
  <c r="G5318" i="104"/>
  <c r="G5319" i="104"/>
  <c r="G5320" i="104"/>
  <c r="G5321" i="104"/>
  <c r="G5322" i="104"/>
  <c r="G5323" i="104"/>
  <c r="G5324" i="104"/>
  <c r="G5325" i="104"/>
  <c r="G5326" i="104"/>
  <c r="G5327" i="104"/>
  <c r="G5328" i="104"/>
  <c r="G5329" i="104"/>
  <c r="G5330" i="104"/>
  <c r="G5331" i="104"/>
  <c r="G5332" i="104"/>
  <c r="G5333" i="104"/>
  <c r="G5334" i="104"/>
  <c r="G5335" i="104"/>
  <c r="G5336" i="104"/>
  <c r="G5337" i="104"/>
  <c r="G5338" i="104"/>
  <c r="G5339" i="104"/>
  <c r="G5340" i="104"/>
  <c r="G5341" i="104"/>
  <c r="G5342" i="104"/>
  <c r="G5343" i="104"/>
  <c r="G5344" i="104"/>
  <c r="G5345" i="104"/>
  <c r="G5346" i="104"/>
  <c r="G5347" i="104"/>
  <c r="G5348" i="104"/>
  <c r="G5349" i="104"/>
  <c r="G5350" i="104"/>
  <c r="G5351" i="104"/>
  <c r="G5352" i="104"/>
  <c r="G5353" i="104"/>
  <c r="G5354" i="104"/>
  <c r="G5355" i="104"/>
  <c r="G5356" i="104"/>
  <c r="G5357" i="104"/>
  <c r="G5358" i="104"/>
  <c r="G5359" i="104"/>
  <c r="G5360" i="104"/>
  <c r="G5361" i="104"/>
  <c r="G5362" i="104"/>
  <c r="G5363" i="104"/>
  <c r="G5364" i="104"/>
  <c r="G5365" i="104"/>
  <c r="G5366" i="104"/>
  <c r="G5367" i="104"/>
  <c r="G5368" i="104"/>
  <c r="G5369" i="104"/>
  <c r="G5370" i="104"/>
  <c r="G5371" i="104"/>
  <c r="G5372" i="104"/>
  <c r="G5373" i="104"/>
  <c r="G5374" i="104"/>
  <c r="G5375" i="104"/>
  <c r="G5376" i="104"/>
  <c r="G5377" i="104"/>
  <c r="G5378" i="104"/>
  <c r="G5379" i="104"/>
  <c r="G5380" i="104"/>
  <c r="G5381" i="104"/>
  <c r="G5382" i="104"/>
  <c r="G5383" i="104"/>
  <c r="G5384" i="104"/>
  <c r="G5385" i="104"/>
  <c r="G5386" i="104"/>
  <c r="G5387" i="104"/>
  <c r="G5388" i="104"/>
  <c r="G5389" i="104"/>
  <c r="G5390" i="104"/>
  <c r="G5391" i="104"/>
  <c r="G5392" i="104"/>
  <c r="G5393" i="104"/>
  <c r="G5394" i="104"/>
  <c r="G5395" i="104"/>
  <c r="G5396" i="104"/>
  <c r="G5397" i="104"/>
  <c r="G5398" i="104"/>
  <c r="G5399" i="104"/>
  <c r="G5400" i="104"/>
  <c r="G5401" i="104"/>
  <c r="G5402" i="104"/>
  <c r="G5403" i="104"/>
  <c r="G5404" i="104"/>
  <c r="G5405" i="104"/>
  <c r="G5406" i="104"/>
  <c r="G5407" i="104"/>
  <c r="G5408" i="104"/>
  <c r="G5409" i="104"/>
  <c r="G5410" i="104"/>
  <c r="G5411" i="104"/>
  <c r="G5412" i="104"/>
  <c r="G5413" i="104"/>
  <c r="G5414" i="104"/>
  <c r="G5415" i="104"/>
  <c r="G5416" i="104"/>
  <c r="G5417" i="104"/>
  <c r="G5418" i="104"/>
  <c r="G5419" i="104"/>
  <c r="G5420" i="104"/>
  <c r="G5421" i="104"/>
  <c r="G5422" i="104"/>
  <c r="G5423" i="104"/>
  <c r="G5424" i="104"/>
  <c r="G5425" i="104"/>
  <c r="G5426" i="104"/>
  <c r="G5427" i="104"/>
  <c r="G5428" i="104"/>
  <c r="G5429" i="104"/>
  <c r="G5430" i="104"/>
  <c r="G5431" i="104"/>
  <c r="G5432" i="104"/>
  <c r="G5433" i="104"/>
  <c r="G5434" i="104"/>
  <c r="G5435" i="104"/>
  <c r="G5436" i="104"/>
  <c r="G5437" i="104"/>
  <c r="G5438" i="104"/>
  <c r="G5439" i="104"/>
  <c r="G5440" i="104"/>
  <c r="G5441" i="104"/>
  <c r="G5442" i="104"/>
  <c r="G5443" i="104"/>
  <c r="G5444" i="104"/>
  <c r="G5445" i="104"/>
  <c r="G5446" i="104"/>
  <c r="G5447" i="104"/>
  <c r="G5448" i="104"/>
  <c r="G5449" i="104"/>
  <c r="G5450" i="104"/>
  <c r="G5451" i="104"/>
  <c r="G5452" i="104"/>
  <c r="G5453" i="104"/>
  <c r="G5454" i="104"/>
  <c r="G5455" i="104"/>
  <c r="G5456" i="104"/>
  <c r="G5457" i="104"/>
  <c r="G5458" i="104"/>
  <c r="G5459" i="104"/>
  <c r="G5460" i="104"/>
  <c r="G5461" i="104"/>
  <c r="G5462" i="104"/>
  <c r="G5463" i="104"/>
  <c r="G5464" i="104"/>
  <c r="G5465" i="104"/>
  <c r="G5466" i="104"/>
  <c r="G5467" i="104"/>
  <c r="G5468" i="104"/>
  <c r="G5469" i="104"/>
  <c r="G5470" i="104"/>
  <c r="G5471" i="104"/>
  <c r="G5472" i="104"/>
  <c r="G5473" i="104"/>
  <c r="G5474" i="104"/>
  <c r="G5475" i="104"/>
  <c r="G5476" i="104"/>
  <c r="G5477" i="104"/>
  <c r="G5478" i="104"/>
  <c r="G5479" i="104"/>
  <c r="G5480" i="104"/>
  <c r="G5481" i="104"/>
  <c r="G5482" i="104"/>
  <c r="G5483" i="104"/>
  <c r="G5484" i="104"/>
  <c r="G5485" i="104"/>
  <c r="G5486" i="104"/>
  <c r="G5487" i="104"/>
  <c r="G5488" i="104"/>
  <c r="G5489" i="104"/>
  <c r="G5490" i="104"/>
  <c r="G5491" i="104"/>
  <c r="G5492" i="104"/>
  <c r="G5493" i="104"/>
  <c r="G5494" i="104"/>
  <c r="G5495" i="104"/>
  <c r="G5496" i="104"/>
  <c r="G5497" i="104"/>
  <c r="G5498" i="104"/>
  <c r="G5499" i="104"/>
  <c r="G5500" i="104"/>
  <c r="G5501" i="104"/>
  <c r="G5502" i="104"/>
  <c r="G5503" i="104"/>
  <c r="G5504" i="104"/>
  <c r="G5505" i="104"/>
  <c r="G5506" i="104"/>
  <c r="G5507" i="104"/>
  <c r="G5508" i="104"/>
  <c r="G5509" i="104"/>
  <c r="G5510" i="104"/>
  <c r="G5511" i="104"/>
  <c r="G5512" i="104"/>
  <c r="G5513" i="104"/>
  <c r="G5514" i="104"/>
  <c r="G5515" i="104"/>
  <c r="G5516" i="104"/>
  <c r="G5517" i="104"/>
  <c r="G5518" i="104"/>
  <c r="G5519" i="104"/>
  <c r="G5520" i="104"/>
  <c r="G5521" i="104"/>
  <c r="G5522" i="104"/>
  <c r="G5523" i="104"/>
  <c r="G5524" i="104"/>
  <c r="G5525" i="104"/>
  <c r="G5526" i="104"/>
  <c r="G5527" i="104"/>
  <c r="G5528" i="104"/>
  <c r="G5529" i="104"/>
  <c r="G5530" i="104"/>
  <c r="G5531" i="104"/>
  <c r="G5532" i="104"/>
  <c r="G5533" i="104"/>
  <c r="G5534" i="104"/>
  <c r="G5535" i="104"/>
  <c r="G5536" i="104"/>
  <c r="G5537" i="104"/>
  <c r="G5538" i="104"/>
  <c r="G5539" i="104"/>
  <c r="G5540" i="104"/>
  <c r="G5541" i="104"/>
  <c r="G5542" i="104"/>
  <c r="G5543" i="104"/>
  <c r="G5544" i="104"/>
  <c r="G5545" i="104"/>
  <c r="G5546" i="104"/>
  <c r="G5547" i="104"/>
  <c r="G5548" i="104"/>
  <c r="G5549" i="104"/>
  <c r="G5550" i="104"/>
  <c r="G5551" i="104"/>
  <c r="G5552" i="104"/>
  <c r="G5553" i="104"/>
  <c r="G5554" i="104"/>
  <c r="G5555" i="104"/>
  <c r="G5556" i="104"/>
  <c r="G5557" i="104"/>
  <c r="G5558" i="104"/>
  <c r="G5559" i="104"/>
  <c r="G5560" i="104"/>
  <c r="G5561" i="104"/>
  <c r="G5562" i="104"/>
  <c r="G5563" i="104"/>
  <c r="G5564" i="104"/>
  <c r="G5565" i="104"/>
  <c r="G5566" i="104"/>
  <c r="G5567" i="104"/>
  <c r="G5568" i="104"/>
  <c r="G5569" i="104"/>
  <c r="G5570" i="104"/>
  <c r="G5571" i="104"/>
  <c r="G5572" i="104"/>
  <c r="G5573" i="104"/>
  <c r="G5574" i="104"/>
  <c r="G5575" i="104"/>
  <c r="G5576" i="104"/>
  <c r="G5577" i="104"/>
  <c r="G5578" i="104"/>
  <c r="G5579" i="104"/>
  <c r="G5580" i="104"/>
  <c r="G5581" i="104"/>
  <c r="G5582" i="104"/>
  <c r="G5583" i="104"/>
  <c r="G5584" i="104"/>
  <c r="G5585" i="104"/>
  <c r="G5586" i="104"/>
  <c r="G5587" i="104"/>
  <c r="G5588" i="104"/>
  <c r="G5589" i="104"/>
  <c r="G5590" i="104"/>
  <c r="G5591" i="104"/>
  <c r="G5592" i="104"/>
  <c r="G5593" i="104"/>
  <c r="G5594" i="104"/>
  <c r="G5595" i="104"/>
  <c r="G5596" i="104"/>
  <c r="G5597" i="104"/>
  <c r="G5598" i="104"/>
  <c r="G5599" i="104"/>
  <c r="G5600" i="104"/>
  <c r="G5601" i="104"/>
  <c r="G5602" i="104"/>
  <c r="G5603" i="104"/>
  <c r="G5604" i="104"/>
  <c r="G5605" i="104"/>
  <c r="G5606" i="104"/>
  <c r="G5607" i="104"/>
  <c r="G5608" i="104"/>
  <c r="G5609" i="104"/>
  <c r="G5610" i="104"/>
  <c r="G5611" i="104"/>
  <c r="G5612" i="104"/>
  <c r="G5613" i="104"/>
  <c r="G5614" i="104"/>
  <c r="G5615" i="104"/>
  <c r="G5616" i="104"/>
  <c r="G5617" i="104"/>
  <c r="G5618" i="104"/>
  <c r="G5619" i="104"/>
  <c r="G5620" i="104"/>
  <c r="G5621" i="104"/>
  <c r="G5622" i="104"/>
  <c r="G5623" i="104"/>
  <c r="G5624" i="104"/>
  <c r="G5625" i="104"/>
  <c r="G5626" i="104"/>
  <c r="G5627" i="104"/>
  <c r="G5628" i="104"/>
  <c r="G5629" i="104"/>
  <c r="G5630" i="104"/>
  <c r="G5631" i="104"/>
  <c r="G5632" i="104"/>
  <c r="G5633" i="104"/>
  <c r="G5634" i="104"/>
  <c r="G5635" i="104"/>
  <c r="G5636" i="104"/>
  <c r="G5637" i="104"/>
  <c r="G5638" i="104"/>
  <c r="G5639" i="104"/>
  <c r="G5640" i="104"/>
  <c r="G5641" i="104"/>
  <c r="G5642" i="104"/>
  <c r="G5643" i="104"/>
  <c r="G5644" i="104"/>
  <c r="G5645" i="104"/>
  <c r="G5646" i="104"/>
  <c r="G5647" i="104"/>
  <c r="G5648" i="104"/>
  <c r="G5649" i="104"/>
  <c r="G5650" i="104"/>
  <c r="G5651" i="104"/>
  <c r="G5652" i="104"/>
  <c r="G5653" i="104"/>
  <c r="G5654" i="104"/>
  <c r="G5655" i="104"/>
  <c r="G5656" i="104"/>
  <c r="G5657" i="104"/>
  <c r="G5658" i="104"/>
  <c r="G5659" i="104"/>
  <c r="G5660" i="104"/>
  <c r="G5661" i="104"/>
  <c r="G5662" i="104"/>
  <c r="G5663" i="104"/>
  <c r="G5664" i="104"/>
  <c r="G5665" i="104"/>
  <c r="G5666" i="104"/>
  <c r="G5667" i="104"/>
  <c r="G5668" i="104"/>
  <c r="G5669" i="104"/>
  <c r="G5670" i="104"/>
  <c r="G5671" i="104"/>
  <c r="G5672" i="104"/>
  <c r="G5673" i="104"/>
  <c r="G5674" i="104"/>
  <c r="G5675" i="104"/>
  <c r="G5676" i="104"/>
  <c r="G5677" i="104"/>
  <c r="G5678" i="104"/>
  <c r="G5679" i="104"/>
  <c r="G5680" i="104"/>
  <c r="G5681" i="104"/>
  <c r="G5682" i="104"/>
  <c r="G5683" i="104"/>
  <c r="G5684" i="104"/>
  <c r="G5685" i="104"/>
  <c r="G5686" i="104"/>
  <c r="G5687" i="104"/>
  <c r="G5688" i="104"/>
  <c r="G5689" i="104"/>
  <c r="G5690" i="104"/>
  <c r="G5691" i="104"/>
  <c r="G5692" i="104"/>
  <c r="G5693" i="104"/>
  <c r="G5694" i="104"/>
  <c r="G5695" i="104"/>
  <c r="G5696" i="104"/>
  <c r="G5697" i="104"/>
  <c r="G5698" i="104"/>
  <c r="G5699" i="104"/>
  <c r="G5700" i="104"/>
  <c r="G5701" i="104"/>
  <c r="G5702" i="104"/>
  <c r="G5703" i="104"/>
  <c r="G5704" i="104"/>
  <c r="G5705" i="104"/>
  <c r="G5706" i="104"/>
  <c r="G5707" i="104"/>
  <c r="G5708" i="104"/>
  <c r="G5709" i="104"/>
  <c r="G5710" i="104"/>
  <c r="G5711" i="104"/>
  <c r="G5712" i="104"/>
  <c r="G5713" i="104"/>
  <c r="G5714" i="104"/>
  <c r="G5715" i="104"/>
  <c r="G5716" i="104"/>
  <c r="G5717" i="104"/>
  <c r="G5718" i="104"/>
  <c r="G5719" i="104"/>
  <c r="G5720" i="104"/>
  <c r="G5721" i="104"/>
  <c r="G5722" i="104"/>
  <c r="G5723" i="104"/>
  <c r="G5724" i="104"/>
  <c r="G5725" i="104"/>
  <c r="G5726" i="104"/>
  <c r="G5727" i="104"/>
  <c r="G5728" i="104"/>
  <c r="G5729" i="104"/>
  <c r="G5730" i="104"/>
  <c r="G5731" i="104"/>
  <c r="G5732" i="104"/>
  <c r="G5733" i="104"/>
  <c r="G5734" i="104"/>
  <c r="G5735" i="104"/>
  <c r="G5736" i="104"/>
  <c r="G5737" i="104"/>
  <c r="G5738" i="104"/>
  <c r="G5739" i="104"/>
  <c r="G5740" i="104"/>
  <c r="G5741" i="104"/>
  <c r="G5742" i="104"/>
  <c r="G5743" i="104"/>
  <c r="G5744" i="104"/>
  <c r="G5745" i="104"/>
  <c r="G5746" i="104"/>
  <c r="G5747" i="104"/>
  <c r="G5748" i="104"/>
  <c r="G5749" i="104"/>
  <c r="G5750" i="104"/>
  <c r="G5751" i="104"/>
  <c r="G5752" i="104"/>
  <c r="G5753" i="104"/>
  <c r="G5754" i="104"/>
  <c r="G5755" i="104"/>
  <c r="G5756" i="104"/>
  <c r="G5757" i="104"/>
  <c r="G5758" i="104"/>
  <c r="G5759" i="104"/>
  <c r="G5760" i="104"/>
  <c r="G5761" i="104"/>
  <c r="G5762" i="104"/>
  <c r="G5763" i="104"/>
  <c r="G5764" i="104"/>
  <c r="G5765" i="104"/>
  <c r="G5766" i="104"/>
  <c r="G5767" i="104"/>
  <c r="G5768" i="104"/>
  <c r="G5769" i="104"/>
  <c r="G5770" i="104"/>
  <c r="G5771" i="104"/>
  <c r="G5772" i="104"/>
  <c r="G5773" i="104"/>
  <c r="G5774" i="104"/>
  <c r="G5775" i="104"/>
  <c r="G5776" i="104"/>
  <c r="G5777" i="104"/>
  <c r="G5778" i="104"/>
  <c r="G5779" i="104"/>
  <c r="G5780" i="104"/>
  <c r="G5781" i="104"/>
  <c r="G5782" i="104"/>
  <c r="G5783" i="104"/>
  <c r="G5784" i="104"/>
  <c r="G5785" i="104"/>
  <c r="G5786" i="104"/>
  <c r="G5787" i="104"/>
  <c r="G5788" i="104"/>
  <c r="G5789" i="104"/>
  <c r="G5790" i="104"/>
  <c r="G5791" i="104"/>
  <c r="G5792" i="104"/>
  <c r="G5793" i="104"/>
  <c r="G5794" i="104"/>
  <c r="G5795" i="104"/>
  <c r="G5796" i="104"/>
  <c r="G5797" i="104"/>
  <c r="G5798" i="104"/>
  <c r="G5799" i="104"/>
  <c r="G5800" i="104"/>
  <c r="G5801" i="104"/>
  <c r="G5802" i="104"/>
  <c r="G5803" i="104"/>
  <c r="G5804" i="104"/>
  <c r="G5805" i="104"/>
  <c r="G5806" i="104"/>
  <c r="G5807" i="104"/>
  <c r="G5808" i="104"/>
  <c r="G5809" i="104"/>
  <c r="G5810" i="104"/>
  <c r="G5811" i="104"/>
  <c r="G5812" i="104"/>
  <c r="G5813" i="104"/>
  <c r="G5814" i="104"/>
  <c r="G5815" i="104"/>
  <c r="G5816" i="104"/>
  <c r="G5817" i="104"/>
  <c r="G5818" i="104"/>
  <c r="G5819" i="104"/>
  <c r="G5820" i="104"/>
  <c r="G5821" i="104"/>
  <c r="G5822" i="104"/>
  <c r="G3" i="104"/>
  <c r="O30" i="104"/>
  <c r="O29" i="104"/>
  <c r="O28" i="104"/>
  <c r="O27" i="104"/>
  <c r="O26" i="104"/>
  <c r="O25" i="104"/>
  <c r="O24" i="104"/>
  <c r="O23" i="104"/>
  <c r="O22" i="104"/>
  <c r="O21" i="104"/>
  <c r="O20" i="104"/>
  <c r="O19" i="104"/>
  <c r="O18" i="104"/>
  <c r="O17" i="104"/>
  <c r="O16" i="104"/>
  <c r="O15" i="104"/>
  <c r="O14" i="104"/>
  <c r="O13" i="104"/>
  <c r="O12" i="104"/>
  <c r="O11" i="104"/>
  <c r="O10" i="104"/>
  <c r="O9" i="104"/>
  <c r="O8" i="104"/>
  <c r="O7" i="104"/>
  <c r="O6" i="104"/>
  <c r="O5" i="104"/>
  <c r="O4" i="104"/>
  <c r="O30" i="103"/>
  <c r="O29" i="103"/>
  <c r="O28" i="103"/>
  <c r="O27" i="103"/>
  <c r="O26" i="103"/>
  <c r="O25" i="103"/>
  <c r="O24" i="103"/>
  <c r="O23" i="103"/>
  <c r="O22" i="103"/>
  <c r="O21" i="103"/>
  <c r="O20" i="103"/>
  <c r="O19" i="103"/>
  <c r="O18" i="103"/>
  <c r="O17" i="103"/>
  <c r="O16" i="103"/>
  <c r="O15" i="103"/>
  <c r="O14" i="103"/>
  <c r="O13" i="103"/>
  <c r="O12" i="103"/>
  <c r="O11" i="103"/>
  <c r="O10" i="103"/>
  <c r="O9" i="103"/>
  <c r="O8" i="103"/>
  <c r="O7" i="103"/>
  <c r="O6" i="103"/>
  <c r="O5" i="103"/>
  <c r="T20" i="103"/>
  <c r="T7" i="103"/>
  <c r="T6" i="103"/>
  <c r="O4" i="103"/>
  <c r="S20" i="103"/>
  <c r="S7" i="103"/>
  <c r="S6" i="103"/>
  <c r="T8" i="103" l="1"/>
  <c r="S8" i="103"/>
</calcChain>
</file>

<file path=xl/sharedStrings.xml><?xml version="1.0" encoding="utf-8"?>
<sst xmlns="http://schemas.openxmlformats.org/spreadsheetml/2006/main" count="64155" uniqueCount="5905">
  <si>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</si>
  <si>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</si>
  <si>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</si>
  <si>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</si>
  <si>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</si>
  <si>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</si>
  <si>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</si>
  <si>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</si>
  <si>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</si>
  <si>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</si>
  <si>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</si>
  <si>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</si>
  <si>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</si>
  <si>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</si>
  <si>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</si>
  <si>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</si>
  <si>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</si>
  <si>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</si>
  <si>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</si>
  <si>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</si>
  <si>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</si>
  <si>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</si>
  <si>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</si>
  <si>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</si>
  <si>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</si>
  <si>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</si>
  <si>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</si>
  <si>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</si>
  <si>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</si>
  <si>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</si>
  <si>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</si>
  <si>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</si>
  <si>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</si>
  <si>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</si>
  <si>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</si>
  <si>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</si>
  <si>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</si>
  <si>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</si>
  <si>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</si>
  <si>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</si>
  <si>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</si>
  <si>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</si>
  <si>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</si>
  <si>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</si>
  <si>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</si>
  <si>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</si>
  <si>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</si>
  <si>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</si>
  <si>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</si>
  <si>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</si>
  <si>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</si>
  <si>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</si>
  <si>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</si>
  <si>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</si>
  <si>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</si>
  <si>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</si>
  <si>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</si>
  <si>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</si>
  <si>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</si>
  <si>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</si>
  <si>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</si>
  <si>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</si>
  <si>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</si>
  <si>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</si>
  <si>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</si>
  <si>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</si>
  <si>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</si>
  <si>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</si>
  <si>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</si>
  <si>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</si>
  <si>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</si>
  <si>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</si>
  <si>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</si>
  <si>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</si>
  <si>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</si>
  <si>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</si>
  <si>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</si>
  <si>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</si>
  <si>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</si>
  <si>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</si>
  <si>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</si>
  <si>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</si>
  <si>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</si>
  <si>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</si>
  <si>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</si>
  <si>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</si>
  <si>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</si>
  <si>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</si>
  <si>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</si>
  <si>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</si>
  <si>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</si>
  <si>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</si>
  <si>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</si>
  <si>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</si>
  <si>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</si>
  <si>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</si>
  <si>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</si>
  <si>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</si>
  <si>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</si>
  <si>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</si>
  <si>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</si>
  <si>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</si>
  <si>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</si>
  <si>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</si>
  <si>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</si>
  <si>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</si>
  <si>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</si>
  <si>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</si>
  <si>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</si>
  <si>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</si>
  <si>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</si>
  <si>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</si>
  <si>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</si>
  <si>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</si>
  <si>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</si>
  <si>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</si>
  <si>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</si>
  <si>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</si>
  <si>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</si>
  <si>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</si>
  <si>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</si>
  <si>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</si>
  <si>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</si>
  <si>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</si>
  <si>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</si>
  <si>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</si>
  <si>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</si>
  <si>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</si>
  <si>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</si>
  <si>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</si>
  <si>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</si>
  <si>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</si>
  <si>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</si>
  <si>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</si>
  <si>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</si>
  <si>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</si>
  <si>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</si>
  <si>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</si>
  <si>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</si>
  <si>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</si>
  <si>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</si>
  <si>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</si>
  <si>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</si>
  <si>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</si>
  <si>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</si>
  <si>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</si>
  <si>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</si>
  <si>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</si>
  <si>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</si>
  <si>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</si>
  <si>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</si>
  <si>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</si>
  <si>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</si>
  <si>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</si>
  <si>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</si>
  <si>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</si>
  <si>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</si>
  <si>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</si>
  <si>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</si>
  <si>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</si>
  <si>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</si>
  <si>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</si>
  <si>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</si>
  <si>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</si>
  <si>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</si>
  <si>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</si>
  <si>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</si>
  <si>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</si>
  <si>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</si>
  <si>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</si>
  <si>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</si>
  <si>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</si>
  <si>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</si>
  <si>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</si>
  <si>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</si>
  <si>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</si>
  <si>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</si>
  <si>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</si>
  <si>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</si>
  <si>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</si>
  <si>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</si>
  <si>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</si>
  <si>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</si>
  <si>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</si>
  <si>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</si>
  <si>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</si>
  <si>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</si>
  <si>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</si>
  <si>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</si>
  <si>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</si>
  <si>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</si>
  <si>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</si>
  <si>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</si>
  <si>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</si>
  <si>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</si>
  <si>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</si>
  <si>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</si>
  <si>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</si>
  <si>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</si>
  <si>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</si>
  <si>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</si>
  <si>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</si>
  <si>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</si>
  <si>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</si>
  <si>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</si>
  <si>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</si>
  <si>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</si>
  <si>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</si>
  <si>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</si>
  <si>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</si>
  <si>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</si>
  <si>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</si>
  <si>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</si>
  <si>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</si>
  <si>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</si>
  <si>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</si>
  <si>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</si>
  <si>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</si>
  <si>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</si>
  <si>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</si>
  <si>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</si>
  <si>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</si>
  <si>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</si>
  <si>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</si>
  <si>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</si>
  <si>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</si>
  <si>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</si>
  <si>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</si>
  <si>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</si>
  <si>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</si>
  <si>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</si>
  <si>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</si>
  <si>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</si>
  <si>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</si>
  <si>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</si>
  <si>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</si>
  <si>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</si>
  <si>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</si>
  <si>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</si>
  <si>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</si>
  <si>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</si>
  <si>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</si>
  <si>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</si>
  <si>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</si>
  <si>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</si>
  <si>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</si>
  <si>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</si>
  <si>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</si>
  <si>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</si>
  <si>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</si>
  <si>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</si>
  <si>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</si>
  <si>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</si>
  <si>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</si>
  <si>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</si>
  <si>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</si>
  <si>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</si>
  <si>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</si>
  <si>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</si>
  <si>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</si>
  <si>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</si>
  <si>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</si>
  <si>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</si>
  <si>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</si>
  <si>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</si>
  <si>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</si>
  <si>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</si>
  <si>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</si>
  <si>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</si>
  <si>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</si>
  <si>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</si>
  <si>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</si>
  <si>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</si>
  <si>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</si>
  <si>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</si>
  <si>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</si>
  <si>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</si>
  <si>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</si>
  <si>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</si>
  <si>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</si>
  <si>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</si>
  <si>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</si>
  <si>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</si>
  <si>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</si>
  <si>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</si>
  <si>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</si>
  <si>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</si>
  <si>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</si>
  <si>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</si>
  <si>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</si>
  <si>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</si>
  <si>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</si>
  <si>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</si>
  <si>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</si>
  <si>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</si>
  <si>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</si>
  <si>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</si>
  <si>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</si>
  <si>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</si>
  <si>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</si>
  <si>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</si>
  <si>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</si>
  <si>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</si>
  <si>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</si>
  <si>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</si>
  <si>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</si>
  <si>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</si>
  <si>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</si>
  <si>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</si>
  <si>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</si>
  <si>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</si>
  <si>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</si>
  <si>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</si>
  <si>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</si>
  <si>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</si>
  <si>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</si>
  <si>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</si>
  <si>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</si>
  <si>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</si>
  <si>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</si>
  <si>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</si>
  <si>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</si>
  <si>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</si>
  <si>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</si>
  <si>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</si>
  <si>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</si>
  <si>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</si>
  <si>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</si>
  <si>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</si>
  <si>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</si>
  <si>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</si>
  <si>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</si>
  <si>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</si>
  <si>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</si>
  <si>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</si>
  <si>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</si>
  <si>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</si>
  <si>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</si>
  <si>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</si>
  <si>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</si>
  <si>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</si>
  <si>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</si>
  <si>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</si>
  <si>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</si>
  <si>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</si>
  <si>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</si>
  <si>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</si>
  <si>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</si>
  <si>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</si>
  <si>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</si>
  <si>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</si>
  <si>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</si>
  <si>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</si>
  <si>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</si>
  <si>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</si>
  <si>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</si>
  <si>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</si>
  <si>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</si>
  <si>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</si>
  <si>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</si>
  <si>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</si>
  <si>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</si>
  <si>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</si>
  <si>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</si>
  <si>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</si>
  <si>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</si>
  <si>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</si>
  <si>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</si>
  <si>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</si>
  <si>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</si>
  <si>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</si>
  <si>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</si>
  <si>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</si>
  <si>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</si>
  <si>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</si>
  <si>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</si>
  <si>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</si>
  <si>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</si>
  <si>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</si>
  <si>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</si>
  <si>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</si>
  <si>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</si>
  <si>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</si>
  <si>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</si>
  <si>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</si>
  <si>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</si>
  <si>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</si>
  <si>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</si>
  <si>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</si>
  <si>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</si>
  <si>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</si>
  <si>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</si>
  <si>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</si>
  <si>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</si>
  <si>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</si>
  <si>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</si>
  <si>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</si>
  <si>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</si>
  <si>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</si>
  <si>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</si>
  <si>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</si>
  <si>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</si>
  <si>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</si>
  <si>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</si>
  <si>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</si>
  <si>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</si>
  <si>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</si>
  <si>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</si>
  <si>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</si>
  <si>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</si>
  <si>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</si>
  <si>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</si>
  <si>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</si>
  <si>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</si>
  <si>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</si>
  <si>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</si>
  <si>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</si>
  <si>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</si>
  <si>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</si>
  <si>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</si>
  <si>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</si>
  <si>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</si>
  <si>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</si>
  <si>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</si>
  <si>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</si>
  <si>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</si>
  <si>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</si>
  <si>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</si>
  <si>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</si>
  <si>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</si>
  <si>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</si>
  <si>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</si>
  <si>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</si>
  <si>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</si>
  <si>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</si>
  <si>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</si>
  <si>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</si>
  <si>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</si>
  <si>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</si>
  <si>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</si>
  <si>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</si>
  <si>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</si>
  <si>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</si>
  <si>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</si>
  <si>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</si>
  <si>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</si>
  <si>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</si>
  <si>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</si>
  <si>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</si>
  <si>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</si>
  <si>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</si>
  <si>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</si>
  <si>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</si>
  <si>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</si>
  <si>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</si>
  <si>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</si>
  <si>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</si>
  <si>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</si>
  <si>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</si>
  <si>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</si>
  <si>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</si>
  <si>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</si>
  <si>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</si>
  <si>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</si>
  <si>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</si>
  <si>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</si>
  <si>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</si>
  <si>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</si>
  <si>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</si>
  <si>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</si>
  <si>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</si>
  <si>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</si>
  <si>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</si>
  <si>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</si>
  <si>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</si>
  <si>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</si>
  <si>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</si>
  <si>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</si>
  <si>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</si>
  <si>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</si>
  <si>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</si>
  <si>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</si>
  <si>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</si>
  <si>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</si>
  <si>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</si>
  <si>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</si>
  <si>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</si>
  <si>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</si>
  <si>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</si>
  <si>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</si>
  <si>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</si>
  <si>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</si>
  <si>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</si>
  <si>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</si>
  <si>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</si>
  <si>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</si>
  <si>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</si>
  <si>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</si>
  <si>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</si>
  <si>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</si>
  <si>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</si>
  <si>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</si>
  <si>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</si>
  <si>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</si>
  <si>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</si>
  <si>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</si>
  <si>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</si>
  <si>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</si>
  <si>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</si>
  <si>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</si>
  <si>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</si>
  <si>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</si>
  <si>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</si>
  <si>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</si>
  <si>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</si>
  <si>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</si>
  <si>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</si>
  <si>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</si>
  <si>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</si>
  <si>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</si>
  <si>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</si>
  <si>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</si>
  <si>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</si>
  <si>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</si>
  <si>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</si>
  <si>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</si>
  <si>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</si>
  <si>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</si>
  <si>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</si>
  <si>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</si>
  <si>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</si>
  <si>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</si>
  <si>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</si>
  <si>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</si>
  <si>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</si>
  <si>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</si>
  <si>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</si>
  <si>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</si>
  <si>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</si>
  <si>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</si>
  <si>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</si>
  <si>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</si>
  <si>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</si>
  <si>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</si>
  <si>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</si>
  <si>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</si>
  <si>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</si>
  <si>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</si>
  <si>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</si>
  <si>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</si>
  <si>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</si>
  <si>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</si>
  <si>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</si>
  <si>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</si>
  <si>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</si>
  <si>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</si>
  <si>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</si>
  <si>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</si>
  <si>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</si>
  <si>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</si>
  <si>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</si>
  <si>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</si>
  <si>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</si>
  <si>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</si>
  <si>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</si>
  <si>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</si>
  <si>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</si>
  <si>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</si>
  <si>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</si>
  <si>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</si>
  <si>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</si>
  <si>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</si>
  <si>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</si>
  <si>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</si>
  <si>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</si>
  <si>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</si>
  <si>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</si>
  <si>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</si>
  <si>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</si>
  <si>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</si>
  <si>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</si>
  <si>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</si>
  <si>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</si>
  <si>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</si>
  <si>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</si>
  <si>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</si>
  <si>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</si>
  <si>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</si>
  <si>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</si>
  <si>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</si>
  <si>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</si>
  <si>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</si>
  <si>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</si>
  <si>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</si>
  <si>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</si>
  <si>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</si>
  <si>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</si>
  <si>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</si>
  <si>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</si>
  <si>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</si>
  <si>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</si>
  <si>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</si>
  <si>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</si>
  <si>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</si>
  <si>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</si>
  <si>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</si>
  <si>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</si>
  <si>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</si>
  <si>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</si>
  <si>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</si>
  <si>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</si>
  <si>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</si>
  <si>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</si>
  <si>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</si>
  <si>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</si>
  <si>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</si>
  <si>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</si>
  <si>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</si>
  <si>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</si>
  <si>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</si>
  <si>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</si>
  <si>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</si>
  <si>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</si>
  <si>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</si>
  <si>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</si>
  <si>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</si>
  <si>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</si>
  <si>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</si>
  <si>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</si>
  <si>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</si>
  <si>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</si>
  <si>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</si>
  <si>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</si>
  <si>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</si>
  <si>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</si>
  <si>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</si>
  <si>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</si>
  <si>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</si>
  <si>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</si>
  <si>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</si>
  <si>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</si>
  <si>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</si>
  <si>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</si>
  <si>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</si>
  <si>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</si>
  <si>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</si>
  <si>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</si>
  <si>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</si>
  <si>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</si>
  <si>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</si>
  <si>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</si>
  <si>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</si>
  <si>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</si>
  <si>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</si>
  <si>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</si>
  <si>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</si>
  <si>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</si>
  <si>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</si>
  <si>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</si>
  <si>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</si>
  <si>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</si>
  <si>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</si>
  <si>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</si>
  <si>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</si>
  <si>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</si>
  <si>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</si>
  <si>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</si>
  <si>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</si>
  <si>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</si>
  <si>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</si>
  <si>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</si>
  <si>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</si>
  <si>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</si>
  <si>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</si>
  <si>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</si>
  <si>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</si>
  <si>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</si>
  <si>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</si>
  <si>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</si>
  <si>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</si>
  <si>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</si>
  <si>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</si>
  <si>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</si>
  <si>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</si>
  <si>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</si>
  <si>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</si>
  <si>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</si>
  <si>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</si>
  <si>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</si>
  <si>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</si>
  <si>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</si>
  <si>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</si>
  <si>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</si>
  <si>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</si>
  <si>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</si>
  <si>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</si>
  <si>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</si>
  <si>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</si>
  <si>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</si>
  <si>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</si>
  <si>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</si>
  <si>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</si>
  <si>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</si>
  <si>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</si>
  <si>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</si>
  <si>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</si>
  <si>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</si>
  <si>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</si>
  <si>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</si>
  <si>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</si>
  <si>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</si>
  <si>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</si>
  <si>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</si>
  <si>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</si>
  <si>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</si>
  <si>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</si>
  <si>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</si>
  <si>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</si>
  <si>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</si>
  <si>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</si>
  <si>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</si>
  <si>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</si>
  <si>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</si>
  <si>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</si>
  <si>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</si>
  <si>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</si>
  <si>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</si>
  <si>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</si>
  <si>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</si>
  <si>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</si>
  <si>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</si>
  <si>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</si>
  <si>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</si>
  <si>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</si>
  <si>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</si>
  <si>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</si>
  <si>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</si>
  <si>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</si>
  <si>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</si>
  <si>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</si>
  <si>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</si>
  <si>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</si>
  <si>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</si>
  <si>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</si>
  <si>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</si>
  <si>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</si>
  <si>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</si>
  <si>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</si>
  <si>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</si>
  <si>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</si>
  <si>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</si>
  <si>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</si>
  <si>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</si>
  <si>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</si>
  <si>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</si>
  <si>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</si>
  <si>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</si>
  <si>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</si>
  <si>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</si>
  <si>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</si>
  <si>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</si>
  <si>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</si>
  <si>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</si>
  <si>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</si>
  <si>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</si>
  <si>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</si>
  <si>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</si>
  <si>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</si>
  <si>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</si>
  <si>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</si>
  <si>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</si>
  <si>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</si>
  <si>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</si>
  <si>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</si>
  <si>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</si>
  <si>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</si>
  <si>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</si>
  <si>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</si>
  <si>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</si>
  <si>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</si>
  <si>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</si>
  <si>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</si>
  <si>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</si>
  <si>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</si>
  <si>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</si>
  <si>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</si>
  <si>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</si>
  <si>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</si>
  <si>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</si>
  <si>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</si>
  <si>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</si>
  <si>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</si>
  <si>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</si>
  <si>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</si>
  <si>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</si>
  <si>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</si>
  <si>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</si>
  <si>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</si>
  <si>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</si>
  <si>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</si>
  <si>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</si>
  <si>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</si>
  <si>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</si>
  <si>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</si>
  <si>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</si>
  <si>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</si>
  <si>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</si>
  <si>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</si>
  <si>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</si>
  <si>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</si>
  <si>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</si>
  <si>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</si>
  <si>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</si>
  <si>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</si>
  <si>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</si>
  <si>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</si>
  <si>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</si>
  <si>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</si>
  <si>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</si>
  <si>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</si>
  <si>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</si>
  <si>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</si>
  <si>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</si>
  <si>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</si>
  <si>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</si>
  <si>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</si>
  <si>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</si>
  <si>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</si>
  <si>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</si>
  <si>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</si>
  <si>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</si>
  <si>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</si>
  <si>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</si>
  <si>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</si>
  <si>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</si>
  <si>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</si>
  <si>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</si>
  <si>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</si>
  <si>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</si>
  <si>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</si>
  <si>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</si>
  <si>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</si>
  <si>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</si>
  <si>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</si>
  <si>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</si>
  <si>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</si>
  <si>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</si>
  <si>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</si>
  <si>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</si>
  <si>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</si>
  <si>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</si>
  <si>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</si>
  <si>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</si>
  <si>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</si>
  <si>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</si>
  <si>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</si>
  <si>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</si>
  <si>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</si>
  <si>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</si>
  <si>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</si>
  <si>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</si>
  <si>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</si>
  <si>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</si>
  <si>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</si>
  <si>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</si>
  <si>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</si>
  <si>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</si>
  <si>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</si>
  <si>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</si>
  <si>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</si>
  <si>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</si>
  <si>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</si>
  <si>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</si>
  <si>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</si>
  <si>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</si>
  <si>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</si>
  <si>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</si>
  <si>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</si>
  <si>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</si>
  <si>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</si>
  <si>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</si>
  <si>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</si>
  <si>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</si>
  <si>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</si>
  <si>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</si>
  <si>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</si>
  <si>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</si>
  <si>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</si>
  <si>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</si>
  <si>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</si>
  <si>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</si>
  <si>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</si>
  <si>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</si>
  <si>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</si>
  <si>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</si>
  <si>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</si>
  <si>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</si>
  <si>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</si>
  <si>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</si>
  <si>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</si>
  <si>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</si>
  <si>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</si>
  <si>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</si>
  <si>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</si>
  <si>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</si>
  <si>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</si>
  <si>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</si>
  <si>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</si>
  <si>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</si>
  <si>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</si>
  <si>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</si>
  <si>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</si>
  <si>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</si>
  <si>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</si>
  <si>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</si>
  <si>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</si>
  <si>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</si>
  <si>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</si>
  <si>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</si>
  <si>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</si>
  <si>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</si>
  <si>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</si>
  <si>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</si>
  <si>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</si>
  <si>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</si>
  <si>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</si>
  <si>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</si>
  <si>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</si>
  <si>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</si>
  <si>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</si>
  <si>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</si>
  <si>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</si>
  <si>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</si>
  <si>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</si>
  <si>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</si>
  <si>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</si>
  <si>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</si>
  <si>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</si>
  <si>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</si>
  <si>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</si>
  <si>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</si>
  <si>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</si>
  <si>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</si>
  <si>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</si>
  <si>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</si>
  <si>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</si>
  <si>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</si>
  <si>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</si>
  <si>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</si>
  <si>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</si>
  <si>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</si>
  <si>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</si>
  <si>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</si>
  <si>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</si>
  <si>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</si>
  <si>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</si>
  <si>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</si>
  <si>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</si>
  <si>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</si>
  <si>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</si>
  <si>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</si>
  <si>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</si>
  <si>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</si>
  <si>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</si>
  <si>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</si>
  <si>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</si>
  <si>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</si>
  <si>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</si>
  <si>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</si>
  <si>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</si>
  <si>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</si>
  <si>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</si>
  <si>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</si>
  <si>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</si>
  <si>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</si>
  <si>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</si>
  <si>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</si>
  <si>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</si>
  <si>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</si>
  <si>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</si>
  <si>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</si>
  <si>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</si>
  <si>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</si>
  <si>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</si>
  <si>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</si>
  <si>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</si>
  <si>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</si>
  <si>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</si>
  <si>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</si>
  <si>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</si>
  <si>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</si>
  <si>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</si>
  <si>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</si>
  <si>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</si>
  <si>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</si>
  <si>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</si>
  <si>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</si>
  <si>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</si>
  <si>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</si>
  <si>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</si>
  <si>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</si>
  <si>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</si>
  <si>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</si>
  <si>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</si>
  <si>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</si>
  <si>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</si>
  <si>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</si>
  <si>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</si>
  <si>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</si>
  <si>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</si>
  <si>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</si>
  <si>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</si>
  <si>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</si>
  <si>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</si>
  <si>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</si>
  <si>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</si>
  <si>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</si>
  <si>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</si>
  <si>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</si>
  <si>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</si>
  <si>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</si>
  <si>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</si>
  <si>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</si>
  <si>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</si>
  <si>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</si>
  <si>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</si>
  <si>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</si>
  <si>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</si>
  <si>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</si>
  <si>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</si>
  <si>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</si>
  <si>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</si>
  <si>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</si>
  <si>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</si>
  <si>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</si>
  <si>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</si>
  <si>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</si>
  <si>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</si>
  <si>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</si>
  <si>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</si>
  <si>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</si>
  <si>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</si>
  <si>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</si>
  <si>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</si>
  <si>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</si>
  <si>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</si>
  <si>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</si>
  <si>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</si>
  <si>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</si>
  <si>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</si>
  <si>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</si>
  <si>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</si>
  <si>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</si>
  <si>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</si>
  <si>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</si>
  <si>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</si>
  <si>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</si>
  <si>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</si>
  <si>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</si>
  <si>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</si>
  <si>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</si>
  <si>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</si>
  <si>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</si>
  <si>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</si>
  <si>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</si>
  <si>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</si>
  <si>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</si>
  <si>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</si>
  <si>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</si>
  <si>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</si>
  <si>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</si>
  <si>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</si>
  <si>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</si>
  <si>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</si>
  <si>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</si>
  <si>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</si>
  <si>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</si>
  <si>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</si>
  <si>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</si>
  <si>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</si>
  <si>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</si>
  <si>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</si>
  <si>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</si>
  <si>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</si>
  <si>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</si>
  <si>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</si>
  <si>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</si>
  <si>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</si>
  <si>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</si>
  <si>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</si>
  <si>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</si>
  <si>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</si>
  <si>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</si>
  <si>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</si>
  <si>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</si>
  <si>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</si>
  <si>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</si>
  <si>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</si>
  <si>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</si>
  <si>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</si>
  <si>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</si>
  <si>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</si>
  <si>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</si>
  <si>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</si>
  <si>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</si>
  <si>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</si>
  <si>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</si>
  <si>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</si>
  <si>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</si>
  <si>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</si>
  <si>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</si>
  <si>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</si>
  <si>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</si>
  <si>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</si>
  <si>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</si>
  <si>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</si>
  <si>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</si>
  <si>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</si>
  <si>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</si>
  <si>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</si>
  <si>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</si>
  <si>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</si>
  <si>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</si>
  <si>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</si>
  <si>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</si>
  <si>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</si>
  <si>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</si>
  <si>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</si>
  <si>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</si>
  <si>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</si>
  <si>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</si>
  <si>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</si>
  <si>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</si>
  <si>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</si>
  <si>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</si>
  <si>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</si>
  <si>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</si>
  <si>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</si>
  <si>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</si>
  <si>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</si>
  <si>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</si>
  <si>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</si>
  <si>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</si>
  <si>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</si>
  <si>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</si>
  <si>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</si>
  <si>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</si>
  <si>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</si>
  <si>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</si>
  <si>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</si>
  <si>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</si>
  <si>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</si>
  <si>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</si>
  <si>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</si>
  <si>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</si>
  <si>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</si>
  <si>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</si>
  <si>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</si>
  <si>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</si>
  <si>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</si>
  <si>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</si>
  <si>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</si>
  <si>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</si>
  <si>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</si>
  <si>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</si>
  <si>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</si>
  <si>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</si>
  <si>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</si>
  <si>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</si>
  <si>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</si>
  <si>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</si>
  <si>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</si>
  <si>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</si>
  <si>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</si>
  <si>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</si>
  <si>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</si>
  <si>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</si>
  <si>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</si>
  <si>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</si>
  <si>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</si>
  <si>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</si>
  <si>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</si>
  <si>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</si>
  <si>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</si>
  <si>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</si>
  <si>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</si>
  <si>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</si>
  <si>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</si>
  <si>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</si>
  <si>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</si>
  <si>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</si>
  <si>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</si>
  <si>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</si>
  <si>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</si>
  <si>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</si>
  <si>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</si>
  <si>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</si>
  <si>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</si>
  <si>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</si>
  <si>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</si>
  <si>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</si>
  <si>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</si>
  <si>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</si>
  <si>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</si>
  <si>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</si>
  <si>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</si>
  <si>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</si>
  <si>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</si>
  <si>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</si>
  <si>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</si>
  <si>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</si>
  <si>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</si>
  <si>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</si>
  <si>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</si>
  <si>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</si>
  <si>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</si>
  <si>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</si>
  <si>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</si>
  <si>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</si>
  <si>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</si>
  <si>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</si>
  <si>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</si>
  <si>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</si>
  <si>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</si>
  <si>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</si>
  <si>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</si>
  <si>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</si>
  <si>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</si>
  <si>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</si>
  <si>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</si>
  <si>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</si>
  <si>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</si>
  <si>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</si>
  <si>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</si>
  <si>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</si>
  <si>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</si>
  <si>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</si>
  <si>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</si>
  <si>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</si>
  <si>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</si>
  <si>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</si>
  <si>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</si>
  <si>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</si>
  <si>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</si>
  <si>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</si>
  <si>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</si>
  <si>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</si>
  <si>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</si>
  <si>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</si>
  <si>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</si>
  <si>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</si>
  <si>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</si>
  <si>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</si>
  <si>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</si>
  <si>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</si>
  <si>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</si>
  <si>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</si>
  <si>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</si>
  <si>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</si>
  <si>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</si>
  <si>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</si>
  <si>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</si>
  <si>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</si>
  <si>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</si>
  <si>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</si>
  <si>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</si>
  <si>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</si>
  <si>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</si>
  <si>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</si>
  <si>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</si>
  <si>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</si>
  <si>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</si>
  <si>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</si>
  <si>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</si>
  <si>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</si>
  <si>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</si>
  <si>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</si>
  <si>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</si>
  <si>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</si>
  <si>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</si>
  <si>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</si>
  <si>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</si>
  <si>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</si>
  <si>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</si>
  <si>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</si>
  <si>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</si>
  <si>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</si>
  <si>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</si>
  <si>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</si>
  <si>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</si>
  <si>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</si>
  <si>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</si>
  <si>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</si>
  <si>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</si>
  <si>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</si>
  <si>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</si>
  <si>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</si>
  <si>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</si>
  <si>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</si>
  <si>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</si>
  <si>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</si>
  <si>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</si>
  <si>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</si>
  <si>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</si>
  <si>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</si>
  <si>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</si>
  <si>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</si>
  <si>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</si>
  <si>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</si>
  <si>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</si>
  <si>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</si>
  <si>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</si>
  <si>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</si>
  <si>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</si>
  <si>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</si>
  <si>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</si>
  <si>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</si>
  <si>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</si>
  <si>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</si>
  <si>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</si>
  <si>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</si>
  <si>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</si>
  <si>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</si>
  <si>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</si>
  <si>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</si>
  <si>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</si>
  <si>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</si>
  <si>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</si>
  <si>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</si>
  <si>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</si>
  <si>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</si>
  <si>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</si>
  <si>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</si>
  <si>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</si>
  <si>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</si>
  <si>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</si>
  <si>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</si>
  <si>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</si>
  <si>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</si>
  <si>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</si>
  <si>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</si>
  <si>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</si>
  <si>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</si>
  <si>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</si>
  <si>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</si>
  <si>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</si>
  <si>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</si>
  <si>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</si>
  <si>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</si>
  <si>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</si>
  <si>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</si>
  <si>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</si>
  <si>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</si>
  <si>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</si>
  <si>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</si>
  <si>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</si>
  <si>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</si>
  <si>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</si>
  <si>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</si>
  <si>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</si>
  <si>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</si>
  <si>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</si>
  <si>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</si>
  <si>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</si>
  <si>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</si>
  <si>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</si>
  <si>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</si>
  <si>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</si>
  <si>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</si>
  <si>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</si>
  <si>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</si>
  <si>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</si>
  <si>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</si>
  <si>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</si>
  <si>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</si>
  <si>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</si>
  <si>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</si>
  <si>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</si>
  <si>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</si>
  <si>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</si>
  <si>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</si>
  <si>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</si>
  <si>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</si>
  <si>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</si>
  <si>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</si>
  <si>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</si>
  <si>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</si>
  <si>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</si>
  <si>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</si>
  <si>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</si>
  <si>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</si>
  <si>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</si>
  <si>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</si>
  <si>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</si>
  <si>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</si>
  <si>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</si>
  <si>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</si>
  <si>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</si>
  <si>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</si>
  <si>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</si>
  <si>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</si>
  <si>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</si>
  <si>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</si>
  <si>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</si>
  <si>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</si>
  <si>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</si>
  <si>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</si>
  <si>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</si>
  <si>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</si>
  <si>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</si>
  <si>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</si>
  <si>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</si>
  <si>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</si>
  <si>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</si>
  <si>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</si>
  <si>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</si>
  <si>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</si>
  <si>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</si>
  <si>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</si>
  <si>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</si>
  <si>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</si>
  <si>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</si>
  <si>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</si>
  <si>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</si>
  <si>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</si>
  <si>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</si>
  <si>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</si>
  <si>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</si>
  <si>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</si>
  <si>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</si>
  <si>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</si>
  <si>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</si>
  <si>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</si>
  <si>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</si>
  <si>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</si>
  <si>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</si>
  <si>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</si>
  <si>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</si>
  <si>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</si>
  <si>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</si>
  <si>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</si>
  <si>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</si>
  <si>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</si>
  <si>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</si>
  <si>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</si>
  <si>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</si>
  <si>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</si>
  <si>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</si>
  <si>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</si>
  <si>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</si>
  <si>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</si>
  <si>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</si>
  <si>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</si>
  <si>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</si>
  <si>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</si>
  <si>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</si>
  <si>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</si>
  <si>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</si>
  <si>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</si>
  <si>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</si>
  <si>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</si>
  <si>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</si>
  <si>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</si>
  <si>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</si>
  <si>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</si>
  <si>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</si>
  <si>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</si>
  <si>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</si>
  <si>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</si>
  <si>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</si>
  <si>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</si>
  <si>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</si>
  <si>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</si>
  <si>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</si>
  <si>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</si>
  <si>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</si>
  <si>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</si>
  <si>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</si>
  <si>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</si>
  <si>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</si>
  <si>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</si>
  <si>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</si>
  <si>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</si>
  <si>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</si>
  <si>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</si>
  <si>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</si>
  <si>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</si>
  <si>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</si>
  <si>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</si>
  <si>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</si>
  <si>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</si>
  <si>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</si>
  <si>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</si>
  <si>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</si>
  <si>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</si>
  <si>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</si>
  <si>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</si>
  <si>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</si>
  <si>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</si>
  <si>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</si>
  <si>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</si>
  <si>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</si>
  <si>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</si>
  <si>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</si>
  <si>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</si>
  <si>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</si>
  <si>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</si>
  <si>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</si>
  <si>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</si>
  <si>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</si>
  <si>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</si>
  <si>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</si>
  <si>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</si>
  <si>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</si>
  <si>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</si>
  <si>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</si>
  <si>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</si>
  <si>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</si>
  <si>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</si>
  <si>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</si>
  <si>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</si>
  <si>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</si>
  <si>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</si>
  <si>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</si>
  <si>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</si>
  <si>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</si>
  <si>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</si>
  <si>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</si>
  <si>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</si>
  <si>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</si>
  <si>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</si>
  <si>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</si>
  <si>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</si>
  <si>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</si>
  <si>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</si>
  <si>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</si>
  <si>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</si>
  <si>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</si>
  <si>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</si>
  <si>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</si>
  <si>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</si>
  <si>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</si>
  <si>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</si>
  <si>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</si>
  <si>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</si>
  <si>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</si>
  <si>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</si>
  <si>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</si>
  <si>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</si>
  <si>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</si>
  <si>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</si>
  <si>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</si>
  <si>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</si>
  <si>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</si>
  <si>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</si>
  <si>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</si>
  <si>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</si>
  <si>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</si>
  <si>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</si>
  <si>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</si>
  <si>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</si>
  <si>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</si>
  <si>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</si>
  <si>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</si>
  <si>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</si>
  <si>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</si>
  <si>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</si>
  <si>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</si>
  <si>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</si>
  <si>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</si>
  <si>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</si>
  <si>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</si>
  <si>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</si>
  <si>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</si>
  <si>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</si>
  <si>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</si>
  <si>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</si>
  <si>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</si>
  <si>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</si>
  <si>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</si>
  <si>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</si>
  <si>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</si>
  <si>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</si>
  <si>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</si>
  <si>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</si>
  <si>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</si>
  <si>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</si>
  <si>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</si>
  <si>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</si>
  <si>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</si>
  <si>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</si>
  <si>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</si>
  <si>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</si>
  <si>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</si>
  <si>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</si>
  <si>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</si>
  <si>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</si>
  <si>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</si>
  <si>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</si>
  <si>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</si>
  <si>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</si>
  <si>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</si>
  <si>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</si>
  <si>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</si>
  <si>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</si>
  <si>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</si>
  <si>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</si>
  <si>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</si>
  <si>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</si>
  <si>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</si>
  <si>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</si>
  <si>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</si>
  <si>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</si>
  <si>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</si>
  <si>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</si>
  <si>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</si>
  <si>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</si>
  <si>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</si>
  <si>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</si>
  <si>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</si>
  <si>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</si>
  <si>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</si>
  <si>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</si>
  <si>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</si>
  <si>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</si>
  <si>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</si>
  <si>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</si>
  <si>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</si>
  <si>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</si>
  <si>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</si>
  <si>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</si>
  <si>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</si>
  <si>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</si>
  <si>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</si>
  <si>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</si>
  <si>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</si>
  <si>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</si>
  <si>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</si>
  <si>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</si>
  <si>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</si>
  <si>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</si>
  <si>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</si>
  <si>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</si>
  <si>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</si>
  <si>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</si>
  <si>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</si>
  <si>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</si>
  <si>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</si>
  <si>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</si>
  <si>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</si>
  <si>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</si>
  <si>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</si>
  <si>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</si>
  <si>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</si>
  <si>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</si>
  <si>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</si>
  <si>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</si>
  <si>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</si>
  <si>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</si>
  <si>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</si>
  <si>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</si>
  <si>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</si>
  <si>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</si>
  <si>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</si>
  <si>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</si>
  <si>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</si>
  <si>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</si>
  <si>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</si>
  <si>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</si>
  <si>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</si>
  <si>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</si>
  <si>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</si>
  <si>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</si>
  <si>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</si>
  <si>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</si>
  <si>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</si>
  <si>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</si>
  <si>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</si>
  <si>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</si>
  <si>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</si>
  <si>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</si>
  <si>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</si>
  <si>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</si>
  <si>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</si>
  <si>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</si>
  <si>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</si>
  <si>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</si>
  <si>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</si>
  <si>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</si>
  <si>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</si>
  <si>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</si>
  <si>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</si>
  <si>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</si>
  <si>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</si>
  <si>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</si>
  <si>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</si>
  <si>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</si>
  <si>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</si>
  <si>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</si>
  <si>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</si>
  <si>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</si>
  <si>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</si>
  <si>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</si>
  <si>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</si>
  <si>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</si>
  <si>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</si>
  <si>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</si>
  <si>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</si>
  <si>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</si>
  <si>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</si>
  <si>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</si>
  <si>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</si>
  <si>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</si>
  <si>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</si>
  <si>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</si>
  <si>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</si>
  <si>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</si>
  <si>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</si>
  <si>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</si>
  <si>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</si>
  <si>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</si>
  <si>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</si>
  <si>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</si>
  <si>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</si>
  <si>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</si>
  <si>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</si>
  <si>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</si>
  <si>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</si>
  <si>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</si>
  <si>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</si>
  <si>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</si>
  <si>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</si>
  <si>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</si>
  <si>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</si>
  <si>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</si>
  <si>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</si>
  <si>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</si>
  <si>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</si>
  <si>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</si>
  <si>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</si>
  <si>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</si>
  <si>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</si>
  <si>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</si>
  <si>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</si>
  <si>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</si>
  <si>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</si>
  <si>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</si>
  <si>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</si>
  <si>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</si>
  <si>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</si>
  <si>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</si>
  <si>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</si>
  <si>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</si>
  <si>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</si>
  <si>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</si>
  <si>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</si>
  <si>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</si>
  <si>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</si>
  <si>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</si>
  <si>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</si>
  <si>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</si>
  <si>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</si>
  <si>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</si>
  <si>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</si>
  <si>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</si>
  <si>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</si>
  <si>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</si>
  <si>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</si>
  <si>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</si>
  <si>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</si>
  <si>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</si>
  <si>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</si>
  <si>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</si>
  <si>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</si>
  <si>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</si>
  <si>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</si>
  <si>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</si>
  <si>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</si>
  <si>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</si>
  <si>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</si>
  <si>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</si>
  <si>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</si>
  <si>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</si>
  <si>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</si>
  <si>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</si>
  <si>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</si>
  <si>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</si>
  <si>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</si>
  <si>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</si>
  <si>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</si>
  <si>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</si>
  <si>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</si>
  <si>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</si>
  <si>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</si>
  <si>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</si>
  <si>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</si>
  <si>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</si>
  <si>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</si>
  <si>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</si>
  <si>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</si>
  <si>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</si>
  <si>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</si>
  <si>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</si>
  <si>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</si>
  <si>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</si>
  <si>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</si>
  <si>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</si>
  <si>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</si>
  <si>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</si>
  <si>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</si>
  <si>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</si>
  <si>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</si>
  <si>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</si>
  <si>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</si>
  <si>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</si>
  <si>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</si>
  <si>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</si>
  <si>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</si>
  <si>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</si>
  <si>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</si>
  <si>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</si>
  <si>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</si>
  <si>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</si>
  <si>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</si>
  <si>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</si>
  <si>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</si>
  <si>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</si>
  <si>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</si>
  <si>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</si>
  <si>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</si>
  <si>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</si>
  <si>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</si>
  <si>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</si>
  <si>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</si>
  <si>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</si>
  <si>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</si>
  <si>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</si>
  <si>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</si>
  <si>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</si>
  <si>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</si>
  <si>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</si>
  <si>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</si>
  <si>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</si>
  <si>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</si>
  <si>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</si>
  <si>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</si>
  <si>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</si>
  <si>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</si>
  <si>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</si>
  <si>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</si>
  <si>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</si>
  <si>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</si>
  <si>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</si>
  <si>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</si>
  <si>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</si>
  <si>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</si>
  <si>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</si>
  <si>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</si>
  <si>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</si>
  <si>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</si>
  <si>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</si>
  <si>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</si>
  <si>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</si>
  <si>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</si>
  <si>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</si>
  <si>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</si>
  <si>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</si>
  <si>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</si>
  <si>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</si>
  <si>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</si>
  <si>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</si>
  <si>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</si>
  <si>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</si>
  <si>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</si>
  <si>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</si>
  <si>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</si>
  <si>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</si>
  <si>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</si>
  <si>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</si>
  <si>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</si>
  <si>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</si>
  <si>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</si>
  <si>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</si>
  <si>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</si>
  <si>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</si>
  <si>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</si>
  <si>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</si>
  <si>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</si>
  <si>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</si>
  <si>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</si>
  <si>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</si>
  <si>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</si>
  <si>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</si>
  <si>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</si>
  <si>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</si>
  <si>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</si>
  <si>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</si>
  <si>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</si>
  <si>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</si>
  <si>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</si>
  <si>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</si>
  <si>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</si>
  <si>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</si>
  <si>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</si>
  <si>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</si>
  <si>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</si>
  <si>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</si>
  <si>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</si>
  <si>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</si>
  <si>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</si>
  <si>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</si>
  <si>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</si>
  <si>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</si>
  <si>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</si>
  <si>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</si>
  <si>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</si>
  <si>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</si>
  <si>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</si>
  <si>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</si>
  <si>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</si>
  <si>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</si>
  <si>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</si>
  <si>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</si>
  <si>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</si>
  <si>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</si>
  <si>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</si>
  <si>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</si>
  <si>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</si>
  <si>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</si>
  <si>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</si>
  <si>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</si>
  <si>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</si>
  <si>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</si>
  <si>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</si>
  <si>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</si>
  <si>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</si>
  <si>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</si>
  <si>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</si>
  <si>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</si>
  <si>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</si>
  <si>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</si>
  <si>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</si>
  <si>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</si>
  <si>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</si>
  <si>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</si>
  <si>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</si>
  <si>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</si>
  <si>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</si>
  <si>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</si>
  <si>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</si>
  <si>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</si>
  <si>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</si>
  <si>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</si>
  <si>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</si>
  <si>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</si>
  <si>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</si>
  <si>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</si>
  <si>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</si>
  <si>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</si>
  <si>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</si>
  <si>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</si>
  <si>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</si>
  <si>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</si>
  <si>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</si>
  <si>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</si>
  <si>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</si>
  <si>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</si>
  <si>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</si>
  <si>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</si>
  <si>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</si>
  <si>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</si>
  <si>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</si>
  <si>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</si>
  <si>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</si>
  <si>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</si>
  <si>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</si>
  <si>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</si>
  <si>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</si>
  <si>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</si>
  <si>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</si>
  <si>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</si>
  <si>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</si>
  <si>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</si>
  <si>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</si>
  <si>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</si>
  <si>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</si>
  <si>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</si>
  <si>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</si>
  <si>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</si>
  <si>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</si>
  <si>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</si>
  <si>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</si>
  <si>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</si>
  <si>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</si>
  <si>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</si>
  <si>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</si>
  <si>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</si>
  <si>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</si>
  <si>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</si>
  <si>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</si>
  <si>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</si>
  <si>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</si>
  <si>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</si>
  <si>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</si>
  <si>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</si>
  <si>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</si>
  <si>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</si>
  <si>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</si>
  <si>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</si>
  <si>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</si>
  <si>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</si>
  <si>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</si>
  <si>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</si>
  <si>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</si>
  <si>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</si>
  <si>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</si>
  <si>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</si>
  <si>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</si>
  <si>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</si>
  <si>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</si>
  <si>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</si>
  <si>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</si>
  <si>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</si>
  <si>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</si>
  <si>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</si>
  <si>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</si>
  <si>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</si>
  <si>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</si>
  <si>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</si>
  <si>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</si>
  <si>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</si>
  <si>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</si>
  <si>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</si>
  <si>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</si>
  <si>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</si>
  <si>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</si>
  <si>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</si>
  <si>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</si>
  <si>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</si>
  <si>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</si>
  <si>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</si>
  <si>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</si>
  <si>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</si>
  <si>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</si>
  <si>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</si>
  <si>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</si>
  <si>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</si>
  <si>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</si>
  <si>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</si>
  <si>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</si>
  <si>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</si>
  <si>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</si>
  <si>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</si>
  <si>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</si>
  <si>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</si>
  <si>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</si>
  <si>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</si>
  <si>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</si>
  <si>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</si>
  <si>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</si>
  <si>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</si>
  <si>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</si>
  <si>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</si>
  <si>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</si>
  <si>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</si>
  <si>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</si>
  <si>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</si>
  <si>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</si>
  <si>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</si>
  <si>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</si>
  <si>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</si>
  <si>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</si>
  <si>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</si>
  <si>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</si>
  <si>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</si>
  <si>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</si>
  <si>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</si>
  <si>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</si>
  <si>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</si>
  <si>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</si>
  <si>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</si>
  <si>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</si>
  <si>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</si>
  <si>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</si>
  <si>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</si>
  <si>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</si>
  <si>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</si>
  <si>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</si>
  <si>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</si>
  <si>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</si>
  <si>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</si>
  <si>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</si>
  <si>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</si>
  <si>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</si>
  <si>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</si>
  <si>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</si>
  <si>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</si>
  <si>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</si>
  <si>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</si>
  <si>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</si>
  <si>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</si>
  <si>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</si>
  <si>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</si>
  <si>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</si>
  <si>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</si>
  <si>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</si>
  <si>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</si>
  <si>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</si>
  <si>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</si>
  <si>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</si>
  <si>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</si>
  <si>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</si>
  <si>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</si>
  <si>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</si>
  <si>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</si>
  <si>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</si>
  <si>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</si>
  <si>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</si>
  <si>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</si>
  <si>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</si>
  <si>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</si>
  <si>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</si>
  <si>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</si>
  <si>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</si>
  <si>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</si>
  <si>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</si>
  <si>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</si>
  <si>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</si>
  <si>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</si>
  <si>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</si>
  <si>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</si>
  <si>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</si>
  <si>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</si>
  <si>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</si>
  <si>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</si>
  <si>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</si>
  <si>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</si>
  <si>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</si>
  <si>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</si>
  <si>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</si>
  <si>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</si>
  <si>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</si>
  <si>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</si>
  <si>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</si>
  <si>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</si>
  <si>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</si>
  <si>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</si>
  <si>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</si>
  <si>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</si>
  <si>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</si>
  <si>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</si>
  <si>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</si>
  <si>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</si>
  <si>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</si>
  <si>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</si>
  <si>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</si>
  <si>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</si>
  <si>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</si>
  <si>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</si>
  <si>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</si>
  <si>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</si>
  <si>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</si>
  <si>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</si>
  <si>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</si>
  <si>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</si>
  <si>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</si>
  <si>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</si>
  <si>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</si>
  <si>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</si>
  <si>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</si>
  <si>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</si>
  <si>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</si>
  <si>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</si>
  <si>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</si>
  <si>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</si>
  <si>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</si>
  <si>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</si>
  <si>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</si>
  <si>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</si>
  <si>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</si>
  <si>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</si>
  <si>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</si>
  <si>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</si>
  <si>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</si>
  <si>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</si>
  <si>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</si>
  <si>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</si>
  <si>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</si>
  <si>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</si>
  <si>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</si>
  <si>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</si>
  <si>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</si>
  <si>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</si>
  <si>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</si>
  <si>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</si>
  <si>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</si>
  <si>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</si>
  <si>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</si>
  <si>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</si>
  <si>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</si>
  <si>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</si>
  <si>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</si>
  <si>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</si>
  <si>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</si>
  <si>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</si>
  <si>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</si>
  <si>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</si>
  <si>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</si>
  <si>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</si>
  <si>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</si>
  <si>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</si>
  <si>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</si>
  <si>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</si>
  <si>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</si>
  <si>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</si>
  <si>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</si>
  <si>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</si>
  <si>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</si>
  <si>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</si>
  <si>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</si>
  <si>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</si>
  <si>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</si>
  <si>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</si>
  <si>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</si>
  <si>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</si>
  <si>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</si>
  <si>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</si>
  <si>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</si>
  <si>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</si>
  <si>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</si>
  <si>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</si>
  <si>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</si>
  <si>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</si>
  <si>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</si>
  <si>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</si>
  <si>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</si>
  <si>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</si>
  <si>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</si>
  <si>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</si>
  <si>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</si>
  <si>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</si>
  <si>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</si>
  <si>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</si>
  <si>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</si>
  <si>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</si>
  <si>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</si>
  <si>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</si>
  <si>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</si>
  <si>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</si>
  <si>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</si>
  <si>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</si>
  <si>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</si>
  <si>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</si>
  <si>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</si>
  <si>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</si>
  <si>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</si>
  <si>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</si>
  <si>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</si>
  <si>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</si>
  <si>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</si>
  <si>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</si>
  <si>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</si>
  <si>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</si>
  <si>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</si>
  <si>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</si>
  <si>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</si>
  <si>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</si>
  <si>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</si>
  <si>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</si>
  <si>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</si>
  <si>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</si>
  <si>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</si>
  <si>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</si>
  <si>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</si>
  <si>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</si>
  <si>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</si>
  <si>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</si>
  <si>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</si>
  <si>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</si>
  <si>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</si>
  <si>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</si>
  <si>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</si>
  <si>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</si>
  <si>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</si>
  <si>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</si>
  <si>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</si>
  <si>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</si>
  <si>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</si>
  <si>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</si>
  <si>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</si>
  <si>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</si>
  <si>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</si>
  <si>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</si>
  <si>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</si>
  <si>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</si>
  <si>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</si>
  <si>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</si>
  <si>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</si>
  <si>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</si>
  <si>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</si>
  <si>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</si>
  <si>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</si>
  <si>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</si>
  <si>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</si>
  <si>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</si>
  <si>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</si>
  <si>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</si>
  <si>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</si>
  <si>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</si>
  <si>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</si>
  <si>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</si>
  <si>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</si>
  <si>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</si>
  <si>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</si>
  <si>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</si>
  <si>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</si>
  <si>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</si>
  <si>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</si>
  <si>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</si>
  <si>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</si>
  <si>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</si>
  <si>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</si>
  <si>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</si>
  <si>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</si>
  <si>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</si>
  <si>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</si>
  <si>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</si>
  <si>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</si>
  <si>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</si>
  <si>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</si>
  <si>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</si>
  <si>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</si>
  <si>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</si>
  <si>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</si>
  <si>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</si>
  <si>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</si>
  <si>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</si>
  <si>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</si>
  <si>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</si>
  <si>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</si>
  <si>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</si>
  <si>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</si>
  <si>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</si>
  <si>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</si>
  <si>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</si>
  <si>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</si>
  <si>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</si>
  <si>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</si>
  <si>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</si>
  <si>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</si>
  <si>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</si>
  <si>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</si>
  <si>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</si>
  <si>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</si>
  <si>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</si>
  <si>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</si>
  <si>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</si>
  <si>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</si>
  <si>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</si>
  <si>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</si>
  <si>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</si>
  <si>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</si>
  <si>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</si>
  <si>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</si>
  <si>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</si>
  <si>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</si>
  <si>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</si>
  <si>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</si>
  <si>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</si>
  <si>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</si>
  <si>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</si>
  <si>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</si>
  <si>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</si>
  <si>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</si>
  <si>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</si>
  <si>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</si>
  <si>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</si>
  <si>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</si>
  <si>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</si>
  <si>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</si>
  <si>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</si>
  <si>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</si>
  <si>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</si>
  <si>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</si>
  <si>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</si>
  <si>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</si>
  <si>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</si>
  <si>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</si>
  <si>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</si>
  <si>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</si>
  <si>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</si>
  <si>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</si>
  <si>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</si>
  <si>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</si>
  <si>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</si>
  <si>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</si>
  <si>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</si>
  <si>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</si>
  <si>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</si>
  <si>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</si>
  <si>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</si>
  <si>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</si>
  <si>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</si>
  <si>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</si>
  <si>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</si>
  <si>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</si>
  <si>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</si>
  <si>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</si>
  <si>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</si>
  <si>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</si>
  <si>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</si>
  <si>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</si>
  <si>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</si>
  <si>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</si>
  <si>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</si>
  <si>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</si>
  <si>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</si>
  <si>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</si>
  <si>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</si>
  <si>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</si>
  <si>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</si>
  <si>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</si>
  <si>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</si>
  <si>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</si>
  <si>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</si>
  <si>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</si>
  <si>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</si>
  <si>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</si>
  <si>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</si>
  <si>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</si>
  <si>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</si>
  <si>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</si>
  <si>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</si>
  <si>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</si>
  <si>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</si>
  <si>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</si>
  <si>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</si>
  <si>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</si>
  <si>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</si>
  <si>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</si>
  <si>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</si>
  <si>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</si>
  <si>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</si>
  <si>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</si>
  <si>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</si>
  <si>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</si>
  <si>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</si>
  <si>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</si>
  <si>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</si>
  <si>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</si>
  <si>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</si>
  <si>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</si>
  <si>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</si>
  <si>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</si>
  <si>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</si>
  <si>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</si>
  <si>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</si>
  <si>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</si>
  <si>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</si>
  <si>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</si>
  <si>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</si>
  <si>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</si>
  <si>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</si>
  <si>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</si>
  <si>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</si>
  <si>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</si>
  <si>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</si>
  <si>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</si>
  <si>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</si>
  <si>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</si>
  <si>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</si>
  <si>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</si>
  <si>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</si>
  <si>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</si>
  <si>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</si>
  <si>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</si>
  <si>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</si>
  <si>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</si>
  <si>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</si>
  <si>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</si>
  <si>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</si>
  <si>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</si>
  <si>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</si>
  <si>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</si>
  <si>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</si>
  <si>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</si>
  <si>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</si>
  <si>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</si>
  <si>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</si>
  <si>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</si>
  <si>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</si>
  <si>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</si>
  <si>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</si>
  <si>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</si>
  <si>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</si>
  <si>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</si>
  <si>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</si>
  <si>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</si>
  <si>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</si>
  <si>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</si>
  <si>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</si>
  <si>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</si>
  <si>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</si>
  <si>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</si>
  <si>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</si>
  <si>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</si>
  <si>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</si>
  <si>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</si>
  <si>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</si>
  <si>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</si>
  <si>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</si>
  <si>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</si>
  <si>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</si>
  <si>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</si>
  <si>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</si>
  <si>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</si>
  <si>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</si>
  <si>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</si>
  <si>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</si>
  <si>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</si>
  <si>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</si>
  <si>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</si>
  <si>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</si>
  <si>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</si>
  <si>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</si>
  <si>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</si>
  <si>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</si>
  <si>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</si>
  <si>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</si>
  <si>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</si>
  <si>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</si>
  <si>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</si>
  <si>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</si>
  <si>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</si>
  <si>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</si>
  <si>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</si>
  <si>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</si>
  <si>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</si>
  <si>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</si>
  <si>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</si>
  <si>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</si>
  <si>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</si>
  <si>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</si>
  <si>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</si>
  <si>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</si>
  <si>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</si>
  <si>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</si>
  <si>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</si>
  <si>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</si>
  <si>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</si>
  <si>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</si>
  <si>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</si>
  <si>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</si>
  <si>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</si>
  <si>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</si>
  <si>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</si>
  <si>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</si>
  <si>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</si>
  <si>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</si>
  <si>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</si>
  <si>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</si>
  <si>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</si>
  <si>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</si>
  <si>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</si>
  <si>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</si>
  <si>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</si>
  <si>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</si>
  <si>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</si>
  <si>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</si>
  <si>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</si>
  <si>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</si>
  <si>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</si>
  <si>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</si>
  <si>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</si>
  <si>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</si>
  <si>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</si>
  <si>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</si>
  <si>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</si>
  <si>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</si>
  <si>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</si>
  <si>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</si>
  <si>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</si>
  <si>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</si>
  <si>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</si>
  <si>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</si>
  <si>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</si>
  <si>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</si>
  <si>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</si>
  <si>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</si>
  <si>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</si>
  <si>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</si>
  <si>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</si>
  <si>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</si>
  <si>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</si>
  <si>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</si>
  <si>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</si>
  <si>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</si>
  <si>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</si>
  <si>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</si>
  <si>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</si>
  <si>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</si>
  <si>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</si>
  <si>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</si>
  <si>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</si>
  <si>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</si>
  <si>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</si>
  <si>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</si>
  <si>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</si>
  <si>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</si>
  <si>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</si>
  <si>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</si>
  <si>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</si>
  <si>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</si>
  <si>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</si>
  <si>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</si>
  <si>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</si>
  <si>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</si>
  <si>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</si>
  <si>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</si>
  <si>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</si>
  <si>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</si>
  <si>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</si>
  <si>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</si>
  <si>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</si>
  <si>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</si>
  <si>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</si>
  <si>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</si>
  <si>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</si>
  <si>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</si>
  <si>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</si>
  <si>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</si>
  <si>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</si>
  <si>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</si>
  <si>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</si>
  <si>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</si>
  <si>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</si>
  <si>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</si>
  <si>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</si>
  <si>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</si>
  <si>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</si>
  <si>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</si>
  <si>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</si>
  <si>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</si>
  <si>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</si>
  <si>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</si>
  <si>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</si>
  <si>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</si>
  <si>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</si>
  <si>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</si>
  <si>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</si>
  <si>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</si>
  <si>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</si>
  <si>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</si>
  <si>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</si>
  <si>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</si>
  <si>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</si>
  <si>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</si>
  <si>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</si>
  <si>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</si>
  <si>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</si>
  <si>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</si>
  <si>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</si>
  <si>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</si>
  <si>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</si>
  <si>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</si>
  <si>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</si>
  <si>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</si>
  <si>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</si>
  <si>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</si>
  <si>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</si>
  <si>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</si>
  <si>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</si>
  <si>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</si>
  <si>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</si>
  <si>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</si>
  <si>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</si>
  <si>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</si>
  <si>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</si>
  <si>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</si>
  <si>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</si>
  <si>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</si>
  <si>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</si>
  <si>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</si>
  <si>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</si>
  <si>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</si>
  <si>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</si>
  <si>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</si>
  <si>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</si>
  <si>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</si>
  <si>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</si>
  <si>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</si>
  <si>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</si>
  <si>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</si>
  <si>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</si>
  <si>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</si>
  <si>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</si>
  <si>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</si>
  <si>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</si>
  <si>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</si>
  <si>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</si>
  <si>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</si>
  <si>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</si>
  <si>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</si>
  <si>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</si>
  <si>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</si>
  <si>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</si>
  <si>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</si>
  <si>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</si>
  <si>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</si>
  <si>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</si>
  <si>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</si>
  <si>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</si>
  <si>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</si>
  <si>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</si>
  <si>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</si>
  <si>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</si>
  <si>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</si>
  <si>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</si>
  <si>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</si>
  <si>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</si>
  <si>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</si>
  <si>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</si>
  <si>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</si>
  <si>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</si>
  <si>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</si>
  <si>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</si>
  <si>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</si>
  <si>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</si>
  <si>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</si>
  <si>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</si>
  <si>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</si>
  <si>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</si>
  <si>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</si>
  <si>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</si>
  <si>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</si>
  <si>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</si>
  <si>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</si>
  <si>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</si>
  <si>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</si>
  <si>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</si>
  <si>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</si>
  <si>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</si>
  <si>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</si>
  <si>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</si>
  <si>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</si>
  <si>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</si>
  <si>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</si>
  <si>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</si>
  <si>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</si>
  <si>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</si>
  <si>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</si>
  <si>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</si>
  <si>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</si>
  <si>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</si>
  <si>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</si>
  <si>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</si>
  <si>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</si>
  <si>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</si>
  <si>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</si>
  <si>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</si>
  <si>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</si>
  <si>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</si>
  <si>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</si>
  <si>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</si>
  <si>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</si>
  <si>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</si>
  <si>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</si>
  <si>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</si>
  <si>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</si>
  <si>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</si>
  <si>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</si>
  <si>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</si>
  <si>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</si>
  <si>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</si>
  <si>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</si>
  <si>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</si>
  <si>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</si>
  <si>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</si>
  <si>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</si>
  <si>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</si>
  <si>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</si>
  <si>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</si>
  <si>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</si>
  <si>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</si>
  <si>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</si>
  <si>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</si>
  <si>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</si>
  <si>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</si>
  <si>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</si>
  <si>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</si>
  <si>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</si>
  <si>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</si>
  <si>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</si>
  <si>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</si>
  <si>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</si>
  <si>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</si>
  <si>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</si>
  <si>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</si>
  <si>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</si>
  <si>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</si>
  <si>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</si>
  <si>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</si>
  <si>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</si>
  <si>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</si>
  <si>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</si>
  <si>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</si>
  <si>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</si>
  <si>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</si>
  <si>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</si>
  <si>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</si>
  <si>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</si>
  <si>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</si>
  <si>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</si>
  <si>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</si>
  <si>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</si>
  <si>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</si>
  <si>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</si>
  <si>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</si>
  <si>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</si>
  <si>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</si>
  <si>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</si>
  <si>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</si>
  <si>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</si>
  <si>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</si>
  <si>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</si>
  <si>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</si>
  <si>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</si>
  <si>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</si>
  <si>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</si>
  <si>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</si>
  <si>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</si>
  <si>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</si>
  <si>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</si>
  <si>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</si>
  <si>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</si>
  <si>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</si>
  <si>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</si>
  <si>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</si>
  <si>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</si>
  <si>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</si>
  <si>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</si>
  <si>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</si>
  <si>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</si>
  <si>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</si>
  <si>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</si>
  <si>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</si>
  <si>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</si>
  <si>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</si>
  <si>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</si>
  <si>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</si>
  <si>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</si>
  <si>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</si>
  <si>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</si>
  <si>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</si>
  <si>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</si>
  <si>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</si>
  <si>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</si>
  <si>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</si>
  <si>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</si>
  <si>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</si>
  <si>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</si>
  <si>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</si>
  <si>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</si>
  <si>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</si>
  <si>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</si>
  <si>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</si>
  <si>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</si>
  <si>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</si>
  <si>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</si>
  <si>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</si>
  <si>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</si>
  <si>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</si>
  <si>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</si>
  <si>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</si>
  <si>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</si>
  <si>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</si>
  <si>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</si>
  <si>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</si>
  <si>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</si>
  <si>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</si>
  <si>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</si>
  <si>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</si>
  <si>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</si>
  <si>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</si>
  <si>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</si>
  <si>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</si>
  <si>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</si>
  <si>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</si>
  <si>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</si>
  <si>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</si>
  <si>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</si>
  <si>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</si>
  <si>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</si>
  <si>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</si>
  <si>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</si>
  <si>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</si>
  <si>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</si>
  <si>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</si>
  <si>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</si>
  <si>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</si>
  <si>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</si>
  <si>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</si>
  <si>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</si>
  <si>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</si>
  <si>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</si>
  <si>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</si>
  <si>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</si>
  <si>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</si>
  <si>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</si>
  <si>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</si>
  <si>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</si>
  <si>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</si>
  <si>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</si>
  <si>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</si>
  <si>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</si>
  <si>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</si>
  <si>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</si>
  <si>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</si>
  <si>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</si>
  <si>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</si>
  <si>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</si>
  <si>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</si>
  <si>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</si>
  <si>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</si>
  <si>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</si>
  <si>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</si>
  <si>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</si>
  <si>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</si>
  <si>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</si>
  <si>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</si>
  <si>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</si>
  <si>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</si>
  <si>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</si>
  <si>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</si>
  <si>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</si>
  <si>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</si>
  <si>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</si>
  <si>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</si>
  <si>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</si>
  <si>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</si>
  <si>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</si>
  <si>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</si>
  <si>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</si>
  <si>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</si>
  <si>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</si>
  <si>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</si>
  <si>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</si>
  <si>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</si>
  <si>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</si>
  <si>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</si>
  <si>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</si>
  <si>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</si>
  <si>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</si>
  <si>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</si>
  <si>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</si>
  <si>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</si>
  <si>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</si>
  <si>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</si>
  <si>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</si>
  <si>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</si>
  <si>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</si>
  <si>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</si>
  <si>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</si>
  <si>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</si>
  <si>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</si>
  <si>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</si>
  <si>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</si>
  <si>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</si>
  <si>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</si>
  <si>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</si>
  <si>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</si>
  <si>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</si>
  <si>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</si>
  <si>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</si>
  <si>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</si>
  <si>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</si>
  <si>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</si>
  <si>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</si>
  <si>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</si>
  <si>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</si>
  <si>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</si>
  <si>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</si>
  <si>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</si>
  <si>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</si>
  <si>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</si>
  <si>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</si>
  <si>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</si>
  <si>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</si>
  <si>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</si>
  <si>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</si>
  <si>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</si>
  <si>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</si>
  <si>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</si>
  <si>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</si>
  <si>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</si>
  <si>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</si>
  <si>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</si>
  <si>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</si>
  <si>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</si>
  <si>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</si>
  <si>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</si>
  <si>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</si>
  <si>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</si>
  <si>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</si>
  <si>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</si>
  <si>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</si>
  <si>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</si>
  <si>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</si>
  <si>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</si>
  <si>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</si>
  <si>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</si>
  <si>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</si>
  <si>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</si>
  <si>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</si>
  <si>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</si>
  <si>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</si>
  <si>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</si>
  <si>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</si>
  <si>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</si>
  <si>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</si>
  <si>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</si>
  <si>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</si>
  <si>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</si>
  <si>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</si>
  <si>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</si>
  <si>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</si>
  <si>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</si>
  <si>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</si>
  <si>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</si>
  <si>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</si>
  <si>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</si>
  <si>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</si>
  <si>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</si>
  <si>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</si>
  <si>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</si>
  <si>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</si>
  <si>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</si>
  <si>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</si>
  <si>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</si>
  <si>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</si>
  <si>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</si>
  <si>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</si>
  <si>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</si>
  <si>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</si>
  <si>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</si>
  <si>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</si>
  <si>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</si>
  <si>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</si>
  <si>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</si>
  <si>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</si>
  <si>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</si>
  <si>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</si>
  <si>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</si>
  <si>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</si>
  <si>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</si>
  <si>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</si>
  <si>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</si>
  <si>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</si>
  <si>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</si>
  <si>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</si>
  <si>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</si>
  <si>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</si>
  <si>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</si>
  <si>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</si>
  <si>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</si>
  <si>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</si>
  <si>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</si>
  <si>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</si>
  <si>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</si>
  <si>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</si>
  <si>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</si>
  <si>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</si>
  <si>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</si>
  <si>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</si>
  <si>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</si>
  <si>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</si>
  <si>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</si>
  <si>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</si>
  <si>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</si>
  <si>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</si>
  <si>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</si>
  <si>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</si>
  <si>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</si>
  <si>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</si>
  <si>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</si>
  <si>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</si>
  <si>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</si>
  <si>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</si>
  <si>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</si>
  <si>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</si>
  <si>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</si>
  <si>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</si>
  <si>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</si>
  <si>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</si>
  <si>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</si>
  <si>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</si>
  <si>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</si>
  <si>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</si>
  <si>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</si>
  <si>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</si>
  <si>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</si>
  <si>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</si>
  <si>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</si>
  <si>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</si>
  <si>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</si>
  <si>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</si>
  <si>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</si>
  <si>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</si>
  <si>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</si>
  <si>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</si>
  <si>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</si>
  <si>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</si>
  <si>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</si>
  <si>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</si>
  <si>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</si>
  <si>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</si>
  <si>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</si>
  <si>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</si>
  <si>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</si>
  <si>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</si>
  <si>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</si>
  <si>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</si>
  <si>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</si>
  <si>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</si>
  <si>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</si>
  <si>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</si>
  <si>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</si>
  <si>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</si>
  <si>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</si>
  <si>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</si>
  <si>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</si>
  <si>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</si>
  <si>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</si>
  <si>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</si>
  <si>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</si>
  <si>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</si>
  <si>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</si>
  <si>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</si>
  <si>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</si>
  <si>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</si>
  <si>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</si>
  <si>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</si>
  <si>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</si>
  <si>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</si>
  <si>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</si>
  <si>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</si>
  <si>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</si>
  <si>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</si>
  <si>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</si>
  <si>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</si>
  <si>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</si>
  <si>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</si>
  <si>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</si>
  <si>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</si>
  <si>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</si>
  <si>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</si>
  <si>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</si>
  <si>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</si>
  <si>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</si>
  <si>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</si>
  <si>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</si>
  <si>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</si>
  <si>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</si>
  <si>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</si>
  <si>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</si>
  <si>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</si>
  <si>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</si>
  <si>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</si>
  <si>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</si>
  <si>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</si>
  <si>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</si>
  <si>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</si>
  <si>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</si>
  <si>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</si>
  <si>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</si>
  <si>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</si>
  <si>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</si>
  <si>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</si>
  <si>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</si>
  <si>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</si>
  <si>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</si>
  <si>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</si>
  <si>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</si>
  <si>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</si>
  <si>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</si>
  <si>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</si>
  <si>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</si>
  <si>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</si>
  <si>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</si>
  <si>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</si>
  <si>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</si>
  <si>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</si>
  <si>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</si>
  <si>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</si>
  <si>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</si>
  <si>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</si>
  <si>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</si>
  <si>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</si>
  <si>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</si>
  <si>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</si>
  <si>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</si>
  <si>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</si>
  <si>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</si>
  <si>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</si>
  <si>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</si>
  <si>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</si>
  <si>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</si>
  <si>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</si>
  <si>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</si>
  <si>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</si>
  <si>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</si>
  <si>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</si>
  <si>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</si>
  <si>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</si>
  <si>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</si>
  <si>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</si>
  <si>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</si>
  <si>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</si>
  <si>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</si>
  <si>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</si>
  <si>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</si>
  <si>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</si>
  <si>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</si>
  <si>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</si>
  <si>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</si>
  <si>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</si>
  <si>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</si>
  <si>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</si>
  <si>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</si>
  <si>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</si>
  <si>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</si>
  <si>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</si>
  <si>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</si>
  <si>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</si>
  <si>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</si>
  <si>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</si>
  <si>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</si>
  <si>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</si>
  <si>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</si>
  <si>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</si>
  <si>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</si>
  <si>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</si>
  <si>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</si>
  <si>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</si>
  <si>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</si>
  <si>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</si>
  <si>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</si>
  <si>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</si>
  <si>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</si>
  <si>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</si>
  <si>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</si>
  <si>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</si>
  <si>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</si>
  <si>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</si>
  <si>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</si>
  <si>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</si>
  <si>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</si>
  <si>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</si>
  <si>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</si>
  <si>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</si>
  <si>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</si>
  <si>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</si>
  <si>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</si>
  <si>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</si>
  <si>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</si>
  <si>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</si>
  <si>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</si>
  <si>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</si>
  <si>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</si>
  <si>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</si>
  <si>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</si>
  <si>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</si>
  <si>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</si>
  <si>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</si>
  <si>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</si>
  <si>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</si>
  <si>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</si>
  <si>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</si>
  <si>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</si>
  <si>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</si>
  <si>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</si>
  <si>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</si>
  <si>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</si>
  <si>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</si>
  <si>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</si>
  <si>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</si>
  <si>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</si>
  <si>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</si>
  <si>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</si>
  <si>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</si>
  <si>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</si>
  <si>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</si>
  <si>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</si>
  <si>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</si>
  <si>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</si>
  <si>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</si>
  <si>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</si>
  <si>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</si>
  <si>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</si>
  <si>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</si>
  <si>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</si>
  <si>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</si>
  <si>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</si>
  <si>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</si>
  <si>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</si>
  <si>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</si>
  <si>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</si>
  <si>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</si>
  <si>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</si>
  <si>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</si>
  <si>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</si>
  <si>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</si>
  <si>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</si>
  <si>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</si>
  <si>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</si>
  <si>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</si>
  <si>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</si>
  <si>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</si>
  <si>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</si>
  <si>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</si>
  <si>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</si>
  <si>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</si>
  <si>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</si>
  <si>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</si>
  <si>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</si>
  <si>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</si>
  <si>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</si>
  <si>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</si>
  <si>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</si>
  <si>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</si>
  <si>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</si>
  <si>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</si>
  <si>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</si>
  <si>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</si>
  <si>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</si>
  <si>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</si>
  <si>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</si>
  <si>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</si>
  <si>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</si>
  <si>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</si>
  <si>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</si>
  <si>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</si>
  <si>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</si>
  <si>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</si>
  <si>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</si>
  <si>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</si>
  <si>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</si>
  <si>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</si>
  <si>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</si>
  <si>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</si>
  <si>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</si>
  <si>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</si>
  <si>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</si>
  <si>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</si>
  <si>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</si>
  <si>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</si>
  <si>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</si>
  <si>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</si>
  <si>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</si>
  <si>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</si>
  <si>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</si>
  <si>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</si>
  <si>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</si>
  <si>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</si>
  <si>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</si>
  <si>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</si>
  <si>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</si>
  <si>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</si>
  <si>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</si>
  <si>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</si>
  <si>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</si>
  <si>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</si>
  <si>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</si>
  <si>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</si>
  <si>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</si>
  <si>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</si>
  <si>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</si>
  <si>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</si>
  <si>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</si>
  <si>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</si>
  <si>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</si>
  <si>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</si>
  <si>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</si>
  <si>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</si>
  <si>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</si>
  <si>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</si>
  <si>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</si>
  <si>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</si>
  <si>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</si>
  <si>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</si>
  <si>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</si>
  <si>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</si>
  <si>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</si>
  <si>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</si>
  <si>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</si>
  <si>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</si>
  <si>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</si>
  <si>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</si>
  <si>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</si>
  <si>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</si>
  <si>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</si>
  <si>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</si>
  <si>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</si>
  <si>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</si>
  <si>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</si>
  <si>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</si>
  <si>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</si>
  <si>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</si>
  <si>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</si>
  <si>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</si>
  <si>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</si>
  <si>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</si>
  <si>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</si>
  <si>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</si>
  <si>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</si>
  <si>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</si>
  <si>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</si>
  <si>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</si>
  <si>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</si>
  <si>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</si>
  <si>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</si>
  <si>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</si>
  <si>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</si>
  <si>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</si>
  <si>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</si>
  <si>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</si>
  <si>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</si>
  <si>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</si>
  <si>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</si>
  <si>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</si>
  <si>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</si>
  <si>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</si>
  <si>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</si>
  <si>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</si>
  <si>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</si>
  <si>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</si>
  <si>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</si>
  <si>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</si>
  <si>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</si>
  <si>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</si>
  <si>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</si>
  <si>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</si>
  <si>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</si>
  <si>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</si>
  <si>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</si>
  <si>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</si>
  <si>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</si>
  <si>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</si>
  <si>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</si>
  <si>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</si>
  <si>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</si>
  <si>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</si>
  <si>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</si>
  <si>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</si>
  <si>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</si>
  <si>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</si>
  <si>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</si>
  <si>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</si>
  <si>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</si>
  <si>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</si>
  <si>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</si>
  <si>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</si>
  <si>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</si>
  <si>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</si>
  <si>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</si>
  <si>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</si>
  <si>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</si>
  <si>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</si>
  <si>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</si>
  <si>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</si>
  <si>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</si>
  <si>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</si>
  <si>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</si>
  <si>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</si>
  <si>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</si>
  <si>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</si>
  <si>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</si>
  <si>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</si>
  <si>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</si>
  <si>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</si>
  <si>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</si>
  <si>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</si>
  <si>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</si>
  <si>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</si>
  <si>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</si>
  <si>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</si>
  <si>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</si>
  <si>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</si>
  <si>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</si>
  <si>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</si>
  <si>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</si>
  <si>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</si>
  <si>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</si>
  <si>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</si>
  <si>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</si>
  <si>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</si>
  <si>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</si>
  <si>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</si>
  <si>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</si>
  <si>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</si>
  <si>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</si>
  <si>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</si>
  <si>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</si>
  <si>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</si>
  <si>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</si>
  <si>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</si>
  <si>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</si>
  <si>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</si>
  <si>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</si>
  <si>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</si>
  <si>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</si>
  <si>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</si>
  <si>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</si>
  <si>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</si>
  <si>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</si>
  <si>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</si>
  <si>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</si>
  <si>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</si>
  <si>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</si>
  <si>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</si>
  <si>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</si>
  <si>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</si>
  <si>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</si>
  <si>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</si>
  <si>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</si>
  <si>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</si>
  <si>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</si>
  <si>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</si>
  <si>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</si>
  <si>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</si>
  <si>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</si>
  <si>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</si>
  <si>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</si>
  <si>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</si>
  <si>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</si>
  <si>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</si>
  <si>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</si>
  <si>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</si>
  <si>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</si>
  <si>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</si>
  <si>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</si>
  <si>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</si>
  <si>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</si>
  <si>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</si>
  <si>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</si>
  <si>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</si>
  <si>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</si>
  <si>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</si>
  <si>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</si>
  <si>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</si>
  <si>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</si>
  <si>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</si>
  <si>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</si>
  <si>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</si>
  <si>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</si>
  <si>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</si>
  <si>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</si>
  <si>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</si>
  <si>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</si>
  <si>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</si>
  <si>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</si>
  <si>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</si>
  <si>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</si>
  <si>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</si>
  <si>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</si>
  <si>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</si>
  <si>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</si>
  <si>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</si>
  <si>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</si>
  <si>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</si>
  <si>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</si>
  <si>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</si>
  <si>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</si>
  <si>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</si>
  <si>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</si>
  <si>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</si>
  <si>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</si>
  <si>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</si>
  <si>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</si>
  <si>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</si>
  <si>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</si>
  <si>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</si>
  <si>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</si>
  <si>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</si>
  <si>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</si>
  <si>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</si>
  <si>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</si>
  <si>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</si>
  <si>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</si>
  <si>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</si>
  <si>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</si>
  <si>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</si>
  <si>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</si>
  <si>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</si>
  <si>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</si>
  <si>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</si>
  <si>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</si>
  <si>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</si>
  <si>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</si>
  <si>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</si>
  <si>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</si>
  <si>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</si>
  <si>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</si>
  <si>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</si>
  <si>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</si>
  <si>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</si>
  <si>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</si>
  <si>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</si>
  <si>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</si>
  <si>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</si>
  <si>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</si>
  <si>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</si>
  <si>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</si>
  <si>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</si>
  <si>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</si>
  <si>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</si>
  <si>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</si>
  <si>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</si>
  <si>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</si>
  <si>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</si>
  <si>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</si>
  <si>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</si>
  <si>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</si>
  <si>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</si>
  <si>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</si>
  <si>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</si>
  <si>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</si>
  <si>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</si>
  <si>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</si>
  <si>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</si>
  <si>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</si>
  <si>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</si>
  <si>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</si>
  <si>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</si>
  <si>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</si>
  <si>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</si>
  <si>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</si>
  <si>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</si>
  <si>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</si>
  <si>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</si>
  <si>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</si>
  <si>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</si>
  <si>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</si>
  <si>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</si>
  <si>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</si>
  <si>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</si>
  <si>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</si>
  <si>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</si>
  <si>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</si>
  <si>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</si>
  <si>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</si>
  <si>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</si>
  <si>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</si>
  <si>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</si>
  <si>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</si>
  <si>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</si>
  <si>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</si>
  <si>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</si>
  <si>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</si>
  <si>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</si>
  <si>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</si>
  <si>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</si>
  <si>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</si>
  <si>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</si>
  <si>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</si>
  <si>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</si>
  <si>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</si>
  <si>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</si>
  <si>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</si>
  <si>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</si>
  <si>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</si>
  <si>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</si>
  <si>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</si>
  <si>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</si>
  <si>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</si>
  <si>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</si>
  <si>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</si>
  <si>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</si>
  <si>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</si>
  <si>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</si>
  <si>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</si>
  <si>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</si>
  <si>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</si>
  <si>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</si>
  <si>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</si>
  <si>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</si>
  <si>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</si>
  <si>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</si>
  <si>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</si>
  <si>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</si>
  <si>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</si>
  <si>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</si>
  <si>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</si>
  <si>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</si>
  <si>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</si>
  <si>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</si>
  <si>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</si>
  <si>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</si>
  <si>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</si>
  <si>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</si>
  <si>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</si>
  <si>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</si>
  <si>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</si>
  <si>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</si>
  <si>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</si>
  <si>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</si>
  <si>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</si>
  <si>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</si>
  <si>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</si>
  <si>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</si>
  <si>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</si>
  <si>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</si>
  <si>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</si>
  <si>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</si>
  <si>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</si>
  <si>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</si>
  <si>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</si>
  <si>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</si>
  <si>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</si>
  <si>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</si>
  <si>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</si>
  <si>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</si>
  <si>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</si>
  <si>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</si>
  <si>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</si>
  <si>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</si>
  <si>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</si>
  <si>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</si>
  <si>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</si>
  <si>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</si>
  <si>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</si>
  <si>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</si>
  <si>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</si>
  <si>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</si>
  <si>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</si>
  <si>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</si>
  <si>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</si>
  <si>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</si>
  <si>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</si>
  <si>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</si>
  <si>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</si>
  <si>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</si>
  <si>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</si>
  <si>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</si>
  <si>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</si>
  <si>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</si>
  <si>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</si>
  <si>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</si>
  <si>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</si>
  <si>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</si>
  <si>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</si>
  <si>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</si>
  <si>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</si>
  <si>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</si>
  <si>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</si>
  <si>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</si>
  <si>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</si>
  <si>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</si>
  <si>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</si>
  <si>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</si>
  <si>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</si>
  <si>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</si>
  <si>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</si>
  <si>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</si>
  <si>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</si>
  <si>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</si>
  <si>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</si>
  <si>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</si>
  <si>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</si>
  <si>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</si>
  <si>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</si>
  <si>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</si>
  <si>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</si>
  <si>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</si>
  <si>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</si>
  <si>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</si>
  <si>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</si>
  <si>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</si>
  <si>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</si>
  <si>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</si>
  <si>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</si>
  <si>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</si>
  <si>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</si>
  <si>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</si>
  <si>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</si>
  <si>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</si>
  <si>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</si>
  <si>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</si>
  <si>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</si>
  <si>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</si>
  <si>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</si>
  <si>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</si>
  <si>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</si>
  <si>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</si>
  <si>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</si>
  <si>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</si>
  <si>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</si>
  <si>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</si>
  <si>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</si>
  <si>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</si>
  <si>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</si>
  <si>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</si>
  <si>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</si>
  <si>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</si>
  <si>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</si>
  <si>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</si>
  <si>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</si>
  <si>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</si>
  <si>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</si>
  <si>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</si>
  <si>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</si>
  <si>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</si>
  <si>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</si>
  <si>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</si>
  <si>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</si>
  <si>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</si>
  <si>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</si>
  <si>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</si>
  <si>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</si>
  <si>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</si>
  <si>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</si>
  <si>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</si>
  <si>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</si>
  <si>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</si>
  <si>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</si>
  <si>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</si>
  <si>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</si>
  <si>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</si>
  <si>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</si>
  <si>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</si>
  <si>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</si>
  <si>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</si>
  <si>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</si>
  <si>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</si>
  <si>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</si>
  <si>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</si>
  <si>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</si>
  <si>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</si>
  <si>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</si>
  <si>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</si>
  <si>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</si>
  <si>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</si>
  <si>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</si>
  <si>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</si>
  <si>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</si>
  <si>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</si>
  <si>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</si>
  <si>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</si>
  <si>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</si>
  <si>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</si>
  <si>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</si>
  <si>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</si>
  <si>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</si>
  <si>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</si>
  <si>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</si>
  <si>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</si>
  <si>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</si>
  <si>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</si>
  <si>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</si>
  <si>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</si>
  <si>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</si>
  <si>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</si>
  <si>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</si>
  <si>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</si>
  <si>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</si>
  <si>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</si>
  <si>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</si>
  <si>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</si>
  <si>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</si>
  <si>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</si>
  <si>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</si>
  <si>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</si>
  <si>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</si>
  <si>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</si>
  <si>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</si>
  <si>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</si>
  <si>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</si>
  <si>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</si>
  <si>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</si>
  <si>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</si>
  <si>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</si>
  <si>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</si>
  <si>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</si>
  <si>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</si>
  <si>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</si>
  <si>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</si>
  <si>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</si>
  <si>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</si>
  <si>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</si>
  <si>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</si>
  <si>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</si>
  <si>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</si>
  <si>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</si>
  <si>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</si>
  <si>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</si>
  <si>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</si>
  <si>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</si>
  <si>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</si>
  <si>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</si>
  <si>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</si>
  <si>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</si>
  <si>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</si>
  <si>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</si>
  <si>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</si>
  <si>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</si>
  <si>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</si>
  <si>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</si>
  <si>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</si>
  <si>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</si>
  <si>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</si>
  <si>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</si>
  <si>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</si>
  <si>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</si>
  <si>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</si>
  <si>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</si>
  <si>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</si>
  <si>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</si>
  <si>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</si>
  <si>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</si>
  <si>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</si>
  <si>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</si>
  <si>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</si>
  <si>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</si>
  <si>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</si>
  <si>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</si>
  <si>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</si>
  <si>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</si>
  <si>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</si>
  <si>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</si>
  <si>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</si>
  <si>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</si>
  <si>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</si>
  <si>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</si>
  <si>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</si>
  <si>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</si>
  <si>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</si>
  <si>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</si>
  <si>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</si>
  <si>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</si>
  <si>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</si>
  <si>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</si>
  <si>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</si>
  <si>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</si>
  <si>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</si>
  <si>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</si>
  <si>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</si>
  <si>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</si>
  <si>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</si>
  <si>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</si>
  <si>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</si>
  <si>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</si>
  <si>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</si>
  <si>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</si>
  <si>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</si>
  <si>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</si>
  <si>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</si>
  <si>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</si>
  <si>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</si>
  <si>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</si>
  <si>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</si>
  <si>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</si>
  <si>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</si>
  <si>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</si>
  <si>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</si>
  <si>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</si>
  <si>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</si>
  <si>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</si>
  <si>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</si>
  <si>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</si>
  <si>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</si>
  <si>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</si>
  <si>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</si>
  <si>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</si>
  <si>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</si>
  <si>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</si>
  <si>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</si>
  <si>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</si>
  <si>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</si>
  <si>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</si>
  <si>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</si>
  <si>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</si>
  <si>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</si>
  <si>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</si>
  <si>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</si>
  <si>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</si>
  <si>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</si>
  <si>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</si>
  <si>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</si>
  <si>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</si>
  <si>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</si>
  <si>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</si>
  <si>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</si>
  <si>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</si>
  <si>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</si>
  <si>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</si>
  <si>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</si>
  <si>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</si>
  <si>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</si>
  <si>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</si>
  <si>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</si>
  <si>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</si>
  <si>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</si>
  <si>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</si>
  <si>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</si>
  <si>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</si>
  <si>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</si>
  <si>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</si>
  <si>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</si>
  <si>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</si>
  <si>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</si>
  <si>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</si>
  <si>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</si>
  <si>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</si>
  <si>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</si>
  <si>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</si>
  <si>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</si>
  <si>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</si>
  <si>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</si>
  <si>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</si>
  <si>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</si>
  <si>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</si>
  <si>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</si>
  <si>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</si>
  <si>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</si>
  <si>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</si>
  <si>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</si>
  <si>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</si>
  <si>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</si>
  <si>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</si>
  <si>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</si>
  <si>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</si>
  <si>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</si>
  <si>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</si>
  <si>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</si>
  <si>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</si>
  <si>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</si>
  <si>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</si>
  <si>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</si>
  <si>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</si>
  <si>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</si>
  <si>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</si>
  <si>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</si>
  <si>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</si>
  <si>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</si>
  <si>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</si>
  <si>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</si>
  <si>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</si>
  <si>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</si>
  <si>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</si>
  <si>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</si>
  <si>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</si>
  <si>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</si>
  <si>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</si>
  <si>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</si>
  <si>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</si>
  <si>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</si>
  <si>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</si>
  <si>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</si>
  <si>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</si>
  <si>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</si>
  <si>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</si>
  <si>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</si>
  <si>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</si>
  <si>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</si>
  <si>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</si>
  <si>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</si>
  <si>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</si>
  <si>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</si>
  <si>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</si>
  <si>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</si>
  <si>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</si>
  <si>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</si>
  <si>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</si>
  <si>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</si>
  <si>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</si>
  <si>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</si>
  <si>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</si>
  <si>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</si>
  <si>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</si>
  <si>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</si>
  <si>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</si>
  <si>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</si>
  <si>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</si>
  <si>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</si>
  <si>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</si>
  <si>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</si>
  <si>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</si>
  <si>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</si>
  <si>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</si>
  <si>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</si>
  <si>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</si>
  <si>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</si>
  <si>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</si>
  <si>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</si>
  <si>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</si>
  <si>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</si>
  <si>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</si>
  <si>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</si>
  <si>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</si>
  <si>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</si>
  <si>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</si>
  <si>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</si>
  <si>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</si>
  <si>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</si>
  <si>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</si>
  <si>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</si>
  <si>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</si>
  <si>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</si>
  <si>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</si>
  <si>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</si>
  <si>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</si>
  <si>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</si>
  <si>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</si>
  <si>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</si>
  <si>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</si>
  <si>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</si>
  <si>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</si>
  <si>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</si>
  <si>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</si>
  <si>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</si>
  <si>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</si>
  <si>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</si>
  <si>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</si>
  <si>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</si>
  <si>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</si>
  <si>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</si>
  <si>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</si>
  <si>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</si>
  <si>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</si>
  <si>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</si>
  <si>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</si>
  <si>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</si>
  <si>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</si>
  <si>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</si>
  <si>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</si>
  <si>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</si>
  <si>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</si>
  <si>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</si>
  <si>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</si>
  <si>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</si>
  <si>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</si>
  <si>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</si>
  <si>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</si>
  <si>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</si>
  <si>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</si>
  <si>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</si>
  <si>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</si>
  <si>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</si>
  <si>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</si>
  <si>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</si>
  <si>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</si>
  <si>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</si>
  <si>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</si>
  <si>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</si>
  <si>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</si>
  <si>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</si>
  <si>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</si>
  <si>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</si>
  <si>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</si>
  <si>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</si>
  <si>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</si>
  <si>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</si>
  <si>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</si>
  <si>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</si>
  <si>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</si>
  <si>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</si>
  <si>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</si>
  <si>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</si>
  <si>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</si>
  <si>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</si>
  <si>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</si>
  <si>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</si>
  <si>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</si>
  <si>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</si>
  <si>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</si>
  <si>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</si>
  <si>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</si>
  <si>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</si>
  <si>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</si>
  <si>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</si>
  <si>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</si>
  <si>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</si>
  <si>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</si>
  <si>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</si>
  <si>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</si>
  <si>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</si>
  <si>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</si>
  <si>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</si>
  <si>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</si>
  <si>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</si>
  <si>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</si>
  <si>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</si>
  <si>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</si>
  <si>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</si>
  <si>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</si>
  <si>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</si>
  <si>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</si>
  <si>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</si>
  <si>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</si>
  <si>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</si>
  <si>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</si>
  <si>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</si>
  <si>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</si>
  <si>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</si>
  <si>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</si>
  <si>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</si>
  <si>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</si>
  <si>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</si>
  <si>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</si>
  <si>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</si>
  <si>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</si>
  <si>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</si>
  <si>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</si>
  <si>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</si>
  <si>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</si>
  <si>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</si>
  <si>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</si>
  <si>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</si>
  <si>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</si>
  <si>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</si>
  <si>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</si>
  <si>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</si>
  <si>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</si>
  <si>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</si>
  <si>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</si>
  <si>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</si>
  <si>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</si>
  <si>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</si>
  <si>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</si>
  <si>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</si>
  <si>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</si>
  <si>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</si>
  <si>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</si>
  <si>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</si>
  <si>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</si>
  <si>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</si>
  <si>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</si>
  <si>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</si>
  <si>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</si>
  <si>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</si>
  <si>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</si>
  <si>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</si>
  <si>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</si>
  <si>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</si>
  <si>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</si>
  <si>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</si>
  <si>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</si>
  <si>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</si>
  <si>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</si>
  <si>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</si>
  <si>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</si>
  <si>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</si>
  <si>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</si>
  <si>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</si>
  <si>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</si>
  <si>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</si>
  <si>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</si>
  <si>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</si>
  <si>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</si>
  <si>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</si>
  <si>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</si>
  <si>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</si>
  <si>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</si>
  <si>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</si>
  <si>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</si>
  <si>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</si>
  <si>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</si>
  <si>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</si>
  <si>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</si>
  <si>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</si>
  <si>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</si>
  <si>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</si>
  <si>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</si>
  <si>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</si>
  <si>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</si>
  <si>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</si>
  <si>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</si>
  <si>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</si>
  <si>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</si>
  <si>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</si>
  <si>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</si>
  <si>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</si>
  <si>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</si>
  <si>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</si>
  <si>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</si>
  <si>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</si>
  <si>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</si>
  <si>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</si>
  <si>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</si>
  <si>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</si>
  <si>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</si>
  <si>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</si>
  <si>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</si>
  <si>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</si>
  <si>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</si>
  <si>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</si>
  <si>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</si>
  <si>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</si>
  <si>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</si>
  <si>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</si>
  <si>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</si>
  <si>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</si>
  <si>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</si>
  <si>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</si>
  <si>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</si>
  <si>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</si>
  <si>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</si>
  <si>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</si>
  <si>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</si>
  <si>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</si>
  <si>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</si>
  <si>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</si>
  <si>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</si>
  <si>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</si>
  <si>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</si>
  <si>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</si>
  <si>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</si>
  <si>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</si>
  <si>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</si>
  <si>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</si>
  <si>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</si>
  <si>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</si>
  <si>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</si>
  <si>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</si>
  <si>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</si>
  <si>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</si>
  <si>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</si>
  <si>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</si>
  <si>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</si>
  <si>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</si>
  <si>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</si>
  <si>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</si>
  <si>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</si>
  <si>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</si>
  <si>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</si>
  <si>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</si>
  <si>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</si>
  <si>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</si>
  <si>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</si>
  <si>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</si>
  <si>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</si>
  <si>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</si>
  <si>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</si>
  <si>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</si>
  <si>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</si>
  <si>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</si>
  <si>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</si>
  <si>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</si>
  <si>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</si>
  <si>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</si>
  <si>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</si>
  <si>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</si>
  <si>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</si>
  <si>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</si>
  <si>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</si>
  <si>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</si>
  <si>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</si>
  <si>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</si>
  <si>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</si>
  <si>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</si>
  <si>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</si>
  <si>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</si>
  <si>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</si>
  <si>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</si>
  <si>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</si>
  <si>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</si>
  <si>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</si>
  <si>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</si>
  <si>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</si>
  <si>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</si>
  <si>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</si>
  <si>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</si>
  <si>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</si>
  <si>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</si>
  <si>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</si>
  <si>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</si>
  <si>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</si>
  <si>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</si>
  <si>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</si>
  <si>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</si>
  <si>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</si>
  <si>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</si>
  <si>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</si>
  <si>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</si>
  <si>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</si>
  <si>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</si>
  <si>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</si>
  <si>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</si>
  <si>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</si>
  <si>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</si>
  <si>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</si>
  <si>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</si>
  <si>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</si>
  <si>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</si>
  <si>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</si>
  <si>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</si>
  <si>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</si>
  <si>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</si>
  <si>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</si>
  <si>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</si>
  <si>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</si>
  <si>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</si>
  <si>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</si>
  <si>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</si>
  <si>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</si>
  <si>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</si>
  <si>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</si>
  <si>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</si>
  <si>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</si>
  <si>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</si>
  <si>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</si>
  <si>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</si>
  <si>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</si>
  <si>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</si>
  <si>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</si>
  <si>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</si>
  <si>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</si>
  <si>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</si>
  <si>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</si>
  <si>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</si>
  <si>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</si>
  <si>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</si>
  <si>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</si>
  <si>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</si>
  <si>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</si>
  <si>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</si>
  <si>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</si>
  <si>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</si>
  <si>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</si>
  <si>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</si>
  <si>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</si>
  <si>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</si>
  <si>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</si>
  <si>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</si>
  <si>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</si>
  <si>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</si>
  <si>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</si>
  <si>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</si>
  <si>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</si>
  <si>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</si>
  <si>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</si>
  <si>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</si>
  <si>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</si>
  <si>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</si>
  <si>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</si>
  <si>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</si>
  <si>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</si>
  <si>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</si>
  <si>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</si>
  <si>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</si>
  <si>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</si>
  <si>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</si>
  <si>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</si>
  <si>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</si>
  <si>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</si>
  <si>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</si>
  <si>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</si>
  <si>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</si>
  <si>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</si>
  <si>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</si>
  <si>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</si>
  <si>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</si>
  <si>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</si>
  <si>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</si>
  <si>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</si>
  <si>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</si>
  <si>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</si>
  <si>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</si>
  <si>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</si>
  <si>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</si>
  <si>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</si>
  <si>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</si>
  <si>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</si>
  <si>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</si>
  <si>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</si>
  <si>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</si>
  <si>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</si>
  <si>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</si>
  <si>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</si>
  <si>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</si>
  <si>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</si>
  <si>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</si>
  <si>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</si>
  <si>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</si>
  <si>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</si>
  <si>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</si>
  <si>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</si>
  <si>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</si>
  <si>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</si>
  <si>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</si>
  <si>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</si>
  <si>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</si>
  <si>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</si>
  <si>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</si>
  <si>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</si>
  <si>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</si>
  <si>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</si>
  <si>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</si>
  <si>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</si>
  <si>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</si>
  <si>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</si>
  <si>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</si>
  <si>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</si>
  <si>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</si>
  <si>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</si>
  <si>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</si>
  <si>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</si>
  <si>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</si>
  <si>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</si>
  <si>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</si>
  <si>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</si>
  <si>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</si>
  <si>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</si>
  <si>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</si>
  <si>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</si>
  <si>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</si>
  <si>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</si>
  <si>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</si>
  <si>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</si>
  <si>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</si>
  <si>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</si>
  <si>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</si>
  <si>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</si>
  <si>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</si>
  <si>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</si>
  <si>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</si>
  <si>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</si>
  <si>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</si>
  <si>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</si>
  <si>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</si>
  <si>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</si>
  <si>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</si>
  <si>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</si>
  <si>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</si>
  <si>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</si>
  <si>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</si>
  <si>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</si>
  <si>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</si>
  <si>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</si>
  <si>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</si>
  <si>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</si>
  <si>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</si>
  <si>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</si>
  <si>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</si>
  <si>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</si>
  <si>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</si>
  <si>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</si>
  <si>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</si>
  <si>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</si>
  <si>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</si>
  <si>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</si>
  <si>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</si>
  <si>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</si>
  <si>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</si>
  <si>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</si>
  <si>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</si>
  <si>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</si>
  <si>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</si>
  <si>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</si>
  <si>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</si>
  <si>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</si>
  <si>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</si>
  <si>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</si>
  <si>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</si>
  <si>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</si>
  <si>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</si>
  <si>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</si>
  <si>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</si>
  <si>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</si>
  <si>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</si>
  <si>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</si>
  <si>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</si>
  <si>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</si>
  <si>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</si>
  <si>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</si>
  <si>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</si>
  <si>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</si>
  <si>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</si>
  <si>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</si>
  <si>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</si>
  <si>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</si>
  <si>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</si>
  <si>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</si>
  <si>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</si>
  <si>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</si>
  <si>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</si>
  <si>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</si>
  <si>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</si>
  <si>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</si>
  <si>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</si>
  <si>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</si>
  <si>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</si>
  <si>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</si>
  <si>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</si>
  <si>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</si>
  <si>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</si>
  <si>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</si>
  <si>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</si>
  <si>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</si>
  <si>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</si>
  <si>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</si>
  <si>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</si>
  <si>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</si>
  <si>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</si>
  <si>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</si>
  <si>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</si>
  <si>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</si>
  <si>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</si>
  <si>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</si>
  <si>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</si>
  <si>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</si>
  <si>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</si>
  <si>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</si>
  <si>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</si>
  <si>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</si>
  <si>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</si>
  <si>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</si>
  <si>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</si>
  <si>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</si>
  <si>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</si>
  <si>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</si>
  <si>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</si>
  <si>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</si>
  <si>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</si>
  <si>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</si>
  <si>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</si>
  <si>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</si>
  <si>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</si>
  <si>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</si>
  <si>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</si>
  <si>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</si>
  <si>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</si>
  <si>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</si>
  <si>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</si>
  <si>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</si>
  <si>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</si>
  <si>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</si>
  <si>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</si>
  <si>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</si>
  <si>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</si>
  <si>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</si>
  <si>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</si>
  <si>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</si>
  <si>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</si>
  <si>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</si>
  <si>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</si>
  <si>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</si>
  <si>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</si>
  <si>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</si>
  <si>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</si>
  <si>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</si>
  <si>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</si>
  <si>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</si>
  <si>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</si>
  <si>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</si>
  <si>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</si>
  <si>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</si>
  <si>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</si>
  <si>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</si>
  <si>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</si>
  <si>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</si>
  <si>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</si>
  <si>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</si>
  <si>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</si>
  <si>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</si>
  <si>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</si>
  <si>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</si>
  <si>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</si>
  <si>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</si>
  <si>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</si>
  <si>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</si>
  <si>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</si>
  <si>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</si>
  <si>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</si>
  <si>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</si>
  <si>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</si>
  <si>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</si>
  <si>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</si>
  <si>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</si>
  <si>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</si>
  <si>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</si>
  <si>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</si>
  <si>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</si>
  <si>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</si>
  <si>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</si>
  <si>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</si>
  <si>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</si>
  <si>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</si>
  <si>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</si>
  <si>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</si>
  <si>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</si>
  <si>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</si>
  <si>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</si>
  <si>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</si>
  <si>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</si>
  <si>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</si>
  <si>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</si>
  <si>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</si>
  <si>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</si>
  <si>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</si>
  <si>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</si>
  <si>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</si>
  <si>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</si>
  <si>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</si>
  <si>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</si>
  <si>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</si>
  <si>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</si>
  <si>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</si>
  <si>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</si>
  <si>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</si>
  <si>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</si>
  <si>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</si>
  <si>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</si>
  <si>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</si>
  <si>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</si>
  <si>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</si>
  <si>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</si>
  <si>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</si>
  <si>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</si>
  <si>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</si>
  <si>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</si>
  <si>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</si>
  <si>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</si>
  <si>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</si>
  <si>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</si>
  <si>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</si>
  <si>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</si>
  <si>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</si>
  <si>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</si>
  <si>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</si>
  <si>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</si>
  <si>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</si>
  <si>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</si>
  <si>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</si>
  <si>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</si>
  <si>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</si>
  <si>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</si>
  <si>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</si>
  <si>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</si>
  <si>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</si>
  <si>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</si>
  <si>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</si>
  <si>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</si>
  <si>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</si>
  <si>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</si>
  <si>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</si>
  <si>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</si>
  <si>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</si>
  <si>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</si>
  <si>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</si>
  <si>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</si>
  <si>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</si>
  <si>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</si>
  <si>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</si>
  <si>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</si>
  <si>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</si>
  <si>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</si>
  <si>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</si>
  <si>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</si>
  <si>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</si>
  <si>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</si>
  <si>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</si>
  <si>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</si>
  <si>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</si>
  <si>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</si>
  <si>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</si>
  <si>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</si>
  <si>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</si>
  <si>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</si>
  <si>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</si>
  <si>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</si>
  <si>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</si>
  <si>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</si>
  <si>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</si>
  <si>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</si>
  <si>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</si>
  <si>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</si>
  <si>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</si>
  <si>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</si>
  <si>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</si>
  <si>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</si>
  <si>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</si>
  <si>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</si>
  <si>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</si>
  <si>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</si>
  <si>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</si>
  <si>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</si>
  <si>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</si>
  <si>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</si>
  <si>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</si>
  <si>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</si>
  <si>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</si>
  <si>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</si>
  <si>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</si>
  <si>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</si>
  <si>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</si>
  <si>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</si>
  <si>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</si>
  <si>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</si>
  <si>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</si>
  <si>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</si>
  <si>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</si>
  <si>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</si>
  <si>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</si>
  <si>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</si>
  <si>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</si>
  <si>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</si>
  <si>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</si>
  <si>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</si>
  <si>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</si>
  <si>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</si>
  <si>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</si>
  <si>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</si>
  <si>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</si>
  <si>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</si>
  <si>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</si>
  <si>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</si>
  <si>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</si>
  <si>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</si>
  <si>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</si>
  <si>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</si>
  <si>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</si>
  <si>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</si>
  <si>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</si>
  <si>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</si>
  <si>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</si>
  <si>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</si>
  <si>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</si>
  <si>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</si>
  <si>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</si>
  <si>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</si>
  <si>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</si>
  <si>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</si>
  <si>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</si>
  <si>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</si>
  <si>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</si>
  <si>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</si>
  <si>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</si>
  <si>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</si>
  <si>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</si>
  <si>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</si>
  <si>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</si>
  <si>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</si>
  <si>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</si>
  <si>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</si>
  <si>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</si>
  <si>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</si>
  <si>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</si>
  <si>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</si>
  <si>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</si>
  <si>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</si>
  <si>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</si>
  <si>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</si>
  <si>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</si>
  <si>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</si>
  <si>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</si>
  <si>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</si>
  <si>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</si>
  <si>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</si>
  <si>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</si>
  <si>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</si>
  <si>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</si>
  <si>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</si>
  <si>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</si>
  <si>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</si>
  <si>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</si>
  <si>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</si>
  <si>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</si>
  <si>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</si>
  <si>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</si>
  <si>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</si>
  <si>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</si>
  <si>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</si>
  <si>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</si>
  <si>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</si>
  <si>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</si>
  <si>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</si>
  <si>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</si>
  <si>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</si>
  <si>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</si>
  <si>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</si>
  <si>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</si>
  <si>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</si>
  <si>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</si>
  <si>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</si>
  <si>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</si>
  <si>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</si>
  <si>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</si>
  <si>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</si>
  <si>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</si>
  <si>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</si>
  <si>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</si>
  <si>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</si>
  <si>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</si>
  <si>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</si>
  <si>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</si>
  <si>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</si>
  <si>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</si>
  <si>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</si>
  <si>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</si>
  <si>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</si>
  <si>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</si>
  <si>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</si>
  <si>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</si>
  <si>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</si>
  <si>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</si>
  <si>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</si>
  <si>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</si>
  <si>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</si>
  <si>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</si>
  <si>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</si>
  <si>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</si>
  <si>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</si>
  <si>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</si>
  <si>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</si>
  <si>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</si>
  <si>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</si>
  <si>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</si>
  <si>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</si>
  <si>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</si>
  <si>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</si>
  <si>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</si>
  <si>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</si>
  <si>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</si>
  <si>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</si>
  <si>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</si>
  <si>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</si>
  <si>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</si>
  <si>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</si>
  <si>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</si>
  <si>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</si>
  <si>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</si>
  <si>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</si>
  <si>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</si>
  <si>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</si>
  <si>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</si>
  <si>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</si>
  <si>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</si>
  <si>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</si>
  <si>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</si>
  <si>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</si>
  <si>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</si>
  <si>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</si>
  <si>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</si>
  <si>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</si>
  <si>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</si>
  <si>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</si>
  <si>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</si>
  <si>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</si>
  <si>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</si>
  <si>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</si>
  <si>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</si>
  <si>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</si>
  <si>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</si>
  <si>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</si>
  <si>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</si>
  <si>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</si>
  <si>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</si>
  <si>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</si>
  <si>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</si>
  <si>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</si>
  <si>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</si>
  <si>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</si>
  <si>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</si>
  <si>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</si>
  <si>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</si>
  <si>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</si>
  <si>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</si>
  <si>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</si>
  <si>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</si>
  <si>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</si>
  <si>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</si>
  <si>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</si>
  <si>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</si>
  <si>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</si>
  <si>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</si>
  <si>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</si>
  <si>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</si>
  <si>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</si>
  <si>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</si>
  <si>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</si>
  <si>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</si>
  <si>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</si>
  <si>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</si>
  <si>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</si>
  <si>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</si>
  <si>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</si>
  <si>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</si>
  <si>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</si>
  <si>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</si>
  <si>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</si>
  <si>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</si>
  <si>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</si>
  <si>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</si>
  <si>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</si>
  <si>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</si>
  <si>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</si>
  <si>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</si>
  <si>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</si>
  <si>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</si>
  <si>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</si>
  <si>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</si>
  <si>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</si>
  <si>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</si>
  <si>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</si>
  <si>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</si>
  <si>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</si>
  <si>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</si>
  <si>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</si>
  <si>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</si>
  <si>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</si>
  <si>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</si>
  <si>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</si>
  <si>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</si>
  <si>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</si>
  <si>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</si>
  <si>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</si>
  <si>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</si>
  <si>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</si>
  <si>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</si>
  <si>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</si>
  <si>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</si>
  <si>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</si>
  <si>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</si>
  <si>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</si>
  <si>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</si>
  <si>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</si>
  <si>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</si>
  <si>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</si>
  <si>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</si>
  <si>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</si>
  <si>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</si>
  <si>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</si>
  <si>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</si>
  <si>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</si>
  <si>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</si>
  <si>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</si>
  <si>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</si>
  <si>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</si>
  <si>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</si>
  <si>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</si>
  <si>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</si>
  <si>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</si>
  <si>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</si>
  <si>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</si>
  <si>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</si>
  <si>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</si>
  <si>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</si>
  <si>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</si>
  <si>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</si>
  <si>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</si>
  <si>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</si>
  <si>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</si>
  <si>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</si>
  <si>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</si>
  <si>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</si>
  <si>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</si>
  <si>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</si>
  <si>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</si>
  <si>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</si>
  <si>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</si>
  <si>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</si>
  <si>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</si>
  <si>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</si>
  <si>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</si>
  <si>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</si>
  <si>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</si>
  <si>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</si>
  <si>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</si>
  <si>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</si>
  <si>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</si>
  <si>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</si>
  <si>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</si>
  <si>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</si>
  <si>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</si>
  <si>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</si>
  <si>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</si>
  <si>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</si>
  <si>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</si>
  <si>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</si>
  <si>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</si>
  <si>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</si>
  <si>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</si>
  <si>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</si>
  <si>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</si>
  <si>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</si>
  <si>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</si>
  <si>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</si>
  <si>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</si>
  <si>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</si>
  <si>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</si>
  <si>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</si>
  <si>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</si>
  <si>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</si>
  <si>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</si>
  <si>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</si>
  <si>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</si>
  <si>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</si>
  <si>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</si>
  <si>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</si>
  <si>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</si>
  <si>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</si>
  <si>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</si>
  <si>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</si>
  <si>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</si>
  <si>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</si>
  <si>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</si>
  <si>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</si>
  <si>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</si>
  <si>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</si>
  <si>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</si>
  <si>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</si>
  <si>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</si>
  <si>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</si>
  <si>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</si>
  <si>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</si>
  <si>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</si>
  <si>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</si>
  <si>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</si>
  <si>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</si>
  <si>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</si>
  <si>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</si>
  <si>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</si>
  <si>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</si>
  <si>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</si>
  <si>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</si>
  <si>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</si>
  <si>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</si>
  <si>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</si>
  <si>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</si>
  <si>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</si>
  <si>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</si>
  <si>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</si>
  <si>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</si>
  <si>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</si>
  <si>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</si>
  <si>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</si>
  <si>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</si>
  <si>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</si>
  <si>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</si>
  <si>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</si>
  <si>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</si>
  <si>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</si>
  <si>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</si>
  <si>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</si>
  <si>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</si>
  <si>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</si>
  <si>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</si>
  <si>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</si>
  <si>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</si>
  <si>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</si>
  <si>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</si>
  <si>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</si>
  <si>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</si>
  <si>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</si>
  <si>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</si>
  <si>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</si>
  <si>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</si>
  <si>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</si>
  <si>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</si>
  <si>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</si>
  <si>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</si>
  <si>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</si>
  <si>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</si>
  <si>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</si>
  <si>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</si>
  <si>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</si>
  <si>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</si>
  <si>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</si>
  <si>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</si>
  <si>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</si>
  <si>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</si>
  <si>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</si>
  <si>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</si>
  <si>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</si>
  <si>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</si>
  <si>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</si>
  <si>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</si>
  <si>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</si>
  <si>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</si>
  <si>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</si>
  <si>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</si>
  <si>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</si>
  <si>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</si>
  <si>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</si>
  <si>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</si>
  <si>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</si>
  <si>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</si>
  <si>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</si>
  <si>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</si>
  <si>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</si>
  <si>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</si>
  <si>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</si>
  <si>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</si>
  <si>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</si>
  <si>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</si>
  <si>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</si>
  <si>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</si>
  <si>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</si>
  <si>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</si>
  <si>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</si>
  <si>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</si>
  <si>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</si>
  <si>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</si>
  <si>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</si>
  <si>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</si>
  <si>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</si>
  <si>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</si>
  <si>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</si>
  <si>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</si>
  <si>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</si>
  <si>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</si>
  <si>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</si>
  <si>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</si>
  <si>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</si>
  <si>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</si>
  <si>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</si>
  <si>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</si>
  <si>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</si>
  <si>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</si>
  <si>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</si>
  <si>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</si>
  <si>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</si>
  <si>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</si>
  <si>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</si>
  <si>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</si>
  <si>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</si>
  <si>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</si>
  <si>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</si>
  <si>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</si>
  <si>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</si>
  <si>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</si>
  <si>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</si>
  <si>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</si>
  <si>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</si>
  <si>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</si>
  <si>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</si>
  <si>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</si>
  <si>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</si>
  <si>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</si>
  <si>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</si>
  <si>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</si>
  <si>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</si>
  <si>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</si>
  <si>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</si>
  <si>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</si>
  <si>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</si>
  <si>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</si>
  <si>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</si>
  <si>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</si>
  <si>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</si>
  <si>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</si>
  <si>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</si>
  <si>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</si>
  <si>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</si>
  <si>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</si>
  <si>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</si>
  <si>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</si>
  <si>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</si>
  <si>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</si>
  <si>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</si>
  <si>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</si>
  <si>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</si>
  <si>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</si>
  <si>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</si>
  <si>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</si>
  <si>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</si>
  <si>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</si>
  <si>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</si>
  <si>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</si>
  <si>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</si>
  <si>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</si>
  <si>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</si>
  <si>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</si>
  <si>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</si>
  <si>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</si>
  <si>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</si>
  <si>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</si>
  <si>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</si>
  <si>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</si>
  <si>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</si>
  <si>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</si>
  <si>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</si>
  <si>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</si>
  <si>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</si>
  <si>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</si>
  <si>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</si>
  <si>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</si>
  <si>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</si>
  <si>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</si>
  <si>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</si>
  <si>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</si>
  <si>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</si>
  <si>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</si>
  <si>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</si>
  <si>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</si>
  <si>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</si>
  <si>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</si>
  <si>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</si>
  <si>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</si>
  <si>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</si>
  <si>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</si>
  <si>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</si>
  <si>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</si>
  <si>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</si>
  <si>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</si>
  <si>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</si>
  <si>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</si>
  <si>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</si>
  <si>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</si>
  <si>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</si>
  <si>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</si>
  <si>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</si>
  <si>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</si>
  <si>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</si>
  <si>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</si>
  <si>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</si>
  <si>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</si>
  <si>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</si>
  <si>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</si>
  <si>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</si>
  <si>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</si>
  <si>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</si>
  <si>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</si>
  <si>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</si>
  <si>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</si>
  <si>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</si>
  <si>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</si>
  <si>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</si>
  <si>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</si>
  <si>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</si>
  <si>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</si>
  <si>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</si>
  <si>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</si>
  <si>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</si>
  <si>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</si>
  <si>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</si>
  <si>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</si>
  <si>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</si>
  <si>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</si>
  <si>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</si>
  <si>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</si>
  <si>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</si>
  <si>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</si>
  <si>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</si>
  <si>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</si>
  <si>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</si>
  <si>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</si>
  <si>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</si>
  <si>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</si>
  <si>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</si>
  <si>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</si>
  <si>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</si>
  <si>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</si>
  <si>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</si>
  <si>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</si>
  <si>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</si>
  <si>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</si>
  <si>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</si>
  <si>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</si>
  <si>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</si>
  <si>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</si>
  <si>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</si>
  <si>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</si>
  <si>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</si>
  <si>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</si>
  <si>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</si>
  <si>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</si>
  <si>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</si>
  <si>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</si>
  <si>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</si>
  <si>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</si>
  <si>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</si>
  <si>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</si>
  <si>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</si>
  <si>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</si>
  <si>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</si>
  <si>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</si>
  <si>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</si>
  <si>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</si>
  <si>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</si>
  <si>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</si>
  <si>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</si>
  <si>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</si>
  <si>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</si>
  <si>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</si>
  <si>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</si>
  <si>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</si>
  <si>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</si>
  <si>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</si>
  <si>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</si>
  <si>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</si>
  <si>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</si>
  <si>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</si>
  <si>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</si>
  <si>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</si>
  <si>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</si>
  <si>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</si>
  <si>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</si>
  <si>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</si>
  <si>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</si>
  <si>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</si>
  <si>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</si>
  <si>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</si>
  <si>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</si>
  <si>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</si>
  <si>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</si>
  <si>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</si>
  <si>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</si>
  <si>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</si>
  <si>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</si>
  <si>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</si>
  <si>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</si>
  <si>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</si>
  <si>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</si>
  <si>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</si>
  <si>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</si>
  <si>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</si>
  <si>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</si>
  <si>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</si>
  <si>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</si>
  <si>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</si>
  <si>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</si>
  <si>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</si>
  <si>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</si>
  <si>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</si>
  <si>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</si>
  <si>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</si>
  <si>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</si>
  <si>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</si>
  <si>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</si>
  <si>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</si>
  <si>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</si>
  <si>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</si>
  <si>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</si>
  <si>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</si>
  <si>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</si>
  <si>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</si>
  <si>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</si>
  <si>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</si>
  <si>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</si>
  <si>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</si>
  <si>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</si>
  <si>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</si>
  <si>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</si>
  <si>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</si>
  <si>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</si>
  <si>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</si>
  <si>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</si>
  <si>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</si>
  <si>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</si>
  <si>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</si>
  <si>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</si>
  <si>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</si>
  <si>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</si>
  <si>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</si>
  <si>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</si>
  <si>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</si>
  <si>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</si>
  <si>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</si>
  <si>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</si>
  <si>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</si>
  <si>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</si>
  <si>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</si>
  <si>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</si>
  <si>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</si>
  <si>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</si>
  <si>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</si>
  <si>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</si>
  <si>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</si>
  <si>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</si>
  <si>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</si>
  <si>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</si>
  <si>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</si>
  <si>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</si>
  <si>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</si>
  <si>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</si>
  <si>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</si>
  <si>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</si>
  <si>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</si>
  <si>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</si>
  <si>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</si>
  <si>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</si>
  <si>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</si>
  <si>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</si>
  <si>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</si>
  <si>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</si>
  <si>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</si>
  <si>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</si>
  <si>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</si>
  <si>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</si>
  <si>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</si>
  <si>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</si>
  <si>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</si>
  <si>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</si>
  <si>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</si>
  <si>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</si>
  <si>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</si>
  <si>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</si>
  <si>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</si>
  <si>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</si>
  <si>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</si>
  <si>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</si>
  <si>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</si>
  <si>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</si>
  <si>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</si>
  <si>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</si>
  <si>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</si>
  <si>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</si>
  <si>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</si>
  <si>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</si>
  <si>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</si>
  <si>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</si>
  <si>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</si>
  <si>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</si>
  <si>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</si>
  <si>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</si>
  <si>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</si>
  <si>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</si>
  <si>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</si>
  <si>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</si>
  <si>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</si>
  <si>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</si>
  <si>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</si>
  <si>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</si>
  <si>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</si>
  <si>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</si>
  <si>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</si>
  <si>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</si>
  <si>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</si>
  <si>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</si>
  <si>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</si>
  <si>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</si>
  <si>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</si>
  <si>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</si>
  <si>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</si>
  <si>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</si>
  <si>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</si>
  <si>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</si>
  <si>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</si>
  <si>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</si>
  <si>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</si>
  <si>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</si>
  <si>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</si>
  <si>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</si>
  <si>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</si>
  <si>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</si>
  <si>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</si>
  <si>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</si>
  <si>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</si>
  <si>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</si>
  <si>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</si>
  <si>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</si>
  <si>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</si>
  <si>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</si>
  <si>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</si>
  <si>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</si>
  <si>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</si>
  <si>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</si>
  <si>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</si>
  <si>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</si>
  <si>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</si>
  <si>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</si>
  <si>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</si>
  <si>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</si>
  <si>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</si>
  <si>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</si>
  <si>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</si>
  <si>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</si>
  <si>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</si>
  <si>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</si>
  <si>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</si>
  <si>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</si>
  <si>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</si>
  <si>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</si>
  <si>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</si>
  <si>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</si>
  <si>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</si>
  <si>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</si>
  <si>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</si>
  <si>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</si>
  <si>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</si>
  <si>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</si>
  <si>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</si>
  <si>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</si>
  <si>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</si>
  <si>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</si>
  <si>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</si>
  <si>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</si>
  <si>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</si>
  <si>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</si>
  <si>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</si>
  <si>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</si>
  <si>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</si>
  <si>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</si>
  <si>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</si>
  <si>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</si>
  <si>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</si>
  <si>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</si>
  <si>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</si>
  <si>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</si>
  <si>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</si>
  <si>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</si>
  <si>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</si>
  <si>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</si>
  <si>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</si>
  <si>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</si>
  <si>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</si>
  <si>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</si>
  <si>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</si>
  <si>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</si>
  <si>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</si>
  <si>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</si>
  <si>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</si>
  <si>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</si>
  <si>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</si>
  <si>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</si>
  <si>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</si>
  <si>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</si>
  <si>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</si>
  <si>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</si>
  <si>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</si>
  <si>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</si>
  <si>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</si>
  <si>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</si>
  <si>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</si>
  <si>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</si>
  <si>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</si>
  <si>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</si>
  <si>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</si>
  <si>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</si>
  <si>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</si>
  <si>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</si>
  <si>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</si>
  <si>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</si>
  <si>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</si>
  <si>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</si>
  <si>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</si>
  <si>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</si>
  <si>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</si>
  <si>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</si>
  <si>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</si>
  <si>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</si>
  <si>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</si>
  <si>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</si>
  <si>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</si>
  <si>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</si>
  <si>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</si>
  <si>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</si>
  <si>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</si>
  <si>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</si>
  <si>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</si>
  <si>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</si>
  <si>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</si>
  <si>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</si>
  <si>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</si>
  <si>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</si>
  <si>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</si>
  <si>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</si>
  <si>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</si>
  <si>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</si>
  <si>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</si>
  <si>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</si>
  <si>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</si>
  <si>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</si>
  <si>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</si>
  <si>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</si>
  <si>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</si>
  <si>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</si>
  <si>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</si>
  <si>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</si>
  <si>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</si>
  <si>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</si>
  <si>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</si>
  <si>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</si>
  <si>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</si>
  <si>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</si>
  <si>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</si>
  <si>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</si>
  <si>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</si>
  <si>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</si>
  <si>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</si>
  <si>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</si>
  <si>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</si>
  <si>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</si>
  <si>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</si>
  <si>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</si>
  <si>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</si>
  <si>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</si>
  <si>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</si>
  <si>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</si>
  <si>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</si>
  <si>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</si>
  <si>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</si>
  <si>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</si>
  <si>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</si>
  <si>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</si>
  <si>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</si>
  <si>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</si>
  <si>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</si>
  <si>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</si>
  <si>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</si>
  <si>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</si>
  <si>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</si>
  <si>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</si>
  <si>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</si>
  <si>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</si>
  <si>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</si>
  <si>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</si>
  <si>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</si>
  <si>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</si>
  <si>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</si>
  <si>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</si>
  <si>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</si>
  <si>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</si>
  <si>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</si>
  <si>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</si>
  <si>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</si>
  <si>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</si>
  <si>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</si>
  <si>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</si>
  <si>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</si>
  <si>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</si>
  <si>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</si>
  <si>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</si>
  <si>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</si>
  <si>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</si>
  <si>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</si>
  <si>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</si>
  <si>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</si>
  <si>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</si>
  <si>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</si>
  <si>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</si>
  <si>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</si>
  <si>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</si>
  <si>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</si>
  <si>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</si>
  <si>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</si>
  <si>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</si>
  <si>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</si>
  <si>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</si>
  <si>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</si>
  <si>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</si>
  <si>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</si>
  <si>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</si>
  <si>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</si>
  <si>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</si>
  <si>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</si>
  <si>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</si>
  <si>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</si>
  <si>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</si>
  <si>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</si>
  <si>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</si>
  <si>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</si>
  <si>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</si>
  <si>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</si>
  <si>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</si>
  <si>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</si>
  <si>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</si>
  <si>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</si>
  <si>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</si>
  <si>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</si>
  <si>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</si>
  <si>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</si>
  <si>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</si>
  <si>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</si>
  <si>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</si>
  <si>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</si>
  <si>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</si>
  <si>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</si>
  <si>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</si>
  <si>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</si>
  <si>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</si>
  <si>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</si>
  <si>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</si>
  <si>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</si>
  <si>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</si>
  <si>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</si>
  <si>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</si>
  <si>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</si>
  <si>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</si>
  <si>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</si>
  <si>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</si>
  <si>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</si>
  <si>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</si>
  <si>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</si>
  <si>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</si>
  <si>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</si>
  <si>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</si>
  <si>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</si>
  <si>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</si>
  <si>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</si>
  <si>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</si>
  <si>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</si>
  <si>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</si>
  <si>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</si>
  <si>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</si>
  <si>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</si>
  <si>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</si>
  <si>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</si>
  <si>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</si>
  <si>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</si>
  <si>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</si>
  <si>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</si>
  <si>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</si>
  <si>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</si>
  <si>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</si>
  <si>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</si>
  <si>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</si>
  <si>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</si>
  <si>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</si>
  <si>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</si>
  <si>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</si>
  <si>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</si>
  <si>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</si>
  <si>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</si>
  <si>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</si>
  <si>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</si>
  <si>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</si>
  <si>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</si>
  <si>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</si>
  <si>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</si>
  <si>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</si>
  <si>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</si>
  <si>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</si>
  <si>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</si>
  <si>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</si>
  <si>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</si>
  <si>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</si>
  <si>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</si>
  <si>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</si>
  <si>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</si>
  <si>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</si>
  <si>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</si>
  <si>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</si>
  <si>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</si>
  <si>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</si>
  <si>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</si>
  <si>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</si>
  <si>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</si>
  <si>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</si>
  <si>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</si>
  <si>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</si>
  <si>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</si>
  <si>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</si>
  <si>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</si>
  <si>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</si>
  <si>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</si>
  <si>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</si>
  <si>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</si>
  <si>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</si>
  <si>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</si>
  <si>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</si>
  <si>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</si>
  <si>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</si>
  <si>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</si>
  <si>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</si>
  <si>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</si>
  <si>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</si>
  <si>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</si>
  <si>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</si>
  <si>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</si>
  <si>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</si>
  <si>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</si>
  <si>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</si>
  <si>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</si>
  <si>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</si>
  <si>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</si>
  <si>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</si>
  <si>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</si>
  <si>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</si>
  <si>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</si>
  <si>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</si>
  <si>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</si>
  <si>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</si>
  <si>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</si>
  <si>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</si>
  <si>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</si>
  <si>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</si>
  <si>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</si>
  <si>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</si>
  <si>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</si>
  <si>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</si>
  <si>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</si>
  <si>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</si>
  <si>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</si>
  <si>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</si>
  <si>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</si>
  <si>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</si>
  <si>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</si>
  <si>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</si>
  <si>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</si>
  <si>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</si>
  <si>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</si>
  <si>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</si>
  <si>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</si>
  <si>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</si>
  <si>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</si>
  <si>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</si>
  <si>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</si>
  <si>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</si>
  <si>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ESTADO DE POZOS - ENERO 2024</t>
  </si>
  <si>
    <t>ESTADO DE POZOS - FEBRERO 2024</t>
  </si>
  <si>
    <t>*ULT_EST Enero</t>
  </si>
  <si>
    <t>*ULT_EST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</si>
</sst>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1" fillId="6" borderId="3" xfId="0" applyFont="1" applyFill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6" fillId="0" borderId="3" xfId="0" pivotButton="1" applyFont="1" applyBorder="1"/>
    <xf numFmtId="0" fontId="6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7" fillId="0" borderId="6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1" fillId="0" borderId="3" xfId="0" pivotButton="1" applyFont="1" applyBorder="1"/>
    <xf numFmtId="0" fontId="1" fillId="0" borderId="3" xfId="0" applyFont="1" applyBorder="1"/>
    <xf numFmtId="0" fontId="1" fillId="0" borderId="3" xfId="0" applyNumberFormat="1" applyFont="1" applyBorder="1"/>
    <xf numFmtId="0" fontId="2" fillId="0" borderId="5" xfId="0" applyNumberFormat="1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5" xfId="0" applyNumberFormat="1" applyFont="1" applyFill="1" applyBorder="1"/>
    <xf numFmtId="0" fontId="2" fillId="0" borderId="4" xfId="0" applyNumberFormat="1" applyFont="1" applyFill="1" applyBorder="1"/>
    <xf numFmtId="0" fontId="2" fillId="4" borderId="5" xfId="0" applyNumberFormat="1" applyFont="1" applyFill="1" applyBorder="1"/>
    <xf numFmtId="0" fontId="2" fillId="4" borderId="6" xfId="0" applyNumberFormat="1" applyFont="1" applyFill="1" applyBorder="1"/>
    <xf numFmtId="0" fontId="2" fillId="5" borderId="5" xfId="0" applyNumberFormat="1" applyFont="1" applyFill="1" applyBorder="1"/>
  </cellXfs>
  <cellStyles count="1">
    <cellStyle name="Normal" xfId="0" builtinId="0"/>
  </cellStyles>
  <dxfs count="81"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David Prado Nole" refreshedDate="45331.354649884262" createdVersion="8" refreshedVersion="8" minRefreshableVersion="3" recordCount="5820" xr:uid="{685193A1-FA38-401A-A920-399DFDB0DABF}">
  <cacheSource type="worksheet">
    <worksheetSource ref="B2:G5822" sheet="Ener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BCP"/>
        <s v="INACTINYA"/>
        <s v="ACTINYA"/>
        <s v="INACTPETS"/>
        <s v="INACTGAS"/>
        <s v="ATAINY"/>
        <s v="ATAGAS"/>
        <s v="BO"/>
        <s v="INACTPL"/>
        <s v="INACTBCP"/>
        <s v="APA_PB"/>
        <s v="PL"/>
        <s v="GL"/>
        <s v="INACTBO"/>
        <s v="INACTINYG"/>
        <s v="INACTGL"/>
        <s v="" u="1"/>
        <s v="ACTINYG" u="1"/>
        <s v="CM" u="1"/>
        <s v="Formula1" f="1"/>
        <s v="SURG" u="1"/>
      </sharedItems>
    </cacheField>
    <cacheField name="*BATERIA" numFmtId="0">
      <sharedItems/>
    </cacheField>
    <cacheField name="*ULT_EST Noviembre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David Prado Nole" refreshedDate="45358.712434374997" createdVersion="8" refreshedVersion="8" minRefreshableVersion="3" recordCount="5820" xr:uid="{1A3A6BF6-9F05-4C8B-8C06-6688F6ADF9DF}">
  <cacheSource type="worksheet">
    <worksheetSource ref="B2:G5822" sheet="Febrer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ACTINYA"/>
        <s v="INACTPETS"/>
        <s v="INACTGAS"/>
        <s v="ATAGAS"/>
        <s v="BO"/>
        <s v="ATAINY"/>
        <s v="INACTPL"/>
        <s v="APA_PB"/>
        <s v="PL"/>
        <s v="GL"/>
        <s v="INACTBO"/>
        <s v="INACTINYG"/>
        <s v="INACTGL"/>
        <s v="" u="1"/>
        <s v="ACTINYG" u="1"/>
        <s v="CM" u="1"/>
        <s v="Formula1" f="1"/>
        <s v="SURG" u="1"/>
      </sharedItems>
    </cacheField>
    <cacheField name="*BATERIA" numFmtId="0">
      <sharedItems/>
    </cacheField>
    <cacheField name="*ULT_EST Ener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TAPET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TAPET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BCP"/>
    <s v="CP"/>
    <x v="10"/>
    <s v="CA 22"/>
    <s v="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0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TAINY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BM"/>
  </r>
  <r>
    <s v="AA124"/>
    <s v="CM"/>
    <s v="CM"/>
    <x v="11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2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TA"/>
    <s v="CT"/>
    <x v="2"/>
    <s v="ATA"/>
    <s v="ATAPET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3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TAPET"/>
  </r>
  <r>
    <s v="AA1598"/>
    <s v="CM"/>
    <s v="CM"/>
    <x v="7"/>
    <s v="SWAB"/>
    <s v="INACTPETF"/>
  </r>
  <r>
    <s v="AA1599"/>
    <s v="CM"/>
    <s v="CM"/>
    <x v="13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3"/>
    <s v="SWAB"/>
    <s v="INACTPETS"/>
  </r>
  <r>
    <s v="AA1634"/>
    <s v="BM"/>
    <s v="BM"/>
    <x v="1"/>
    <s v="CA 23"/>
    <s v="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TA"/>
    <s v="CT"/>
    <x v="2"/>
    <s v="ATA"/>
    <s v="ATAPET"/>
  </r>
  <r>
    <s v="AA1642"/>
    <s v="APA"/>
    <s v="A"/>
    <x v="8"/>
    <s v="ABAND."/>
    <s v="APA_CNPC"/>
  </r>
  <r>
    <s v="AA1643"/>
    <s v="CM"/>
    <s v="CM"/>
    <x v="11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3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BM"/>
    <s v="BM"/>
    <x v="1"/>
    <s v="CA 23"/>
    <s v="BM"/>
  </r>
  <r>
    <s v="AA1699"/>
    <s v="INYA"/>
    <s v="IAS"/>
    <x v="12"/>
    <s v="INY"/>
    <s v="IN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TA"/>
    <s v="CT"/>
    <x v="2"/>
    <s v="ATA"/>
    <s v="ATAPET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TA"/>
    <s v="CT"/>
    <x v="2"/>
    <s v="ATA"/>
    <s v="ATAPET"/>
  </r>
  <r>
    <s v="AA1776"/>
    <s v="ATA"/>
    <s v="CT"/>
    <x v="2"/>
    <s v="ATA"/>
    <s v="ATAPET"/>
  </r>
  <r>
    <s v="AA1778"/>
    <s v="APA"/>
    <s v="A"/>
    <x v="8"/>
    <s v="ABAND."/>
    <s v="ATAPET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TA"/>
    <s v="CT"/>
    <x v="2"/>
    <s v="ATA"/>
    <s v="ATAPET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TA"/>
    <s v="CT"/>
    <x v="2"/>
    <s v="ATA"/>
    <s v="ATAPET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3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CM"/>
    <s v="CM"/>
    <x v="9"/>
    <s v="CA 22"/>
    <s v="INACTBM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TAPET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3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2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TA"/>
    <s v="CT"/>
    <x v="2"/>
    <s v="ATA"/>
    <s v="ATAPET"/>
  </r>
  <r>
    <s v="AA2019"/>
    <s v="CM"/>
    <s v="CM"/>
    <x v="11"/>
    <s v="INY"/>
    <s v="INACTINYA"/>
  </r>
  <r>
    <s v="AA2043"/>
    <s v="ATA"/>
    <s v="CT"/>
    <x v="15"/>
    <s v="ATA"/>
    <s v="ATAINY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TAPET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TA"/>
    <s v="CT"/>
    <x v="2"/>
    <s v="ATA"/>
    <s v="ATAPET"/>
  </r>
  <r>
    <s v="AA2487"/>
    <s v="APA"/>
    <s v="A"/>
    <x v="8"/>
    <s v="ABAND."/>
    <s v="ATAPET"/>
  </r>
  <r>
    <s v="AA2497"/>
    <s v="ATA"/>
    <s v="CT"/>
    <x v="16"/>
    <s v="ATA"/>
    <s v="ATAGAS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3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4"/>
    <s v="GASNA"/>
    <s v="INACTGAS"/>
  </r>
  <r>
    <s v="AA5707"/>
    <s v="CM"/>
    <s v="CM"/>
    <x v="13"/>
    <s v="SWAB"/>
    <s v="INACTPETS"/>
  </r>
  <r>
    <s v="AA5710"/>
    <s v="APA"/>
    <s v="A"/>
    <x v="5"/>
    <s v="ABAND."/>
    <s v="APA_PC"/>
  </r>
  <r>
    <s v="AA5716"/>
    <s v="CM"/>
    <s v="CM"/>
    <x v="13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3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BM"/>
    <s v="BM"/>
    <x v="1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3"/>
    <s v="SWAB"/>
    <s v="INACTPETS"/>
  </r>
  <r>
    <s v="AA5862"/>
    <s v="BM"/>
    <s v="BM"/>
    <x v="1"/>
    <s v="CA 17"/>
    <s v="BM"/>
  </r>
  <r>
    <s v="AA5870"/>
    <s v="CM"/>
    <s v="CM"/>
    <x v="13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2"/>
    <s v="INY"/>
    <s v="ACTINYA"/>
  </r>
  <r>
    <s v="AA5926"/>
    <s v="PETF"/>
    <s v="SUABCSG"/>
    <x v="4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TAINY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CM"/>
    <s v="CM"/>
    <x v="7"/>
    <s v="SWAB"/>
    <s v="ACTPETF"/>
  </r>
  <r>
    <s v="AA6000"/>
    <s v="APA"/>
    <s v="A"/>
    <x v="8"/>
    <s v="ABAND."/>
    <s v="ATAINY"/>
  </r>
  <r>
    <s v="AA6003"/>
    <s v="INYA"/>
    <s v="IAS"/>
    <x v="12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0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0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TA"/>
    <s v="CT"/>
    <x v="2"/>
    <s v="ATA"/>
    <s v="ATAPET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BM"/>
    <s v="BM"/>
    <x v="1"/>
    <s v="CA 21"/>
    <s v="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2"/>
    <s v="INY"/>
    <s v="ACTINYA"/>
  </r>
  <r>
    <s v="AA6117"/>
    <s v="PETF"/>
    <s v="SUABCSG"/>
    <x v="4"/>
    <s v="SWAB"/>
    <s v="ACTPETF"/>
  </r>
  <r>
    <s v="AA6121"/>
    <s v="INYA"/>
    <s v="IAS"/>
    <x v="12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2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1"/>
    <s v="INY"/>
    <s v="INACTINYA"/>
  </r>
  <r>
    <s v="AA6192"/>
    <s v="CM"/>
    <s v="CM"/>
    <x v="13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5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BM"/>
    <s v="BM"/>
    <x v="1"/>
    <s v="CA 20"/>
    <s v="BM"/>
  </r>
  <r>
    <s v="AA6328"/>
    <s v="BM"/>
    <s v="BM"/>
    <x v="1"/>
    <s v="CA 21"/>
    <s v="BM"/>
  </r>
  <r>
    <s v="AA6331"/>
    <s v="INYA"/>
    <s v="IAS"/>
    <x v="12"/>
    <s v="INY"/>
    <s v="ACTINYA"/>
  </r>
  <r>
    <s v="AA6338"/>
    <s v="CM"/>
    <s v="CM"/>
    <x v="7"/>
    <s v="SWAB"/>
    <s v="INACTPETF"/>
  </r>
  <r>
    <s v="AA6342"/>
    <s v="CM"/>
    <s v="CM"/>
    <x v="13"/>
    <s v="SWAB"/>
    <s v="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3"/>
    <s v="SWAB"/>
    <s v="INACTPETS"/>
  </r>
  <r>
    <s v="AA6354"/>
    <s v="BM"/>
    <s v="BM"/>
    <x v="1"/>
    <s v="CA 20"/>
    <s v="BM"/>
  </r>
  <r>
    <s v="AA6359"/>
    <s v="PETS"/>
    <s v="SUABTBG"/>
    <x v="3"/>
    <s v="SWAB"/>
    <s v="INACTPETS"/>
  </r>
  <r>
    <s v="AA6363"/>
    <s v="BM"/>
    <s v="BM"/>
    <x v="1"/>
    <s v="CA 20"/>
    <s v="BM"/>
  </r>
  <r>
    <s v="AA6367"/>
    <s v="INYA"/>
    <s v="IAS"/>
    <x v="12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3"/>
    <s v="SWAB"/>
    <s v="ACTPETS"/>
  </r>
  <r>
    <s v="AA6372"/>
    <s v="CM"/>
    <s v="CM"/>
    <x v="13"/>
    <s v="SWAB"/>
    <s v="INACTPETS"/>
  </r>
  <r>
    <s v="AA6373"/>
    <s v="ATA"/>
    <s v="CT"/>
    <x v="2"/>
    <s v="ATA"/>
    <s v="ATAPET"/>
  </r>
  <r>
    <s v="AA6376"/>
    <s v="INYA"/>
    <s v="IAS"/>
    <x v="12"/>
    <s v="INY"/>
    <s v="ACTINYA"/>
  </r>
  <r>
    <s v="AA6377"/>
    <s v="ATA"/>
    <s v="CT"/>
    <x v="16"/>
    <s v="ATA"/>
    <s v="ATAGAS"/>
  </r>
  <r>
    <s v="AA6378"/>
    <s v="BM"/>
    <s v="BM"/>
    <x v="1"/>
    <s v="CA 21"/>
    <s v="BM"/>
  </r>
  <r>
    <s v="AA6379"/>
    <s v="CM"/>
    <s v="CM"/>
    <x v="11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TA"/>
    <s v="CT"/>
    <x v="2"/>
    <s v="ATA"/>
    <s v="ATAPET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3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2"/>
    <s v="INY"/>
    <s v="ACTINYA"/>
  </r>
  <r>
    <s v="AA6461"/>
    <s v="CM"/>
    <s v="CM"/>
    <x v="11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1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2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1"/>
    <s v="INY"/>
    <s v="INACTINYA"/>
  </r>
  <r>
    <s v="AA6761"/>
    <s v="BM"/>
    <s v="BM"/>
    <x v="1"/>
    <s v="CA 20"/>
    <s v="BM"/>
  </r>
  <r>
    <s v="AA6762"/>
    <s v="CM"/>
    <s v="CM"/>
    <x v="13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8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BM"/>
    <s v="BM"/>
    <x v="1"/>
    <s v="CA 21"/>
    <s v="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INACTPETF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3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BM"/>
    <s v="BM"/>
    <x v="1"/>
    <s v="CA 16"/>
    <s v="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4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TAPET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0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BM"/>
    <s v="BM"/>
    <x v="1"/>
    <s v="CA 22"/>
    <s v="BM"/>
  </r>
  <r>
    <s v="AA8277"/>
    <s v="CM"/>
    <s v="CM"/>
    <x v="19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BM"/>
    <s v="BM"/>
    <x v="1"/>
    <s v="CA 21"/>
    <s v="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INYA"/>
    <s v="IAS"/>
    <x v="12"/>
    <s v="INY"/>
    <s v="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0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9"/>
    <s v="CA 22"/>
    <s v="INACTBCP"/>
  </r>
  <r>
    <s v="AA9124"/>
    <s v="APA"/>
    <s v="A"/>
    <x v="5"/>
    <s v="ABAND."/>
    <s v="APA_PC"/>
  </r>
  <r>
    <s v="AA9126"/>
    <s v="CM"/>
    <s v="CM"/>
    <x v="11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INACTBM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TA"/>
    <s v="CT"/>
    <x v="2"/>
    <s v="ATA"/>
    <s v="ATAPET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INYA"/>
    <s v="IAS"/>
    <x v="12"/>
    <s v="INY"/>
    <s v="ACTINYA"/>
  </r>
  <r>
    <s v="AA9159"/>
    <s v="BM"/>
    <s v="BM"/>
    <x v="1"/>
    <s v="CA 22"/>
    <s v="BM"/>
  </r>
  <r>
    <s v="AA9161"/>
    <s v="BCP"/>
    <s v="CP"/>
    <x v="10"/>
    <s v="CA 22"/>
    <s v="BCP"/>
  </r>
  <r>
    <s v="AA9162"/>
    <s v="CM"/>
    <s v="CM"/>
    <x v="11"/>
    <s v="INY"/>
    <s v="INACTINYA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TA"/>
    <s v="CT"/>
    <x v="2"/>
    <s v="ATA"/>
    <s v="ATAPET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TA"/>
    <s v="CT"/>
    <x v="2"/>
    <s v="ATA"/>
    <s v="ATAPET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1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0"/>
    <s v="CA 23"/>
    <s v="BCP"/>
  </r>
  <r>
    <s v="AA9357"/>
    <s v="BCP"/>
    <s v="CP"/>
    <x v="10"/>
    <s v="CA 22"/>
    <s v="BCP"/>
  </r>
  <r>
    <s v="AA9358"/>
    <s v="BM"/>
    <s v="BM"/>
    <x v="1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TA"/>
    <s v="CT"/>
    <x v="2"/>
    <s v="ATA"/>
    <s v="ATAPET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PETF"/>
    <s v="SUABCSG"/>
    <x v="4"/>
    <s v="SWAB"/>
    <s v="ACTPETF"/>
  </r>
  <r>
    <s v="AA9368"/>
    <s v="ATA"/>
    <s v="CT"/>
    <x v="15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CM"/>
    <s v="CM"/>
    <x v="9"/>
    <s v="CA 23"/>
    <s v="INACTBM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PETF"/>
    <s v="SUABCSG"/>
    <x v="4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TA"/>
    <s v="CT"/>
    <x v="15"/>
    <s v="ATA"/>
    <s v="ATAINY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TA"/>
    <s v="CT"/>
    <x v="2"/>
    <s v="ATA"/>
    <s v="ATAPET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2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CM"/>
    <s v="CM"/>
    <x v="11"/>
    <s v="INY"/>
    <s v="INACTINYA"/>
  </r>
  <r>
    <s v="AA9974"/>
    <s v="APA"/>
    <s v="A"/>
    <x v="5"/>
    <s v="ABAND."/>
    <s v="APA_PC"/>
  </r>
  <r>
    <s v="AA9976"/>
    <s v="INYA"/>
    <s v="IAS"/>
    <x v="12"/>
    <s v="INY"/>
    <s v="ACTINYA"/>
  </r>
  <r>
    <s v="AA9977"/>
    <s v="APA"/>
    <s v="A"/>
    <x v="5"/>
    <s v="ABAND."/>
    <s v="APA_PC"/>
  </r>
  <r>
    <s v="AA9978"/>
    <s v="ATA"/>
    <s v="CT"/>
    <x v="2"/>
    <s v="ATA"/>
    <s v="ATAPET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BO"/>
    <s v="BO"/>
    <x v="17"/>
    <s v="CA 22"/>
    <s v="BO"/>
  </r>
  <r>
    <s v="AA9988"/>
    <s v="APA"/>
    <s v="A"/>
    <x v="20"/>
    <s v="ABAND."/>
    <s v="APA_PB"/>
  </r>
  <r>
    <s v="AA9989"/>
    <s v="CM"/>
    <s v="CM"/>
    <x v="11"/>
    <s v="INY"/>
    <s v="INACTINYA"/>
  </r>
  <r>
    <s v="AA9991"/>
    <s v="CM"/>
    <s v="CM"/>
    <x v="11"/>
    <s v="INY"/>
    <s v="INACTINYA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PETF"/>
    <s v="SUABCSG"/>
    <x v="4"/>
    <s v="SWAB"/>
    <s v="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1"/>
    <s v="INY"/>
    <s v="INACTINYA"/>
  </r>
  <r>
    <s v="AA10209"/>
    <s v="INYA"/>
    <s v="IAS"/>
    <x v="12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BM"/>
    <s v="BM"/>
    <x v="1"/>
    <s v="CA 17"/>
    <s v="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BM"/>
    <s v="BM"/>
    <x v="1"/>
    <s v="CA 21"/>
    <s v="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9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BM"/>
    <s v="BM"/>
    <x v="1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BM"/>
    <s v="BM"/>
    <x v="1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BM"/>
    <s v="BM"/>
    <x v="1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BM"/>
    <s v="BM"/>
    <x v="1"/>
    <s v="CA 20"/>
    <s v="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BM"/>
    <s v="BM"/>
    <x v="1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TA"/>
    <s v="CT"/>
    <x v="16"/>
    <s v="ATA"/>
    <s v="ATAGAS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TA"/>
    <s v="CT"/>
    <x v="2"/>
    <s v="ATA"/>
    <s v="ATAPET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3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3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3"/>
    <s v="SWAB"/>
    <s v="INACTPETS"/>
  </r>
  <r>
    <s v="EA107"/>
    <s v="APA"/>
    <s v="A"/>
    <x v="5"/>
    <s v="ABAND."/>
    <s v="APA_PC"/>
  </r>
  <r>
    <s v="EA108"/>
    <s v="PETS"/>
    <s v="SUABTBG"/>
    <x v="3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TA"/>
    <s v="CT"/>
    <x v="2"/>
    <s v="ATA"/>
    <s v="ATAPET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3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1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3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3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3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TA"/>
    <s v="CT"/>
    <x v="2"/>
    <s v="ATA"/>
    <s v="ATAPET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3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3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8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3"/>
    <s v="SWAB"/>
    <s v="INACTPETS"/>
  </r>
  <r>
    <s v="EA417"/>
    <s v="CM"/>
    <s v="CM"/>
    <x v="18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3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PETS"/>
    <s v="SUABTBG"/>
    <x v="3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8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3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3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PETS"/>
    <s v="SUABTBG"/>
    <x v="3"/>
    <s v="SWAB"/>
    <s v="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3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PETS"/>
    <s v="SUABTBG"/>
    <x v="3"/>
    <s v="SWAB"/>
    <s v="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3"/>
    <s v="SWAB"/>
    <s v="INACTPETS"/>
  </r>
  <r>
    <s v="EA696"/>
    <s v="CM"/>
    <s v="CM"/>
    <x v="13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3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TA"/>
    <s v="CT"/>
    <x v="2"/>
    <s v="ATA"/>
    <s v="ATAPET"/>
  </r>
  <r>
    <s v="EA740"/>
    <s v="PETS"/>
    <s v="SUABTBG"/>
    <x v="3"/>
    <s v="SWAB"/>
    <s v="ACTPETS"/>
  </r>
  <r>
    <s v="EA741"/>
    <s v="CM"/>
    <s v="CM"/>
    <x v="13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TA"/>
    <s v="CT"/>
    <x v="2"/>
    <s v="ATA"/>
    <s v="ATAPET"/>
  </r>
  <r>
    <s v="EA771"/>
    <s v="CM"/>
    <s v="CM"/>
    <x v="13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PETS"/>
    <s v="SUABTBG"/>
    <x v="3"/>
    <s v="SWAB"/>
    <s v="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3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3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3"/>
    <s v="SWAB"/>
    <s v="INACTPETS"/>
  </r>
  <r>
    <s v="EA975"/>
    <s v="BM"/>
    <s v="BM"/>
    <x v="1"/>
    <s v="OR 12"/>
    <s v="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3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CM"/>
    <s v="CM"/>
    <x v="9"/>
    <s v="ZA 01"/>
    <s v="INACTBM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3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1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CM"/>
    <s v="CM"/>
    <x v="13"/>
    <s v="SWAB"/>
    <s v="IN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BM"/>
    <s v="BM"/>
    <x v="1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3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TA"/>
    <s v="CT"/>
    <x v="2"/>
    <s v="ATA"/>
    <s v="ATAPET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TA"/>
    <s v="CT"/>
    <x v="2"/>
    <s v="ATA"/>
    <s v="ATAPET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3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TAPET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2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IN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ACTPETF"/>
  </r>
  <r>
    <s v="EA1283"/>
    <s v="DPA"/>
    <s v="SECO"/>
    <x v="0"/>
    <s v="ABAND."/>
    <s v="DPAPET"/>
  </r>
  <r>
    <s v="EA1284"/>
    <s v="CM"/>
    <s v="CM"/>
    <x v="9"/>
    <s v="BA 35"/>
    <s v="BM"/>
  </r>
  <r>
    <s v="EA1285"/>
    <s v="ATA"/>
    <s v="CT"/>
    <x v="2"/>
    <s v="ATA"/>
    <s v="ATAPET"/>
  </r>
  <r>
    <s v="EA1286"/>
    <s v="PETS"/>
    <s v="SUABTBG"/>
    <x v="3"/>
    <s v="SWAB"/>
    <s v="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PETF"/>
    <s v="SUABCSG"/>
    <x v="4"/>
    <s v="SWAB"/>
    <s v="ACTPETF"/>
  </r>
  <r>
    <s v="EA1293"/>
    <s v="PETS"/>
    <s v="SUABTBG"/>
    <x v="3"/>
    <s v="SWAB"/>
    <s v="ACTPETS"/>
  </r>
  <r>
    <s v="EA1294"/>
    <s v="CM"/>
    <s v="CM"/>
    <x v="11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PETF"/>
    <s v="SUABCSG"/>
    <x v="4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TA"/>
    <s v="CT"/>
    <x v="2"/>
    <s v="ATA"/>
    <s v="ATAPET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TA"/>
    <s v="CT"/>
    <x v="2"/>
    <s v="ATA"/>
    <s v="ATAPET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5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3"/>
    <s v="SWAB"/>
    <s v="INACTPETS"/>
  </r>
  <r>
    <s v="EA1507"/>
    <s v="APA"/>
    <s v="A"/>
    <x v="5"/>
    <s v="ABAND."/>
    <s v="APA_PC"/>
  </r>
  <r>
    <s v="EA1508"/>
    <s v="CM"/>
    <s v="CM"/>
    <x v="13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3"/>
    <s v="SWAB"/>
    <s v="INACTPETS"/>
  </r>
  <r>
    <s v="EA1512"/>
    <s v="PETS"/>
    <s v="SUABTBG"/>
    <x v="3"/>
    <s v="SWAB"/>
    <s v="ACTPETS"/>
  </r>
  <r>
    <s v="EA1513"/>
    <s v="CM"/>
    <s v="CM"/>
    <x v="13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TA"/>
    <s v="CT"/>
    <x v="2"/>
    <s v="ATA"/>
    <s v="ATAPET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BM"/>
    <s v="BM"/>
    <x v="1"/>
    <s v="CE 10"/>
    <s v="BM"/>
  </r>
  <r>
    <s v="EA1538"/>
    <s v="BM"/>
    <s v="BM"/>
    <x v="1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8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CM"/>
    <s v="CM"/>
    <x v="13"/>
    <s v="SWAB"/>
    <s v="IN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3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BM"/>
    <s v="BM"/>
    <x v="1"/>
    <s v="TA 25"/>
    <s v="BM"/>
  </r>
  <r>
    <s v="EA1588"/>
    <s v="BM"/>
    <s v="BM"/>
    <x v="1"/>
    <s v="TA 25"/>
    <s v="BM"/>
  </r>
  <r>
    <s v="EA1589"/>
    <s v="CM"/>
    <s v="CM"/>
    <x v="13"/>
    <s v="SWAB"/>
    <s v="IN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7"/>
    <s v="SWAB"/>
    <s v="INACTPETF"/>
  </r>
  <r>
    <s v="EA1611"/>
    <s v="CM"/>
    <s v="CM"/>
    <x v="13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1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9"/>
    <s v="TA 24"/>
    <s v="INACTBM"/>
  </r>
  <r>
    <s v="EA1626"/>
    <s v="BM"/>
    <s v="BM"/>
    <x v="1"/>
    <s v="PN 33"/>
    <s v="BM"/>
  </r>
  <r>
    <s v="EA1627"/>
    <s v="PL"/>
    <s v="PL"/>
    <x v="21"/>
    <s v="PN 31"/>
    <s v="PL"/>
  </r>
  <r>
    <s v="EA1628"/>
    <s v="BM"/>
    <s v="BM"/>
    <x v="1"/>
    <s v="TA 24"/>
    <s v="BM"/>
  </r>
  <r>
    <s v="EA1630"/>
    <s v="CM"/>
    <s v="CM"/>
    <x v="13"/>
    <s v="SWAB"/>
    <s v="INACTPETS"/>
  </r>
  <r>
    <s v="EA1636"/>
    <s v="APA"/>
    <s v="A"/>
    <x v="5"/>
    <s v="ABAND."/>
    <s v="APA_PC"/>
  </r>
  <r>
    <s v="EA1637"/>
    <s v="BM"/>
    <s v="BM"/>
    <x v="1"/>
    <s v="PN 33"/>
    <s v="BM"/>
  </r>
  <r>
    <s v="EA1640"/>
    <s v="APA"/>
    <s v="A"/>
    <x v="5"/>
    <s v="ABAND."/>
    <s v="APA_PC"/>
  </r>
  <r>
    <s v="EA1646"/>
    <s v="BM"/>
    <s v="BM"/>
    <x v="1"/>
    <s v="BA 34"/>
    <s v="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8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BM"/>
    <s v="BM"/>
    <x v="1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TAPET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BM"/>
    <s v="BM"/>
    <x v="1"/>
    <s v="PN 33"/>
    <s v="BM"/>
  </r>
  <r>
    <s v="EA1715"/>
    <s v="ATA"/>
    <s v="CT"/>
    <x v="2"/>
    <s v="ATA"/>
    <s v="ATAPET"/>
  </r>
  <r>
    <s v="EA1717"/>
    <s v="CM"/>
    <s v="CM"/>
    <x v="13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CM"/>
    <s v="CM"/>
    <x v="13"/>
    <s v="SWAB"/>
    <s v="INACTPETS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TA"/>
    <s v="CT"/>
    <x v="2"/>
    <s v="ATA"/>
    <s v="ATAPET"/>
  </r>
  <r>
    <s v="EA1857"/>
    <s v="BM"/>
    <s v="BM"/>
    <x v="1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BM"/>
    <s v="BM"/>
    <x v="1"/>
    <s v="TA 28"/>
    <s v="BM"/>
  </r>
  <r>
    <s v="EA1861"/>
    <s v="BM"/>
    <s v="BM"/>
    <x v="1"/>
    <s v="OR 11"/>
    <s v="BM"/>
  </r>
  <r>
    <s v="EA1865"/>
    <s v="BM"/>
    <s v="BM"/>
    <x v="1"/>
    <s v="TA 28"/>
    <s v="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2"/>
    <s v="PN 30"/>
    <s v="GL"/>
  </r>
  <r>
    <s v="EA1875"/>
    <s v="INYA"/>
    <s v="IAS"/>
    <x v="12"/>
    <s v="INY"/>
    <s v="ACTINYA"/>
  </r>
  <r>
    <s v="EA1877"/>
    <s v="PL"/>
    <s v="PL"/>
    <x v="21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BM"/>
    <s v="BM"/>
    <x v="1"/>
    <s v="OR 12"/>
    <s v="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BM"/>
  </r>
  <r>
    <s v="EA1917"/>
    <s v="CM"/>
    <s v="CM"/>
    <x v="9"/>
    <s v="PN 33"/>
    <s v="INACTBM"/>
  </r>
  <r>
    <s v="EA1918"/>
    <s v="PETF"/>
    <s v="SUABCSG"/>
    <x v="4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8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5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TA"/>
    <s v="CT"/>
    <x v="2"/>
    <s v="ATA"/>
    <s v="ATAPET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PETS"/>
    <s v="SUABTBG"/>
    <x v="3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BM"/>
    <s v="BM"/>
    <x v="1"/>
    <s v="TA 24"/>
    <s v="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1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8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1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2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1"/>
    <s v="INY"/>
    <s v="INACTINYA"/>
  </r>
  <r>
    <s v="EA2144P"/>
    <s v="BM"/>
    <s v="BM"/>
    <x v="1"/>
    <s v="TA 29"/>
    <s v="BM"/>
  </r>
  <r>
    <s v="EA2146"/>
    <s v="INYA"/>
    <s v="IAS"/>
    <x v="12"/>
    <s v="INY"/>
    <s v="ACTINYA"/>
  </r>
  <r>
    <s v="EA2147"/>
    <s v="CM"/>
    <s v="CM"/>
    <x v="11"/>
    <s v="INY"/>
    <s v="INACTINYA"/>
  </r>
  <r>
    <s v="EA2148"/>
    <s v="CM"/>
    <s v="CM"/>
    <x v="11"/>
    <s v="INY"/>
    <s v="INACTINYA"/>
  </r>
  <r>
    <s v="EA2149"/>
    <s v="BM"/>
    <s v="BM"/>
    <x v="1"/>
    <s v="BA 35"/>
    <s v="BM"/>
  </r>
  <r>
    <s v="EA2151"/>
    <s v="CM"/>
    <s v="CM"/>
    <x v="11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BM"/>
    <s v="BM"/>
    <x v="1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5"/>
    <s v="ATA"/>
    <s v="ATAINY"/>
  </r>
  <r>
    <s v="EA2204"/>
    <s v="APA"/>
    <s v="A"/>
    <x v="5"/>
    <s v="ABAND."/>
    <s v="APA_PC"/>
  </r>
  <r>
    <s v="EA2206"/>
    <s v="PETS"/>
    <s v="SUABTBG"/>
    <x v="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2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3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PL"/>
    <s v="PL"/>
    <x v="21"/>
    <s v="PN 30"/>
    <s v="PL"/>
  </r>
  <r>
    <s v="EA2233P"/>
    <s v="ATA"/>
    <s v="CT"/>
    <x v="2"/>
    <s v="ATA"/>
    <s v="ATAPET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CM"/>
    <s v="CM"/>
    <x v="9"/>
    <s v="OR 11"/>
    <s v="INACTBM"/>
  </r>
  <r>
    <s v="EA2243"/>
    <s v="BM"/>
    <s v="BM"/>
    <x v="1"/>
    <s v="OR 11"/>
    <s v="BM"/>
  </r>
  <r>
    <s v="EA2249"/>
    <s v="CM"/>
    <s v="CM"/>
    <x v="7"/>
    <s v="SWAB"/>
    <s v="INACTPETF"/>
  </r>
  <r>
    <s v="EA2254"/>
    <s v="CM"/>
    <s v="CM"/>
    <x v="13"/>
    <s v="SWAB"/>
    <s v="INACTPETS"/>
  </r>
  <r>
    <s v="EA2256"/>
    <s v="CM"/>
    <s v="CM"/>
    <x v="13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2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2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2"/>
    <s v="INY"/>
    <s v="ACTINYA"/>
  </r>
  <r>
    <s v="EA2304"/>
    <s v="CM"/>
    <s v="CM"/>
    <x v="7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9"/>
    <s v="LA 06"/>
    <s v="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3"/>
    <s v="SWAB"/>
    <s v="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2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2"/>
    <s v="INY"/>
    <s v="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3"/>
    <s v="SWAB"/>
    <s v="INACTPETS"/>
  </r>
  <r>
    <s v="EA2363"/>
    <s v="PETF"/>
    <s v="SUABCSG"/>
    <x v="4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BM"/>
    <s v="BM"/>
    <x v="1"/>
    <s v="LA 06"/>
    <s v="BM"/>
  </r>
  <r>
    <s v="EA2379"/>
    <s v="BM"/>
    <s v="BM"/>
    <x v="1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3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BM"/>
  </r>
  <r>
    <s v="EA2394"/>
    <s v="BM"/>
    <s v="BM"/>
    <x v="1"/>
    <s v="TA 25"/>
    <s v="BM"/>
  </r>
  <r>
    <s v="EA2396"/>
    <s v="CM"/>
    <s v="CM"/>
    <x v="13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3"/>
    <s v="SWAB"/>
    <s v="INACTPETS"/>
  </r>
  <r>
    <s v="EA2408"/>
    <s v="CM"/>
    <s v="CM"/>
    <x v="7"/>
    <s v="SWAB"/>
    <s v="IN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9"/>
    <s v="LA 06"/>
    <s v="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5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TA"/>
    <s v="CT"/>
    <x v="2"/>
    <s v="ATA"/>
    <s v="ATAPET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CM"/>
    <s v="CM"/>
    <x v="9"/>
    <s v="PN 33"/>
    <s v="INACT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CM"/>
    <s v="CM"/>
    <x v="7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3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BM"/>
  </r>
  <r>
    <s v="EA2514"/>
    <s v="CM"/>
    <s v="CM"/>
    <x v="7"/>
    <s v="SWAB"/>
    <s v="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5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BM"/>
    <s v="BM"/>
    <x v="1"/>
    <s v="PN 31"/>
    <s v="BM"/>
  </r>
  <r>
    <s v="EA5637"/>
    <s v="CM"/>
    <s v="CM"/>
    <x v="13"/>
    <s v="SWAB"/>
    <s v="ACTPETS"/>
  </r>
  <r>
    <s v="EA5638"/>
    <s v="DPA"/>
    <s v="SECO"/>
    <x v="0"/>
    <s v="ABAND."/>
    <s v="DPAPET"/>
  </r>
  <r>
    <s v="EA5639"/>
    <s v="BM"/>
    <s v="BM"/>
    <x v="1"/>
    <s v="OR 11"/>
    <s v="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BM"/>
    <s v="BM"/>
    <x v="1"/>
    <s v="PN 32"/>
    <s v="BM"/>
  </r>
  <r>
    <s v="EA5655"/>
    <s v="BM"/>
    <s v="BM"/>
    <x v="1"/>
    <s v="ZA 03"/>
    <s v="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BM"/>
    <s v="BM"/>
    <x v="1"/>
    <s v="OR 11"/>
    <s v="BM"/>
  </r>
  <r>
    <s v="EA5682D"/>
    <s v="CM"/>
    <s v="CM"/>
    <x v="13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3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BM"/>
    <s v="BM"/>
    <x v="1"/>
    <s v="BA 34"/>
    <s v="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3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3"/>
    <s v="SWAB"/>
    <s v="INACTPETS"/>
  </r>
  <r>
    <s v="EA5762"/>
    <s v="BM"/>
    <s v="BM"/>
    <x v="1"/>
    <s v="OR 11"/>
    <s v="BM"/>
  </r>
  <r>
    <s v="EA5763"/>
    <s v="CM"/>
    <s v="CM"/>
    <x v="9"/>
    <s v="OR 11"/>
    <s v="BM"/>
  </r>
  <r>
    <s v="EA5764"/>
    <s v="ATA"/>
    <s v="CT"/>
    <x v="2"/>
    <s v="ATA"/>
    <s v="ATAPET"/>
  </r>
  <r>
    <s v="EA5766"/>
    <s v="CM"/>
    <s v="CM"/>
    <x v="13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BM"/>
    <s v="BM"/>
    <x v="1"/>
    <s v="OR 12"/>
    <s v="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1"/>
    <s v="PN 30"/>
    <s v="PL"/>
  </r>
  <r>
    <s v="EA5817"/>
    <s v="BM"/>
    <s v="BM"/>
    <x v="1"/>
    <s v="TA 28"/>
    <s v="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ACTPETF"/>
  </r>
  <r>
    <s v="EA5857"/>
    <s v="INYA"/>
    <s v="IAS"/>
    <x v="12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3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3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PETS"/>
    <s v="SUABTBG"/>
    <x v="3"/>
    <s v="SWAB"/>
    <s v="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PETS"/>
    <s v="SUABTBG"/>
    <x v="3"/>
    <s v="SWAB"/>
    <s v="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3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5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1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TA"/>
    <s v="CT"/>
    <x v="2"/>
    <s v="ATA"/>
    <s v="ATAPET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TAPET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PETS"/>
    <s v="SUABTBG"/>
    <x v="3"/>
    <s v="SWAB"/>
    <s v="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CM"/>
    <s v="CM"/>
    <x v="25"/>
    <s v="PN 30"/>
    <s v="INACTGL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CM"/>
    <s v="CM"/>
    <x v="13"/>
    <s v="SWAB"/>
    <s v="IN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3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BM"/>
    <s v="BM"/>
    <x v="1"/>
    <s v="ZA 04"/>
    <s v="BM"/>
  </r>
  <r>
    <s v="EA6149"/>
    <s v="BM"/>
    <s v="BM"/>
    <x v="1"/>
    <s v="LA 06"/>
    <s v="BM"/>
  </r>
  <r>
    <s v="EA6151"/>
    <s v="BM"/>
    <s v="BM"/>
    <x v="1"/>
    <s v="OR 11"/>
    <s v="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CM"/>
    <s v="CM"/>
    <x v="13"/>
    <s v="SWAB"/>
    <s v="IN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TA"/>
    <s v="CT"/>
    <x v="2"/>
    <s v="ATA"/>
    <s v="ATAPET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BM"/>
    <s v="BM"/>
    <x v="1"/>
    <s v="ZA 04"/>
    <s v="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3"/>
    <s v="SWAB"/>
    <s v="INACTPETS"/>
  </r>
  <r>
    <s v="EA6238"/>
    <s v="CM"/>
    <s v="CM"/>
    <x v="9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BM"/>
    <s v="BM"/>
    <x v="1"/>
    <s v="LA 06"/>
    <s v="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PETS"/>
    <s v="SUABTBG"/>
    <x v="3"/>
    <s v="SWAB"/>
    <s v="ACTPETS"/>
  </r>
  <r>
    <s v="EA6278"/>
    <s v="CM"/>
    <s v="CM"/>
    <x v="13"/>
    <s v="SWAB"/>
    <s v="INACTPETS"/>
  </r>
  <r>
    <s v="EA6279"/>
    <s v="CM"/>
    <s v="CM"/>
    <x v="7"/>
    <s v="SWAB"/>
    <s v="IN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BM"/>
    <s v="BM"/>
    <x v="1"/>
    <s v="OR 12"/>
    <s v="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ACTPETF"/>
  </r>
  <r>
    <s v="EA6351"/>
    <s v="CM"/>
    <s v="CM"/>
    <x v="9"/>
    <s v="TA 24"/>
    <s v="INACTBM"/>
  </r>
  <r>
    <s v="EA6352"/>
    <s v="BM"/>
    <s v="BM"/>
    <x v="1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BM"/>
    <s v="BM"/>
    <x v="1"/>
    <s v="TA 25"/>
    <s v="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CM"/>
    <s v="CM"/>
    <x v="18"/>
    <s v="PN 30"/>
    <s v="INACTPL"/>
  </r>
  <r>
    <s v="EA6524"/>
    <s v="DPA"/>
    <s v="SECO"/>
    <x v="0"/>
    <s v="ABAND."/>
    <s v="DPAPET"/>
  </r>
  <r>
    <s v="EA6526"/>
    <s v="CM"/>
    <s v="CM"/>
    <x v="18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TA"/>
    <s v="CT"/>
    <x v="2"/>
    <s v="ATA"/>
    <s v="ATAPET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CM"/>
    <s v="CM"/>
    <x v="9"/>
    <s v="PN 33"/>
    <s v="INACT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1"/>
    <s v="INY"/>
    <s v="INACTINYA"/>
  </r>
  <r>
    <s v="EA6601"/>
    <s v="BM"/>
    <s v="BM"/>
    <x v="1"/>
    <s v="PN 32"/>
    <s v="BM"/>
  </r>
  <r>
    <s v="EA6602"/>
    <s v="BM"/>
    <s v="BM"/>
    <x v="1"/>
    <s v="PN 32"/>
    <s v="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BM"/>
    <s v="BM"/>
    <x v="1"/>
    <s v="TA 25"/>
    <s v="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BM"/>
    <s v="BM"/>
    <x v="1"/>
    <s v="TA 25"/>
    <s v="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PETF"/>
    <s v="SUABCSG"/>
    <x v="4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BM"/>
    <s v="BM"/>
    <x v="1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PETS"/>
    <s v="SUABTBG"/>
    <x v="3"/>
    <s v="SWAB"/>
    <s v="INACTPETS"/>
  </r>
  <r>
    <s v="EA6854"/>
    <s v="CM"/>
    <s v="CM"/>
    <x v="13"/>
    <s v="SWAB"/>
    <s v="IN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3"/>
    <s v="SWAB"/>
    <s v="INACTPETS"/>
  </r>
  <r>
    <s v="EA6919"/>
    <s v="BM"/>
    <s v="BM"/>
    <x v="1"/>
    <s v="OR 11"/>
    <s v="BM"/>
  </r>
  <r>
    <s v="EA6931"/>
    <s v="BM"/>
    <s v="BM"/>
    <x v="1"/>
    <s v="TA 24"/>
    <s v="BM"/>
  </r>
  <r>
    <s v="EA7001"/>
    <s v="CM"/>
    <s v="CM"/>
    <x v="14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ACTPETF"/>
  </r>
  <r>
    <s v="EA7018"/>
    <s v="CM"/>
    <s v="CM"/>
    <x v="7"/>
    <s v="SWAB"/>
    <s v="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3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5"/>
    <s v="ATA"/>
    <s v="ATAINY"/>
  </r>
  <r>
    <s v="EA7047"/>
    <s v="CM"/>
    <s v="CM"/>
    <x v="11"/>
    <s v="INY"/>
    <s v="IN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1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CM"/>
    <s v="CM"/>
    <x v="7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CM"/>
    <s v="CM"/>
    <x v="9"/>
    <s v="ZA 03"/>
    <s v="INACT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1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BM"/>
  </r>
  <r>
    <s v="EA7119"/>
    <s v="BM"/>
    <s v="BM"/>
    <x v="1"/>
    <s v="LA 06"/>
    <s v="BM"/>
  </r>
  <r>
    <s v="EA7121"/>
    <s v="PETF"/>
    <s v="SUABCSG"/>
    <x v="4"/>
    <s v="SWAB"/>
    <s v="IN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3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CM"/>
    <s v="CM"/>
    <x v="9"/>
    <s v="TA 27"/>
    <s v="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BM"/>
    <s v="BM"/>
    <x v="1"/>
    <s v="BA 34"/>
    <s v="BM"/>
  </r>
  <r>
    <s v="EA7226"/>
    <s v="BM"/>
    <s v="BM"/>
    <x v="1"/>
    <s v="BA 34"/>
    <s v="BM"/>
  </r>
  <r>
    <s v="EA7227"/>
    <s v="BM"/>
    <s v="BM"/>
    <x v="1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CM"/>
    <s v="CM"/>
    <x v="9"/>
    <s v="PN 31"/>
    <s v="INACTBM"/>
  </r>
  <r>
    <s v="EA7256"/>
    <s v="BM"/>
    <s v="BM"/>
    <x v="1"/>
    <s v="BA 34"/>
    <s v="BM"/>
  </r>
  <r>
    <s v="EA7261"/>
    <s v="PETS"/>
    <s v="SUABTBG"/>
    <x v="3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TA"/>
    <s v="CT"/>
    <x v="2"/>
    <s v="ATA"/>
    <s v="ATAPET"/>
  </r>
  <r>
    <s v="EA7301"/>
    <s v="CM"/>
    <s v="CM"/>
    <x v="9"/>
    <s v="BA 34"/>
    <s v="INACTBM"/>
  </r>
  <r>
    <s v="EA7304D"/>
    <s v="BM"/>
    <s v="BM"/>
    <x v="1"/>
    <s v="PN 30"/>
    <s v="BM"/>
  </r>
  <r>
    <s v="EA7306D"/>
    <s v="CM"/>
    <s v="CM"/>
    <x v="18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0"/>
    <s v="TA 25"/>
    <s v="BCP"/>
  </r>
  <r>
    <s v="EA7378"/>
    <s v="ATA"/>
    <s v="CT"/>
    <x v="2"/>
    <s v="ATA"/>
    <s v="ATAPET"/>
  </r>
  <r>
    <s v="EA7382"/>
    <s v="BM"/>
    <s v="BM"/>
    <x v="1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BM"/>
    <s v="BM"/>
    <x v="1"/>
    <s v="OR 11"/>
    <s v="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PETF"/>
    <s v="SUABCSG"/>
    <x v="4"/>
    <s v="SWAB"/>
    <s v="ACTPETF"/>
  </r>
  <r>
    <s v="EA7542"/>
    <s v="BM"/>
    <s v="BM"/>
    <x v="1"/>
    <s v="TA 24"/>
    <s v="BM"/>
  </r>
  <r>
    <s v="EA7552"/>
    <s v="ATA"/>
    <s v="CT"/>
    <x v="15"/>
    <s v="ATA"/>
    <s v="ATAINY"/>
  </r>
  <r>
    <s v="EA7553"/>
    <s v="BM"/>
    <s v="BM"/>
    <x v="1"/>
    <s v="PN 31"/>
    <s v="BM"/>
  </r>
  <r>
    <s v="EA7557D"/>
    <s v="PL"/>
    <s v="PL"/>
    <x v="21"/>
    <s v="PN 30"/>
    <s v="PL"/>
  </r>
  <r>
    <s v="EA7558"/>
    <s v="CM"/>
    <s v="CM"/>
    <x v="18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ACTPETF"/>
  </r>
  <r>
    <s v="EA7567"/>
    <s v="BM"/>
    <s v="BM"/>
    <x v="1"/>
    <s v="LA 07"/>
    <s v="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BM"/>
    <s v="BM"/>
    <x v="1"/>
    <s v="OR 11"/>
    <s v="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BM"/>
    <s v="BM"/>
    <x v="1"/>
    <s v="TA 25"/>
    <s v="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PETS"/>
    <s v="SUABTBG"/>
    <x v="3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PL"/>
    <s v="PL"/>
    <x v="21"/>
    <s v="PN 30"/>
    <s v="PL"/>
  </r>
  <r>
    <s v="EA7898"/>
    <s v="CM"/>
    <s v="CM"/>
    <x v="18"/>
    <s v="PN 30"/>
    <s v="INACTPL"/>
  </r>
  <r>
    <s v="EA7899"/>
    <s v="CM"/>
    <s v="CM"/>
    <x v="18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PETS"/>
    <s v="SUABTBG"/>
    <x v="3"/>
    <s v="SWAB"/>
    <s v="ACTPETS"/>
  </r>
  <r>
    <s v="EA7933"/>
    <s v="CM"/>
    <s v="CM"/>
    <x v="18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8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3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2"/>
    <s v="INY"/>
    <s v="ACTINYA"/>
  </r>
  <r>
    <s v="EA8007"/>
    <s v="INYA"/>
    <s v="IAS"/>
    <x v="12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2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BM"/>
    <s v="BM"/>
    <x v="1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BM"/>
    <s v="BM"/>
    <x v="1"/>
    <s v="TA 28"/>
    <s v="BM"/>
  </r>
  <r>
    <s v="EA8049"/>
    <s v="INYA"/>
    <s v="IAS"/>
    <x v="12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1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BM"/>
    <s v="BM"/>
    <x v="1"/>
    <s v="BA 35"/>
    <s v="BM"/>
  </r>
  <r>
    <s v="EA8112D"/>
    <s v="CM"/>
    <s v="CM"/>
    <x v="11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BM"/>
    <s v="BM"/>
    <x v="1"/>
    <s v="PN 30"/>
    <s v="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BM"/>
    <s v="BM"/>
    <x v="1"/>
    <s v="PN 30"/>
    <s v="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BM"/>
    <s v="BM"/>
    <x v="1"/>
    <s v="TA 25"/>
    <s v="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BM"/>
    <s v="BM"/>
    <x v="1"/>
    <s v="OR 11"/>
    <s v="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BM"/>
    <s v="BM"/>
    <x v="1"/>
    <s v="TA 25"/>
    <s v="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BM"/>
    <s v="BM"/>
    <x v="1"/>
    <s v="PN 32"/>
    <s v="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CM"/>
    <s v="CM"/>
    <x v="9"/>
    <s v="TA 24"/>
    <s v="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BM"/>
  </r>
  <r>
    <s v="EA8282"/>
    <s v="BM"/>
    <s v="BM"/>
    <x v="1"/>
    <s v="PN 31"/>
    <s v="BM"/>
  </r>
  <r>
    <s v="EA8286"/>
    <s v="BM"/>
    <s v="BM"/>
    <x v="1"/>
    <s v="CE 10"/>
    <s v="BM"/>
  </r>
  <r>
    <s v="EA8288"/>
    <s v="PETS"/>
    <s v="SUABTBG"/>
    <x v="3"/>
    <s v="SWAB"/>
    <s v="ACTPETS"/>
  </r>
  <r>
    <s v="EA8291"/>
    <s v="CM"/>
    <s v="CM"/>
    <x v="9"/>
    <s v="TA 27"/>
    <s v="INACTBM"/>
  </r>
  <r>
    <s v="EA8293"/>
    <s v="BM"/>
    <s v="BM"/>
    <x v="1"/>
    <s v="TA 24"/>
    <s v="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2"/>
    <s v="INY"/>
    <s v="ACTINYA"/>
  </r>
  <r>
    <s v="EA8303"/>
    <s v="BM"/>
    <s v="BM"/>
    <x v="1"/>
    <s v="LA 08"/>
    <s v="BM"/>
  </r>
  <r>
    <s v="EA8304"/>
    <s v="INYA"/>
    <s v="IAS"/>
    <x v="12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BM"/>
    <s v="BM"/>
    <x v="1"/>
    <s v="CE 10"/>
    <s v="BM"/>
  </r>
  <r>
    <s v="EA8318"/>
    <s v="BM"/>
    <s v="BM"/>
    <x v="1"/>
    <s v="ZA 02"/>
    <s v="BM"/>
  </r>
  <r>
    <s v="EA8319"/>
    <s v="CM"/>
    <s v="CM"/>
    <x v="11"/>
    <s v="INY"/>
    <s v="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BM"/>
    <s v="BM"/>
    <x v="1"/>
    <s v="TA 24"/>
    <s v="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BM"/>
    <s v="BM"/>
    <x v="1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BM"/>
    <s v="BM"/>
    <x v="1"/>
    <s v="PN 33"/>
    <s v="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BM"/>
  </r>
  <r>
    <s v="EA8481"/>
    <s v="BM"/>
    <s v="BM"/>
    <x v="1"/>
    <s v="BA 34"/>
    <s v="BM"/>
  </r>
  <r>
    <s v="EA8482"/>
    <s v="BM"/>
    <s v="BM"/>
    <x v="1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BM"/>
    <s v="BM"/>
    <x v="1"/>
    <s v="PN 31"/>
    <s v="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INYA"/>
    <s v="IAS"/>
    <x v="12"/>
    <s v="INY"/>
    <s v="ACTINYA"/>
  </r>
  <r>
    <s v="EA8523"/>
    <s v="CM"/>
    <s v="CM"/>
    <x v="9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9"/>
    <s v="BA 34"/>
    <s v="INACTBM"/>
  </r>
  <r>
    <s v="EA8533"/>
    <s v="BM"/>
    <s v="BM"/>
    <x v="1"/>
    <s v="BA 35"/>
    <s v="BM"/>
  </r>
  <r>
    <s v="EA8534"/>
    <s v="BM"/>
    <s v="BM"/>
    <x v="1"/>
    <s v="BA 35"/>
    <s v="BM"/>
  </r>
  <r>
    <s v="EA8536"/>
    <s v="BM"/>
    <s v="BM"/>
    <x v="1"/>
    <s v="BA 35"/>
    <s v="BM"/>
  </r>
  <r>
    <s v="EA8537"/>
    <s v="BM"/>
    <s v="BM"/>
    <x v="1"/>
    <s v="BA 35"/>
    <s v="BM"/>
  </r>
  <r>
    <s v="EA8538"/>
    <s v="BM"/>
    <s v="BM"/>
    <x v="1"/>
    <s v="PN 31"/>
    <s v="BM"/>
  </r>
  <r>
    <s v="EA8542"/>
    <s v="BM"/>
    <s v="BM"/>
    <x v="1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BM"/>
    <s v="BM"/>
    <x v="1"/>
    <s v="TA 27"/>
    <s v="BM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BM"/>
    <s v="BM"/>
    <x v="1"/>
    <s v="BA 35"/>
    <s v="BM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BM"/>
    <s v="BM"/>
    <x v="1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PETS"/>
    <s v="SUABTBG"/>
    <x v="3"/>
    <s v="SWAB"/>
    <s v="INACTPETS"/>
  </r>
  <r>
    <s v="EA8576"/>
    <s v="BM"/>
    <s v="BM"/>
    <x v="1"/>
    <s v="TA 27"/>
    <s v="BM"/>
  </r>
  <r>
    <s v="EA8577"/>
    <s v="BM"/>
    <s v="BM"/>
    <x v="1"/>
    <s v="BA 35"/>
    <s v="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CM"/>
    <s v="CM"/>
    <x v="9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BM"/>
    <s v="BM"/>
    <x v="1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BM"/>
    <s v="BM"/>
    <x v="1"/>
    <s v="PN 31"/>
    <s v="BM"/>
  </r>
  <r>
    <s v="EA8624"/>
    <s v="BM"/>
    <s v="BM"/>
    <x v="1"/>
    <s v="BA 35"/>
    <s v="BM"/>
  </r>
  <r>
    <s v="EA8626"/>
    <s v="BM"/>
    <s v="BM"/>
    <x v="1"/>
    <s v="PN 32"/>
    <s v="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CM"/>
    <s v="CM"/>
    <x v="9"/>
    <s v="PN 33"/>
    <s v="INACT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BM"/>
    <s v="BM"/>
    <x v="1"/>
    <s v="OR 11"/>
    <s v="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BM"/>
    <s v="BM"/>
    <x v="1"/>
    <s v="PN 32"/>
    <s v="BM"/>
  </r>
  <r>
    <s v="EA8668"/>
    <s v="BM"/>
    <s v="BM"/>
    <x v="1"/>
    <s v="PN 30"/>
    <s v="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BM"/>
  </r>
  <r>
    <s v="EA8701"/>
    <s v="BM"/>
    <s v="BM"/>
    <x v="1"/>
    <s v="BA 34"/>
    <s v="BM"/>
  </r>
  <r>
    <s v="EA8703"/>
    <s v="BM"/>
    <s v="BM"/>
    <x v="1"/>
    <s v="OR 11"/>
    <s v="BM"/>
  </r>
  <r>
    <s v="EA8704"/>
    <s v="BM"/>
    <s v="BM"/>
    <x v="1"/>
    <s v="TA 25"/>
    <s v="BM"/>
  </r>
  <r>
    <s v="EA8706"/>
    <s v="CM"/>
    <s v="CM"/>
    <x v="9"/>
    <s v="BA 34"/>
    <s v="INACTBM"/>
  </r>
  <r>
    <s v="EA8707"/>
    <s v="BM"/>
    <s v="BM"/>
    <x v="1"/>
    <s v="BA 34"/>
    <s v="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BM"/>
    <s v="BM"/>
    <x v="1"/>
    <s v="BA 34"/>
    <s v="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BM"/>
    <s v="BM"/>
    <x v="1"/>
    <s v="BA 35"/>
    <s v="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BM"/>
    <s v="BM"/>
    <x v="1"/>
    <s v="BA 35"/>
    <s v="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BM"/>
    <s v="BM"/>
    <x v="1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BM"/>
    <s v="BM"/>
    <x v="1"/>
    <s v="BA 34"/>
    <s v="BM"/>
  </r>
  <r>
    <s v="EA8809"/>
    <s v="BM"/>
    <s v="BM"/>
    <x v="1"/>
    <s v="CE 10"/>
    <s v="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BM"/>
    <s v="BM"/>
    <x v="1"/>
    <s v="TA 27"/>
    <s v="BM"/>
  </r>
  <r>
    <s v="EA8826D"/>
    <s v="CM"/>
    <s v="CM"/>
    <x v="9"/>
    <s v="PN 31"/>
    <s v="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BM"/>
    <s v="BM"/>
    <x v="1"/>
    <s v="BA 34"/>
    <s v="BM"/>
  </r>
  <r>
    <s v="EA8866"/>
    <s v="BM"/>
    <s v="BM"/>
    <x v="1"/>
    <s v="BA 35"/>
    <s v="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BM"/>
  </r>
  <r>
    <s v="EA8886"/>
    <s v="BM"/>
    <s v="BM"/>
    <x v="1"/>
    <s v="BA 35"/>
    <s v="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BM"/>
    <s v="BM"/>
    <x v="1"/>
    <s v="PN 31"/>
    <s v="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BM"/>
    <s v="BM"/>
    <x v="1"/>
    <s v="TA 27"/>
    <s v="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BM"/>
    <s v="BM"/>
    <x v="1"/>
    <s v="BA 34"/>
    <s v="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BM"/>
    <s v="BM"/>
    <x v="1"/>
    <s v="PN 32"/>
    <s v="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BM"/>
    <s v="BM"/>
    <x v="1"/>
    <s v="PN 30"/>
    <s v="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PETF"/>
    <s v="SUABCSG"/>
    <x v="4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2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BM"/>
    <s v="BM"/>
    <x v="1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1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9"/>
    <s v="CE 10"/>
    <s v="INACTBCP"/>
  </r>
  <r>
    <s v="EA9037"/>
    <s v="ATA"/>
    <s v="CT"/>
    <x v="15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1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3"/>
    <s v="SWAB"/>
    <s v="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BM"/>
  </r>
  <r>
    <s v="EA9071"/>
    <s v="APA"/>
    <s v="A"/>
    <x v="5"/>
    <s v="ABAND."/>
    <s v="APA_PC"/>
  </r>
  <r>
    <s v="EA9072"/>
    <s v="ATA"/>
    <s v="CT"/>
    <x v="2"/>
    <s v="ATA"/>
    <s v="ATAPET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TAPET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PETF"/>
    <s v="SUABCSG"/>
    <x v="4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TA"/>
    <s v="CT"/>
    <x v="2"/>
    <s v="ATA"/>
    <s v="ATAPET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1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3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TA"/>
    <s v="CT"/>
    <x v="2"/>
    <s v="ATA"/>
    <s v="ATAPET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3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TA"/>
    <s v="CT"/>
    <x v="2"/>
    <s v="ATA"/>
    <s v="ATAPET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2"/>
    <s v="INY"/>
    <s v="ACTINYA"/>
  </r>
  <r>
    <s v="EA9409"/>
    <s v="CM"/>
    <s v="CM"/>
    <x v="13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13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2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TA"/>
    <s v="CT"/>
    <x v="2"/>
    <s v="ATA"/>
    <s v="ATAPET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TA"/>
    <s v="CT"/>
    <x v="2"/>
    <s v="ATA"/>
    <s v="ATAPET"/>
  </r>
  <r>
    <s v="EA9483"/>
    <s v="PETS"/>
    <s v="SUABTBG"/>
    <x v="3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3"/>
    <s v="SWAB"/>
    <s v="INACTPETS"/>
  </r>
  <r>
    <s v="EA9492"/>
    <s v="INYA"/>
    <s v="IAS"/>
    <x v="12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TA"/>
    <s v="CT"/>
    <x v="2"/>
    <s v="ATA"/>
    <s v="ATAPET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BM"/>
    <s v="BM"/>
    <x v="1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BM"/>
    <s v="BM"/>
    <x v="1"/>
    <s v="ZA 01"/>
    <s v="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1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CM"/>
    <s v="CM"/>
    <x v="13"/>
    <s v="SWAB"/>
    <s v="INACTPETS"/>
  </r>
  <r>
    <s v="EA9598"/>
    <s v="ATA"/>
    <s v="CT"/>
    <x v="2"/>
    <s v="ATA"/>
    <s v="ATAPET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CM"/>
    <s v="CM"/>
    <x v="7"/>
    <s v="SWAB"/>
    <s v="IN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BM"/>
    <s v="BM"/>
    <x v="1"/>
    <s v="OR 11"/>
    <s v="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3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3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3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3"/>
    <s v="SWAB"/>
    <s v="INACTPETS"/>
  </r>
  <r>
    <s v="EA9783"/>
    <s v="APA"/>
    <s v="A"/>
    <x v="5"/>
    <s v="ABAND."/>
    <s v="APA_PC"/>
  </r>
  <r>
    <s v="EA9784"/>
    <s v="CM"/>
    <s v="CM"/>
    <x v="7"/>
    <s v="SWAB"/>
    <s v="INACTPETF"/>
  </r>
  <r>
    <s v="EA9786"/>
    <s v="CM"/>
    <s v="CM"/>
    <x v="7"/>
    <s v="SWAB"/>
    <s v="IN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2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2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PETF"/>
    <s v="SUABCSG"/>
    <x v="4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PETF"/>
    <s v="SUABCSG"/>
    <x v="4"/>
    <s v="SWAB"/>
    <s v="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CM"/>
    <s v="CM"/>
    <x v="9"/>
    <s v="CE 10"/>
    <s v="BM"/>
  </r>
  <r>
    <s v="EA9888"/>
    <s v="BM"/>
    <s v="BM"/>
    <x v="1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INYA"/>
    <s v="IAS"/>
    <x v="12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IN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3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2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INYA"/>
    <s v="IAS"/>
    <x v="12"/>
    <s v="INY"/>
    <s v="ACTINYA"/>
  </r>
  <r>
    <s v="EA10113"/>
    <s v="PETF"/>
    <s v="SUABCSG"/>
    <x v="4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1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INYA"/>
    <s v="IAS"/>
    <x v="12"/>
    <s v="INY"/>
    <s v="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1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2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3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BM"/>
    <s v="BM"/>
    <x v="1"/>
    <s v="ZA 01"/>
    <s v="BM"/>
  </r>
  <r>
    <s v="EA10523"/>
    <s v="INYA"/>
    <s v="IAS"/>
    <x v="12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TA"/>
    <s v="CT"/>
    <x v="2"/>
    <s v="ATA"/>
    <s v="ATAPET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BM"/>
    <s v="BM"/>
    <x v="1"/>
    <s v="TA 24"/>
    <s v="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BM"/>
    <s v="BM"/>
    <x v="1"/>
    <s v="TA 27"/>
    <s v="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9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BM"/>
    <s v="BM"/>
    <x v="1"/>
    <s v="OR 11"/>
    <s v="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BM"/>
    <s v="BM"/>
    <x v="1"/>
    <s v="OR 11"/>
    <s v="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BM"/>
    <s v="BM"/>
    <x v="1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BM"/>
    <s v="BM"/>
    <x v="1"/>
    <s v="OR 11"/>
    <s v="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BM"/>
    <s v="BM"/>
    <x v="1"/>
    <s v="OR 11"/>
    <s v="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BM"/>
    <s v="BM"/>
    <x v="1"/>
    <s v="TA 25"/>
    <s v="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INACT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BM"/>
    <s v="BM"/>
    <x v="1"/>
    <s v="PN 33"/>
    <s v="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BM"/>
    <s v="BM"/>
    <x v="1"/>
    <s v="OR 11"/>
    <s v="BM"/>
  </r>
  <r>
    <s v="EA11128"/>
    <s v="CM"/>
    <s v="CM"/>
    <x v="13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BM"/>
    <s v="BM"/>
    <x v="1"/>
    <s v="TA 24"/>
    <s v="BM"/>
  </r>
  <r>
    <s v="EA11134D"/>
    <s v="BM"/>
    <s v="BM"/>
    <x v="1"/>
    <s v="TA 24"/>
    <s v="BM"/>
  </r>
  <r>
    <s v="EA11136"/>
    <s v="CM"/>
    <s v="CM"/>
    <x v="9"/>
    <s v="OR 11"/>
    <s v="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PETS"/>
    <s v="SUABTBG"/>
    <x v="3"/>
    <s v="SWAB"/>
    <s v="ACTPETS"/>
  </r>
  <r>
    <s v="EA11156"/>
    <s v="BM"/>
    <s v="BM"/>
    <x v="1"/>
    <s v="PN 31"/>
    <s v="BM"/>
  </r>
  <r>
    <s v="EA11157"/>
    <s v="BM"/>
    <s v="BM"/>
    <x v="1"/>
    <s v="TA 24"/>
    <s v="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BM"/>
    <s v="BM"/>
    <x v="1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BM"/>
    <s v="BM"/>
    <x v="1"/>
    <s v="BA 34"/>
    <s v="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BM"/>
    <s v="BM"/>
    <x v="1"/>
    <s v="BA 35"/>
    <s v="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BM"/>
    <s v="BM"/>
    <x v="1"/>
    <s v="BA 34"/>
    <s v="BM"/>
  </r>
  <r>
    <s v="EA11252"/>
    <s v="BM"/>
    <s v="BM"/>
    <x v="1"/>
    <s v="TA 24"/>
    <s v="BM"/>
  </r>
  <r>
    <s v="EA11253D"/>
    <s v="BM"/>
    <s v="BM"/>
    <x v="1"/>
    <s v="TA 24"/>
    <s v="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BM"/>
    <s v="BM"/>
    <x v="1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BM"/>
    <s v="BM"/>
    <x v="1"/>
    <s v="BA 34"/>
    <s v="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BM"/>
    <s v="BM"/>
    <x v="1"/>
    <s v="BA 34"/>
    <s v="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2"/>
    <s v="INY"/>
    <s v="ACTINYA"/>
  </r>
  <r>
    <s v="EA11368"/>
    <s v="INYA"/>
    <s v="IAS"/>
    <x v="12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1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BM"/>
    <s v="BM"/>
    <x v="1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CM"/>
    <s v="CM"/>
    <x v="9"/>
    <s v="BA 35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9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BM"/>
    <s v="BM"/>
    <x v="1"/>
    <s v="PN 32"/>
    <s v="BM"/>
  </r>
  <r>
    <s v="EA11667D"/>
    <s v="BM"/>
    <s v="BM"/>
    <x v="1"/>
    <s v="PN 32"/>
    <s v="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BM"/>
    <s v="BM"/>
    <x v="1"/>
    <s v="OR 12"/>
    <s v="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BM"/>
    <s v="BM"/>
    <x v="1"/>
    <s v="TA 24"/>
    <s v="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BM"/>
    <s v="BM"/>
    <x v="1"/>
    <s v="TA 24"/>
    <s v="BM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BM"/>
    <s v="BM"/>
    <x v="1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CM"/>
    <s v="CM"/>
    <x v="9"/>
    <s v="TA 24"/>
    <s v="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BM"/>
    <s v="BM"/>
    <x v="1"/>
    <s v="TA 28"/>
    <s v="BM"/>
  </r>
  <r>
    <s v="EA11879D"/>
    <s v="BM"/>
    <s v="BM"/>
    <x v="1"/>
    <s v="CE 10"/>
    <s v="BM"/>
  </r>
  <r>
    <s v="EA11881D"/>
    <s v="BM"/>
    <s v="BM"/>
    <x v="1"/>
    <s v="ZA 01"/>
    <s v="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BM"/>
    <s v="BM"/>
    <x v="1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CM"/>
    <s v="CM"/>
    <x v="9"/>
    <s v="TA 28"/>
    <s v="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BM"/>
    <s v="BM"/>
    <x v="1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BM"/>
    <s v="BM"/>
    <x v="1"/>
    <s v="PN 31"/>
    <s v="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PETS"/>
    <s v="SUABTBG"/>
    <x v="3"/>
    <s v="SWAB"/>
    <s v="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3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PETS"/>
    <s v="SUABTBG"/>
    <x v="3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3"/>
    <s v="SWAB"/>
    <s v="ACTPETS"/>
  </r>
  <r>
    <s v="PB170"/>
    <s v="APA"/>
    <s v="A"/>
    <x v="5"/>
    <s v="ABAND."/>
    <s v="APA_PC"/>
  </r>
  <r>
    <s v="PB171"/>
    <s v="APA"/>
    <s v="A"/>
    <x v="8"/>
    <s v="ABAND."/>
    <s v="ATAPET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CM"/>
    <s v="CM"/>
    <x v="13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CM"/>
    <s v="CM"/>
    <x v="13"/>
    <s v="SWAB"/>
    <s v="IN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3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TA"/>
    <s v="CT"/>
    <x v="2"/>
    <s v="ATA"/>
    <s v="ATAPET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BM"/>
    <s v="BM"/>
    <x v="1"/>
    <s v="OR 12"/>
    <s v="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CM"/>
    <s v="CM"/>
    <x v="7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INACTPETF"/>
  </r>
  <r>
    <s v="PB270"/>
    <s v="ATA"/>
    <s v="CT"/>
    <x v="2"/>
    <s v="ATA"/>
    <s v="ATAPET"/>
  </r>
  <r>
    <s v="PB271"/>
    <s v="CM"/>
    <s v="CM"/>
    <x v="9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IN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TA"/>
    <s v="CT"/>
    <x v="2"/>
    <s v="ATA"/>
    <s v="ATAPET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4"/>
    <s v="SWAB"/>
    <s v="IN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TAGAS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TAGAS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TAPET"/>
  </r>
  <r>
    <s v="PE161"/>
    <s v="BM"/>
    <s v="BM"/>
    <x v="1"/>
    <s v="CA 20"/>
    <s v="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TAGAS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TAPET"/>
  </r>
  <r>
    <s v="PE171"/>
    <s v="CM"/>
    <s v="CM"/>
    <x v="13"/>
    <s v="SWAB"/>
    <s v="INACTPETS"/>
  </r>
  <r>
    <s v="PE172"/>
    <s v="APA"/>
    <s v="A"/>
    <x v="8"/>
    <s v="ABAND."/>
    <s v="ATAPET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BM"/>
    <s v="BM"/>
    <x v="1"/>
    <s v="LA 09"/>
    <s v="BM"/>
  </r>
  <r>
    <s v="PT3"/>
    <s v="PETS"/>
    <s v="SUABTBG"/>
    <x v="3"/>
    <s v="SWAB"/>
    <s v="IN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TAPET"/>
  </r>
  <r>
    <s v="PT17"/>
    <s v="APA"/>
    <s v="A"/>
    <x v="8"/>
    <s v="ABAND."/>
    <s v="ATAPET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3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TAPET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4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4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4"/>
    <s v="SWAB"/>
    <s v="INACTPETS"/>
  </r>
  <r>
    <s v="AA1634"/>
    <s v="CM"/>
    <s v="CM"/>
    <x v="9"/>
    <s v="CA 23"/>
    <s v="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TA"/>
    <s v="CT"/>
    <x v="2"/>
    <s v="ATA"/>
    <s v="ATAPET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4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BM"/>
  </r>
  <r>
    <s v="AA1699"/>
    <s v="INYA"/>
    <s v="IAS"/>
    <x v="13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TAPET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TAPET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PA"/>
    <s v="A"/>
    <x v="8"/>
    <s v="ABAND."/>
    <s v="ATAPET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TA"/>
    <s v="CT"/>
    <x v="2"/>
    <s v="ATA"/>
    <s v="ATAPET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4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CM"/>
    <s v="CM"/>
    <x v="9"/>
    <s v="CA 22"/>
    <s v="INACTBM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4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3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TAPET"/>
  </r>
  <r>
    <s v="AA2019"/>
    <s v="CM"/>
    <s v="CM"/>
    <x v="12"/>
    <s v="INY"/>
    <s v="INACTINYA"/>
  </r>
  <r>
    <s v="AA2043"/>
    <s v="APA"/>
    <s v="A"/>
    <x v="8"/>
    <s v="ABAND."/>
    <s v="ATAINY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TAPET"/>
  </r>
  <r>
    <s v="AA2487"/>
    <s v="APA"/>
    <s v="A"/>
    <x v="8"/>
    <s v="ABAND."/>
    <s v="APA_CNPC"/>
  </r>
  <r>
    <s v="AA2497"/>
    <s v="APA"/>
    <s v="A"/>
    <x v="8"/>
    <s v="ABAND."/>
    <s v="ATAGAS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4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4"/>
    <s v="SWAB"/>
    <s v="INACTPETS"/>
  </r>
  <r>
    <s v="AA5710"/>
    <s v="APA"/>
    <s v="A"/>
    <x v="5"/>
    <s v="ABAND."/>
    <s v="APA_PC"/>
  </r>
  <r>
    <s v="AA5716"/>
    <s v="CM"/>
    <s v="CM"/>
    <x v="14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4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BM"/>
    <s v="BM"/>
    <x v="1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4"/>
    <s v="SWAB"/>
    <s v="INACTPETS"/>
  </r>
  <r>
    <s v="AA5862"/>
    <s v="BM"/>
    <s v="BM"/>
    <x v="1"/>
    <s v="CA 17"/>
    <s v="BM"/>
  </r>
  <r>
    <s v="AA5870"/>
    <s v="CM"/>
    <s v="CM"/>
    <x v="14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3"/>
    <s v="INY"/>
    <s v="ACTINYA"/>
  </r>
  <r>
    <s v="AA5926"/>
    <s v="CM"/>
    <s v="CM"/>
    <x v="7"/>
    <s v="SWAB"/>
    <s v="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INACTPETF"/>
  </r>
  <r>
    <s v="AA6000"/>
    <s v="APA"/>
    <s v="A"/>
    <x v="8"/>
    <s v="ABAND."/>
    <s v="APA_CNPC"/>
  </r>
  <r>
    <s v="AA6003"/>
    <s v="INYA"/>
    <s v="IAS"/>
    <x v="13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1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TAPET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3"/>
    <s v="INY"/>
    <s v="ACTINYA"/>
  </r>
  <r>
    <s v="AA6117"/>
    <s v="PETF"/>
    <s v="SUABCSG"/>
    <x v="4"/>
    <s v="SWAB"/>
    <s v="ACTPETF"/>
  </r>
  <r>
    <s v="AA6121"/>
    <s v="INYA"/>
    <s v="IAS"/>
    <x v="13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3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4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BM"/>
    <s v="BM"/>
    <x v="1"/>
    <s v="CA 20"/>
    <s v="BM"/>
  </r>
  <r>
    <s v="AA6328"/>
    <s v="CM"/>
    <s v="CM"/>
    <x v="9"/>
    <s v="CA 21"/>
    <s v="BM"/>
  </r>
  <r>
    <s v="AA6331"/>
    <s v="INYA"/>
    <s v="IAS"/>
    <x v="13"/>
    <s v="INY"/>
    <s v="ACTINYA"/>
  </r>
  <r>
    <s v="AA6338"/>
    <s v="CM"/>
    <s v="CM"/>
    <x v="7"/>
    <s v="SWAB"/>
    <s v="INACTPETF"/>
  </r>
  <r>
    <s v="AA6342"/>
    <s v="PETS"/>
    <s v="SUABTBG"/>
    <x v="3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4"/>
    <s v="SWAB"/>
    <s v="INACTPETS"/>
  </r>
  <r>
    <s v="AA6354"/>
    <s v="BM"/>
    <s v="BM"/>
    <x v="1"/>
    <s v="CA 20"/>
    <s v="BM"/>
  </r>
  <r>
    <s v="AA6359"/>
    <s v="CM"/>
    <s v="CM"/>
    <x v="14"/>
    <s v="SWAB"/>
    <s v="ACTPETS"/>
  </r>
  <r>
    <s v="AA6363"/>
    <s v="BM"/>
    <s v="BM"/>
    <x v="1"/>
    <s v="CA 20"/>
    <s v="BM"/>
  </r>
  <r>
    <s v="AA6367"/>
    <s v="INYA"/>
    <s v="IAS"/>
    <x v="13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4"/>
    <s v="SWAB"/>
    <s v="INACTPETS"/>
  </r>
  <r>
    <s v="AA6372"/>
    <s v="CM"/>
    <s v="CM"/>
    <x v="14"/>
    <s v="SWAB"/>
    <s v="INACTPETS"/>
  </r>
  <r>
    <s v="AA6373"/>
    <s v="ATA"/>
    <s v="CT"/>
    <x v="2"/>
    <s v="ATA"/>
    <s v="ATAPET"/>
  </r>
  <r>
    <s v="AA6376"/>
    <s v="INYA"/>
    <s v="IAS"/>
    <x v="13"/>
    <s v="INY"/>
    <s v="ACTINYA"/>
  </r>
  <r>
    <s v="AA6377"/>
    <s v="APA"/>
    <s v="A"/>
    <x v="8"/>
    <s v="ABAND."/>
    <s v="ATAGAS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TA"/>
    <s v="CT"/>
    <x v="2"/>
    <s v="ATA"/>
    <s v="ATAPET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4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3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3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BM"/>
  </r>
  <r>
    <s v="AA6762"/>
    <s v="CM"/>
    <s v="CM"/>
    <x v="14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BM"/>
    <s v="BM"/>
    <x v="1"/>
    <s v="CA 21"/>
    <s v="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4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BM"/>
  </r>
  <r>
    <s v="AA7487"/>
    <s v="BM"/>
    <s v="BM"/>
    <x v="1"/>
    <s v="CA 16"/>
    <s v="BM"/>
  </r>
  <r>
    <s v="AA7488"/>
    <s v="CM"/>
    <s v="CM"/>
    <x v="9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BM"/>
    <s v="BM"/>
    <x v="1"/>
    <s v="CA 22"/>
    <s v="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BM"/>
    <s v="BM"/>
    <x v="1"/>
    <s v="CA 21"/>
    <s v="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INYA"/>
    <s v="IAS"/>
    <x v="13"/>
    <s v="INY"/>
    <s v="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TA"/>
    <s v="CT"/>
    <x v="2"/>
    <s v="ATA"/>
    <s v="ATAPET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INYA"/>
    <s v="IAS"/>
    <x v="13"/>
    <s v="INY"/>
    <s v="ACTINYA"/>
  </r>
  <r>
    <s v="AA9159"/>
    <s v="BM"/>
    <s v="BM"/>
    <x v="1"/>
    <s v="CA 22"/>
    <s v="BM"/>
  </r>
  <r>
    <s v="AA9161"/>
    <s v="BCP"/>
    <s v="CP"/>
    <x v="11"/>
    <s v="CA 22"/>
    <s v="BCP"/>
  </r>
  <r>
    <s v="AA9162"/>
    <s v="CM"/>
    <s v="CM"/>
    <x v="12"/>
    <s v="INY"/>
    <s v="INACTINYA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TA"/>
    <s v="CT"/>
    <x v="2"/>
    <s v="ATA"/>
    <s v="ATAPET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TAPET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BM"/>
    <s v="BM"/>
    <x v="1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TAPET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CM"/>
    <s v="CM"/>
    <x v="9"/>
    <s v="CA 23"/>
    <s v="INACTBM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TAINY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TA"/>
    <s v="CT"/>
    <x v="2"/>
    <s v="ATA"/>
    <s v="ATAPET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3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CM"/>
    <s v="CM"/>
    <x v="12"/>
    <s v="INY"/>
    <s v="INACTINYA"/>
  </r>
  <r>
    <s v="AA9974"/>
    <s v="APA"/>
    <s v="A"/>
    <x v="5"/>
    <s v="ABAND."/>
    <s v="APA_PC"/>
  </r>
  <r>
    <s v="AA9976"/>
    <s v="INYA"/>
    <s v="IAS"/>
    <x v="13"/>
    <s v="INY"/>
    <s v="ACTINYA"/>
  </r>
  <r>
    <s v="AA9977"/>
    <s v="APA"/>
    <s v="A"/>
    <x v="5"/>
    <s v="ABAND."/>
    <s v="APA_PC"/>
  </r>
  <r>
    <s v="AA9978"/>
    <s v="ATA"/>
    <s v="CT"/>
    <x v="2"/>
    <s v="ATA"/>
    <s v="ATAPET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BO"/>
    <s v="BO"/>
    <x v="17"/>
    <s v="CA 22"/>
    <s v="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INACTINYA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PETF"/>
    <s v="SUABCSG"/>
    <x v="4"/>
    <s v="SWAB"/>
    <s v="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3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BM"/>
    <s v="BM"/>
    <x v="1"/>
    <s v="CA 17"/>
    <s v="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CM"/>
    <s v="CM"/>
    <x v="9"/>
    <s v="CA 21"/>
    <s v="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9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BM"/>
    <s v="BM"/>
    <x v="1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BM"/>
    <s v="BM"/>
    <x v="1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BM"/>
    <s v="BM"/>
    <x v="1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BM"/>
    <s v="BM"/>
    <x v="1"/>
    <s v="CA 20"/>
    <s v="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BM"/>
    <s v="BM"/>
    <x v="1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TA"/>
    <s v="CT"/>
    <x v="16"/>
    <s v="ATA"/>
    <s v="ATAGAS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TA"/>
    <s v="CT"/>
    <x v="2"/>
    <s v="ATA"/>
    <s v="ATAPET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4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4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4"/>
    <s v="SWAB"/>
    <s v="INACTPETS"/>
  </r>
  <r>
    <s v="EA107"/>
    <s v="APA"/>
    <s v="A"/>
    <x v="5"/>
    <s v="ABAND."/>
    <s v="APA_PC"/>
  </r>
  <r>
    <s v="EA108"/>
    <s v="PETS"/>
    <s v="SUABTBG"/>
    <x v="3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CM"/>
    <s v="CM"/>
    <x v="14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TA"/>
    <s v="CT"/>
    <x v="2"/>
    <s v="ATA"/>
    <s v="ATAPET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4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14"/>
    <s v="SWAB"/>
    <s v="IN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4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4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4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TA"/>
    <s v="CT"/>
    <x v="2"/>
    <s v="ATA"/>
    <s v="ATAPET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4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4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4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4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4"/>
    <s v="SWAB"/>
    <s v="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4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4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4"/>
    <s v="SWAB"/>
    <s v="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4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PETS"/>
    <s v="SUABTBG"/>
    <x v="3"/>
    <s v="SWAB"/>
    <s v="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4"/>
    <s v="SWAB"/>
    <s v="INACTPETS"/>
  </r>
  <r>
    <s v="EA696"/>
    <s v="CM"/>
    <s v="CM"/>
    <x v="14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4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TA"/>
    <s v="CT"/>
    <x v="2"/>
    <s v="ATA"/>
    <s v="ATAPET"/>
  </r>
  <r>
    <s v="EA740"/>
    <s v="PETS"/>
    <s v="SUABTBG"/>
    <x v="3"/>
    <s v="SWAB"/>
    <s v="ACTPETS"/>
  </r>
  <r>
    <s v="EA741"/>
    <s v="CM"/>
    <s v="CM"/>
    <x v="14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TA"/>
    <s v="CT"/>
    <x v="2"/>
    <s v="ATA"/>
    <s v="ATAPET"/>
  </r>
  <r>
    <s v="EA771"/>
    <s v="CM"/>
    <s v="CM"/>
    <x v="14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4"/>
    <s v="SWAB"/>
    <s v="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4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4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4"/>
    <s v="SWAB"/>
    <s v="INACTPETS"/>
  </r>
  <r>
    <s v="EA975"/>
    <s v="CM"/>
    <s v="CM"/>
    <x v="9"/>
    <s v="OR 12"/>
    <s v="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4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PETF"/>
    <s v="SUABCSG"/>
    <x v="4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CM"/>
    <s v="CM"/>
    <x v="9"/>
    <s v="ZA 01"/>
    <s v="INACTBM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4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1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CM"/>
    <s v="CM"/>
    <x v="14"/>
    <s v="SWAB"/>
    <s v="IN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BM"/>
    <s v="BM"/>
    <x v="1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4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TAPET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TA"/>
    <s v="CT"/>
    <x v="2"/>
    <s v="ATA"/>
    <s v="ATAPET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4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3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PETF"/>
    <s v="SUABCSG"/>
    <x v="4"/>
    <s v="SWAB"/>
    <s v="IN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PETS"/>
    <s v="SUABTBG"/>
    <x v="3"/>
    <s v="SWAB"/>
    <s v="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CM"/>
    <s v="CM"/>
    <x v="7"/>
    <s v="SWAB"/>
    <s v="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7"/>
    <s v="SWAB"/>
    <s v="INACTPETF"/>
  </r>
  <r>
    <s v="EA1303"/>
    <s v="CM"/>
    <s v="CM"/>
    <x v="7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CM"/>
    <s v="CM"/>
    <x v="9"/>
    <s v="OR 12"/>
    <s v="BM"/>
  </r>
  <r>
    <s v="EA1346"/>
    <s v="DPA"/>
    <s v="SECO"/>
    <x v="0"/>
    <s v="ABAND."/>
    <s v="DPAPET"/>
  </r>
  <r>
    <s v="EA1348"/>
    <s v="APA"/>
    <s v="A"/>
    <x v="8"/>
    <s v="ABAND."/>
    <s v="ATAPET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TAPET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4"/>
    <s v="SWAB"/>
    <s v="INACTPETS"/>
  </r>
  <r>
    <s v="EA1507"/>
    <s v="APA"/>
    <s v="A"/>
    <x v="5"/>
    <s v="ABAND."/>
    <s v="APA_PC"/>
  </r>
  <r>
    <s v="EA1508"/>
    <s v="CM"/>
    <s v="CM"/>
    <x v="14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4"/>
    <s v="SWAB"/>
    <s v="INACTPETS"/>
  </r>
  <r>
    <s v="EA1512"/>
    <s v="PETS"/>
    <s v="SUABTBG"/>
    <x v="3"/>
    <s v="SWAB"/>
    <s v="ACTPETS"/>
  </r>
  <r>
    <s v="EA1513"/>
    <s v="CM"/>
    <s v="CM"/>
    <x v="14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TA"/>
    <s v="CT"/>
    <x v="2"/>
    <s v="ATA"/>
    <s v="ATAPET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BM"/>
  </r>
  <r>
    <s v="EA1538"/>
    <s v="BM"/>
    <s v="BM"/>
    <x v="1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IN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4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BM"/>
    <s v="BM"/>
    <x v="1"/>
    <s v="TA 25"/>
    <s v="BM"/>
  </r>
  <r>
    <s v="EA1588"/>
    <s v="BM"/>
    <s v="BM"/>
    <x v="1"/>
    <s v="TA 25"/>
    <s v="BM"/>
  </r>
  <r>
    <s v="EA1589"/>
    <s v="CM"/>
    <s v="CM"/>
    <x v="14"/>
    <s v="SWAB"/>
    <s v="IN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INACTPETF"/>
  </r>
  <r>
    <s v="EA1611"/>
    <s v="CM"/>
    <s v="CM"/>
    <x v="14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9"/>
    <s v="TA 24"/>
    <s v="INACTBM"/>
  </r>
  <r>
    <s v="EA1626"/>
    <s v="CM"/>
    <s v="CM"/>
    <x v="9"/>
    <s v="PN 33"/>
    <s v="BM"/>
  </r>
  <r>
    <s v="EA1627"/>
    <s v="PL"/>
    <s v="PL"/>
    <x v="21"/>
    <s v="PN 31"/>
    <s v="PL"/>
  </r>
  <r>
    <s v="EA1628"/>
    <s v="BM"/>
    <s v="BM"/>
    <x v="1"/>
    <s v="TA 24"/>
    <s v="BM"/>
  </r>
  <r>
    <s v="EA1630"/>
    <s v="CM"/>
    <s v="CM"/>
    <x v="14"/>
    <s v="SWAB"/>
    <s v="INACTPETS"/>
  </r>
  <r>
    <s v="EA1636"/>
    <s v="APA"/>
    <s v="A"/>
    <x v="5"/>
    <s v="ABAND."/>
    <s v="APA_PC"/>
  </r>
  <r>
    <s v="EA1637"/>
    <s v="BM"/>
    <s v="BM"/>
    <x v="1"/>
    <s v="PN 33"/>
    <s v="BM"/>
  </r>
  <r>
    <s v="EA1640"/>
    <s v="APA"/>
    <s v="A"/>
    <x v="5"/>
    <s v="ABAND."/>
    <s v="APA_PC"/>
  </r>
  <r>
    <s v="EA1646"/>
    <s v="CM"/>
    <s v="CM"/>
    <x v="9"/>
    <s v="BA 34"/>
    <s v="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BM"/>
    <s v="BM"/>
    <x v="1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BM"/>
  </r>
  <r>
    <s v="EA1715"/>
    <s v="APA"/>
    <s v="A"/>
    <x v="8"/>
    <s v="ABAND."/>
    <s v="ATAPET"/>
  </r>
  <r>
    <s v="EA1717"/>
    <s v="CM"/>
    <s v="CM"/>
    <x v="14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PETS"/>
    <s v="SUABTBG"/>
    <x v="3"/>
    <s v="SWAB"/>
    <s v="INACTPETS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TAPET"/>
  </r>
  <r>
    <s v="EA1857"/>
    <s v="BM"/>
    <s v="BM"/>
    <x v="1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BM"/>
    <s v="BM"/>
    <x v="1"/>
    <s v="TA 28"/>
    <s v="BM"/>
  </r>
  <r>
    <s v="EA1861"/>
    <s v="BM"/>
    <s v="BM"/>
    <x v="1"/>
    <s v="OR 11"/>
    <s v="BM"/>
  </r>
  <r>
    <s v="EA1865"/>
    <s v="BM"/>
    <s v="BM"/>
    <x v="1"/>
    <s v="TA 28"/>
    <s v="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2"/>
    <s v="PN 30"/>
    <s v="GL"/>
  </r>
  <r>
    <s v="EA1875"/>
    <s v="INYA"/>
    <s v="IAS"/>
    <x v="13"/>
    <s v="INY"/>
    <s v="ACTINYA"/>
  </r>
  <r>
    <s v="EA1877"/>
    <s v="PL"/>
    <s v="PL"/>
    <x v="21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PETF"/>
    <s v="SUABCSG"/>
    <x v="4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TA"/>
    <s v="CT"/>
    <x v="2"/>
    <s v="ATA"/>
    <s v="ATAPET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4"/>
    <s v="SWAB"/>
    <s v="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3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BM"/>
    <s v="BM"/>
    <x v="1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CM"/>
    <s v="CM"/>
    <x v="14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3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3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PL"/>
    <s v="PL"/>
    <x v="21"/>
    <s v="PN 30"/>
    <s v="PL"/>
  </r>
  <r>
    <s v="EA2233P"/>
    <s v="ATA"/>
    <s v="CT"/>
    <x v="2"/>
    <s v="ATA"/>
    <s v="ATAPET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INACTBM"/>
  </r>
  <r>
    <s v="EA2243"/>
    <s v="BM"/>
    <s v="BM"/>
    <x v="1"/>
    <s v="OR 11"/>
    <s v="BM"/>
  </r>
  <r>
    <s v="EA2249"/>
    <s v="CM"/>
    <s v="CM"/>
    <x v="7"/>
    <s v="SWAB"/>
    <s v="INACTPETF"/>
  </r>
  <r>
    <s v="EA2254"/>
    <s v="CM"/>
    <s v="CM"/>
    <x v="14"/>
    <s v="SWAB"/>
    <s v="INACTPETS"/>
  </r>
  <r>
    <s v="EA2256"/>
    <s v="CM"/>
    <s v="CM"/>
    <x v="14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3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3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3"/>
    <s v="INY"/>
    <s v="ACTINYA"/>
  </r>
  <r>
    <s v="EA2304"/>
    <s v="CM"/>
    <s v="CM"/>
    <x v="7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4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3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3"/>
    <s v="INY"/>
    <s v="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4"/>
    <s v="SWAB"/>
    <s v="INACTPETS"/>
  </r>
  <r>
    <s v="EA2363"/>
    <s v="CM"/>
    <s v="CM"/>
    <x v="7"/>
    <s v="SWAB"/>
    <s v="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BM"/>
    <s v="BM"/>
    <x v="1"/>
    <s v="LA 06"/>
    <s v="BM"/>
  </r>
  <r>
    <s v="EA2379"/>
    <s v="BM"/>
    <s v="BM"/>
    <x v="1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4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4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4"/>
    <s v="SWAB"/>
    <s v="INACTPETS"/>
  </r>
  <r>
    <s v="EA2408"/>
    <s v="CM"/>
    <s v="CM"/>
    <x v="7"/>
    <s v="SWAB"/>
    <s v="IN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TAPET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INACT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IN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4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CM"/>
    <s v="CM"/>
    <x v="7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4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BM"/>
    <s v="BM"/>
    <x v="1"/>
    <s v="PN 31"/>
    <s v="BM"/>
  </r>
  <r>
    <s v="EA5637"/>
    <s v="CM"/>
    <s v="CM"/>
    <x v="14"/>
    <s v="SWAB"/>
    <s v="INACTPETS"/>
  </r>
  <r>
    <s v="EA5638"/>
    <s v="DPA"/>
    <s v="SECO"/>
    <x v="0"/>
    <s v="ABAND."/>
    <s v="DPAPET"/>
  </r>
  <r>
    <s v="EA5639"/>
    <s v="CM"/>
    <s v="CM"/>
    <x v="9"/>
    <s v="OR 11"/>
    <s v="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BM"/>
    <s v="BM"/>
    <x v="1"/>
    <s v="PN 32"/>
    <s v="BM"/>
  </r>
  <r>
    <s v="EA5655"/>
    <s v="BM"/>
    <s v="BM"/>
    <x v="1"/>
    <s v="ZA 03"/>
    <s v="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BM"/>
  </r>
  <r>
    <s v="EA5682D"/>
    <s v="CM"/>
    <s v="CM"/>
    <x v="14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4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BM"/>
    <s v="BM"/>
    <x v="1"/>
    <s v="BA 34"/>
    <s v="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4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4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4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BM"/>
    <s v="BM"/>
    <x v="1"/>
    <s v="OR 12"/>
    <s v="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1"/>
    <s v="PN 30"/>
    <s v="PL"/>
  </r>
  <r>
    <s v="EA5817"/>
    <s v="CM"/>
    <s v="CM"/>
    <x v="9"/>
    <s v="TA 28"/>
    <s v="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INACTPETF"/>
  </r>
  <r>
    <s v="EA5857"/>
    <s v="INYA"/>
    <s v="IAS"/>
    <x v="13"/>
    <s v="INY"/>
    <s v="ACTINYA"/>
  </r>
  <r>
    <s v="EA5859"/>
    <s v="BM"/>
    <s v="BM"/>
    <x v="1"/>
    <s v="ZA 02"/>
    <s v="BM"/>
  </r>
  <r>
    <s v="EA5860"/>
    <s v="CM"/>
    <s v="CM"/>
    <x v="9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4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4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PETS"/>
    <s v="SUABTBG"/>
    <x v="3"/>
    <s v="SWAB"/>
    <s v="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PETS"/>
    <s v="SUABTBG"/>
    <x v="3"/>
    <s v="SWAB"/>
    <s v="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4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1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TAPET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4"/>
    <s v="SWAB"/>
    <s v="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INACTGL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CM"/>
    <s v="CM"/>
    <x v="14"/>
    <s v="SWAB"/>
    <s v="IN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4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BM"/>
    <s v="BM"/>
    <x v="1"/>
    <s v="ZA 04"/>
    <s v="BM"/>
  </r>
  <r>
    <s v="EA6149"/>
    <s v="BM"/>
    <s v="BM"/>
    <x v="1"/>
    <s v="LA 06"/>
    <s v="BM"/>
  </r>
  <r>
    <s v="EA6151"/>
    <s v="CM"/>
    <s v="CM"/>
    <x v="9"/>
    <s v="OR 11"/>
    <s v="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CM"/>
    <s v="CM"/>
    <x v="14"/>
    <s v="SWAB"/>
    <s v="IN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TAPET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BM"/>
    <s v="BM"/>
    <x v="1"/>
    <s v="ZA 04"/>
    <s v="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4"/>
    <s v="SWAB"/>
    <s v="INACTPETS"/>
  </r>
  <r>
    <s v="EA6238"/>
    <s v="BM"/>
    <s v="BM"/>
    <x v="1"/>
    <s v="PN 33"/>
    <s v="INACT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BM"/>
    <s v="BM"/>
    <x v="1"/>
    <s v="LA 06"/>
    <s v="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CM"/>
    <s v="CM"/>
    <x v="14"/>
    <s v="SWAB"/>
    <s v="ACTPETS"/>
  </r>
  <r>
    <s v="EA6278"/>
    <s v="CM"/>
    <s v="CM"/>
    <x v="14"/>
    <s v="SWAB"/>
    <s v="INACTPETS"/>
  </r>
  <r>
    <s v="EA6279"/>
    <s v="CM"/>
    <s v="CM"/>
    <x v="7"/>
    <s v="SWAB"/>
    <s v="IN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BM"/>
    <s v="BM"/>
    <x v="1"/>
    <s v="OR 12"/>
    <s v="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ACTPETF"/>
  </r>
  <r>
    <s v="EA6351"/>
    <s v="CM"/>
    <s v="CM"/>
    <x v="9"/>
    <s v="TA 24"/>
    <s v="INACTBM"/>
  </r>
  <r>
    <s v="EA6352"/>
    <s v="BM"/>
    <s v="BM"/>
    <x v="1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BM"/>
    <s v="BM"/>
    <x v="1"/>
    <s v="TA 25"/>
    <s v="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INACTPL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TAPET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INACT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BM"/>
    <s v="BM"/>
    <x v="1"/>
    <s v="TA 25"/>
    <s v="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BM"/>
    <s v="BM"/>
    <x v="1"/>
    <s v="TA 25"/>
    <s v="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PETF"/>
    <s v="SUABCSG"/>
    <x v="4"/>
    <s v="SWAB"/>
    <s v="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BM"/>
    <s v="BM"/>
    <x v="1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CM"/>
    <s v="CM"/>
    <x v="14"/>
    <s v="SWAB"/>
    <s v="ACTPETS"/>
  </r>
  <r>
    <s v="EA6854"/>
    <s v="CM"/>
    <s v="CM"/>
    <x v="14"/>
    <s v="SWAB"/>
    <s v="IN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4"/>
    <s v="SWAB"/>
    <s v="INACTPETS"/>
  </r>
  <r>
    <s v="EA6919"/>
    <s v="BM"/>
    <s v="BM"/>
    <x v="1"/>
    <s v="OR 11"/>
    <s v="BM"/>
  </r>
  <r>
    <s v="EA6931"/>
    <s v="BM"/>
    <s v="BM"/>
    <x v="1"/>
    <s v="TA 24"/>
    <s v="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4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3"/>
    <s v="INY"/>
    <s v="IN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3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CM"/>
    <s v="CM"/>
    <x v="7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INACT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CM"/>
    <s v="CM"/>
    <x v="7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4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BM"/>
  </r>
  <r>
    <s v="EA7226"/>
    <s v="BM"/>
    <s v="BM"/>
    <x v="1"/>
    <s v="BA 34"/>
    <s v="BM"/>
  </r>
  <r>
    <s v="EA7227"/>
    <s v="BM"/>
    <s v="BM"/>
    <x v="1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CM"/>
    <s v="CM"/>
    <x v="9"/>
    <s v="PN 31"/>
    <s v="INACTBM"/>
  </r>
  <r>
    <s v="EA7256"/>
    <s v="BM"/>
    <s v="BM"/>
    <x v="1"/>
    <s v="BA 34"/>
    <s v="BM"/>
  </r>
  <r>
    <s v="EA7261"/>
    <s v="PETS"/>
    <s v="SUABTBG"/>
    <x v="3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TA"/>
    <s v="CT"/>
    <x v="2"/>
    <s v="ATA"/>
    <s v="ATAPET"/>
  </r>
  <r>
    <s v="EA7301"/>
    <s v="CM"/>
    <s v="CM"/>
    <x v="9"/>
    <s v="BA 34"/>
    <s v="INACT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BM"/>
    <s v="BM"/>
    <x v="1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CM"/>
    <s v="CM"/>
    <x v="9"/>
    <s v="PN 33"/>
    <s v="BM"/>
  </r>
  <r>
    <s v="EA7437"/>
    <s v="BM"/>
    <s v="BM"/>
    <x v="1"/>
    <s v="OR 11"/>
    <s v="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PETF"/>
    <s v="SUABCSG"/>
    <x v="4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1"/>
    <s v="PN 30"/>
    <s v="PL"/>
  </r>
  <r>
    <s v="EA7558"/>
    <s v="CM"/>
    <s v="CM"/>
    <x v="19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ACTPETF"/>
  </r>
  <r>
    <s v="EA7567"/>
    <s v="BM"/>
    <s v="BM"/>
    <x v="1"/>
    <s v="LA 07"/>
    <s v="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BM"/>
    <s v="BM"/>
    <x v="1"/>
    <s v="OR 11"/>
    <s v="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4"/>
    <s v="SWAB"/>
    <s v="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PL"/>
    <s v="PL"/>
    <x v="21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4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3"/>
    <s v="INY"/>
    <s v="ACTINYA"/>
  </r>
  <r>
    <s v="EA8007"/>
    <s v="INYA"/>
    <s v="IAS"/>
    <x v="13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3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BM"/>
    <s v="BM"/>
    <x v="1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BM"/>
    <s v="BM"/>
    <x v="1"/>
    <s v="TA 28"/>
    <s v="BM"/>
  </r>
  <r>
    <s v="EA8049"/>
    <s v="INYA"/>
    <s v="IAS"/>
    <x v="13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BM"/>
    <s v="BM"/>
    <x v="1"/>
    <s v="BA 35"/>
    <s v="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BM"/>
    <s v="BM"/>
    <x v="1"/>
    <s v="PN 30"/>
    <s v="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BM"/>
    <s v="BM"/>
    <x v="1"/>
    <s v="PN 30"/>
    <s v="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BM"/>
    <s v="BM"/>
    <x v="1"/>
    <s v="TA 25"/>
    <s v="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BM"/>
    <s v="BM"/>
    <x v="1"/>
    <s v="OR 11"/>
    <s v="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BM"/>
    <s v="BM"/>
    <x v="1"/>
    <s v="PN 32"/>
    <s v="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BM"/>
  </r>
  <r>
    <s v="EA8282"/>
    <s v="BM"/>
    <s v="BM"/>
    <x v="1"/>
    <s v="PN 31"/>
    <s v="BM"/>
  </r>
  <r>
    <s v="EA8286"/>
    <s v="BM"/>
    <s v="BM"/>
    <x v="1"/>
    <s v="CE 10"/>
    <s v="BM"/>
  </r>
  <r>
    <s v="EA8288"/>
    <s v="PETS"/>
    <s v="SUABTBG"/>
    <x v="3"/>
    <s v="SWAB"/>
    <s v="ACTPETS"/>
  </r>
  <r>
    <s v="EA8291"/>
    <s v="CM"/>
    <s v="CM"/>
    <x v="9"/>
    <s v="TA 27"/>
    <s v="INACTBM"/>
  </r>
  <r>
    <s v="EA8293"/>
    <s v="BM"/>
    <s v="BM"/>
    <x v="1"/>
    <s v="TA 24"/>
    <s v="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3"/>
    <s v="INY"/>
    <s v="ACTINYA"/>
  </r>
  <r>
    <s v="EA8303"/>
    <s v="BM"/>
    <s v="BM"/>
    <x v="1"/>
    <s v="LA 08"/>
    <s v="BM"/>
  </r>
  <r>
    <s v="EA8304"/>
    <s v="INYA"/>
    <s v="IAS"/>
    <x v="13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BM"/>
    <s v="BM"/>
    <x v="1"/>
    <s v="TA 24"/>
    <s v="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BM"/>
    <s v="BM"/>
    <x v="1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BM"/>
  </r>
  <r>
    <s v="EA8481"/>
    <s v="BM"/>
    <s v="BM"/>
    <x v="1"/>
    <s v="BA 34"/>
    <s v="BM"/>
  </r>
  <r>
    <s v="EA8482"/>
    <s v="BM"/>
    <s v="BM"/>
    <x v="1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2"/>
    <s v="INY"/>
    <s v="ACTINYA"/>
  </r>
  <r>
    <s v="EA8523"/>
    <s v="CM"/>
    <s v="CM"/>
    <x v="9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9"/>
    <s v="BA 34"/>
    <s v="INACTBM"/>
  </r>
  <r>
    <s v="EA8533"/>
    <s v="BM"/>
    <s v="BM"/>
    <x v="1"/>
    <s v="BA 35"/>
    <s v="BM"/>
  </r>
  <r>
    <s v="EA8534"/>
    <s v="BM"/>
    <s v="BM"/>
    <x v="1"/>
    <s v="BA 35"/>
    <s v="BM"/>
  </r>
  <r>
    <s v="EA8536"/>
    <s v="BM"/>
    <s v="BM"/>
    <x v="1"/>
    <s v="BA 35"/>
    <s v="BM"/>
  </r>
  <r>
    <s v="EA8537"/>
    <s v="BM"/>
    <s v="BM"/>
    <x v="1"/>
    <s v="BA 35"/>
    <s v="BM"/>
  </r>
  <r>
    <s v="EA8538"/>
    <s v="BM"/>
    <s v="BM"/>
    <x v="1"/>
    <s v="PN 31"/>
    <s v="BM"/>
  </r>
  <r>
    <s v="EA8542"/>
    <s v="BM"/>
    <s v="BM"/>
    <x v="1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BM"/>
    <s v="BM"/>
    <x v="1"/>
    <s v="TA 27"/>
    <s v="BM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BM"/>
    <s v="BM"/>
    <x v="1"/>
    <s v="BA 35"/>
    <s v="BM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BM"/>
    <s v="BM"/>
    <x v="1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4"/>
    <s v="SWAB"/>
    <s v="ACTPETS"/>
  </r>
  <r>
    <s v="EA8576"/>
    <s v="BM"/>
    <s v="BM"/>
    <x v="1"/>
    <s v="TA 27"/>
    <s v="BM"/>
  </r>
  <r>
    <s v="EA8577"/>
    <s v="BM"/>
    <s v="BM"/>
    <x v="1"/>
    <s v="BA 35"/>
    <s v="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CM"/>
    <s v="CM"/>
    <x v="9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BM"/>
    <s v="BM"/>
    <x v="1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BM"/>
    <s v="BM"/>
    <x v="1"/>
    <s v="PN 31"/>
    <s v="BM"/>
  </r>
  <r>
    <s v="EA8624"/>
    <s v="BM"/>
    <s v="BM"/>
    <x v="1"/>
    <s v="BA 35"/>
    <s v="BM"/>
  </r>
  <r>
    <s v="EA8626"/>
    <s v="BM"/>
    <s v="BM"/>
    <x v="1"/>
    <s v="PN 32"/>
    <s v="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INACT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CM"/>
    <s v="CM"/>
    <x v="9"/>
    <s v="PN 32"/>
    <s v="BM"/>
  </r>
  <r>
    <s v="EA8668"/>
    <s v="BM"/>
    <s v="BM"/>
    <x v="1"/>
    <s v="PN 30"/>
    <s v="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BM"/>
    <s v="BM"/>
    <x v="1"/>
    <s v="TA 25"/>
    <s v="BM"/>
  </r>
  <r>
    <s v="EA8706"/>
    <s v="CM"/>
    <s v="CM"/>
    <x v="9"/>
    <s v="BA 34"/>
    <s v="INACTBM"/>
  </r>
  <r>
    <s v="EA8707"/>
    <s v="BM"/>
    <s v="BM"/>
    <x v="1"/>
    <s v="BA 34"/>
    <s v="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BM"/>
    <s v="BM"/>
    <x v="1"/>
    <s v="BA 34"/>
    <s v="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BM"/>
    <s v="BM"/>
    <x v="1"/>
    <s v="BA 35"/>
    <s v="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BM"/>
    <s v="BM"/>
    <x v="1"/>
    <s v="BA 35"/>
    <s v="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BM"/>
    <s v="BM"/>
    <x v="1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BM"/>
    <s v="BM"/>
    <x v="1"/>
    <s v="BA 34"/>
    <s v="BM"/>
  </r>
  <r>
    <s v="EA8809"/>
    <s v="BM"/>
    <s v="BM"/>
    <x v="1"/>
    <s v="CE 10"/>
    <s v="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BM"/>
    <s v="BM"/>
    <x v="1"/>
    <s v="TA 27"/>
    <s v="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BM"/>
    <s v="BM"/>
    <x v="1"/>
    <s v="BA 34"/>
    <s v="BM"/>
  </r>
  <r>
    <s v="EA8866"/>
    <s v="CM"/>
    <s v="CM"/>
    <x v="9"/>
    <s v="BA 35"/>
    <s v="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BM"/>
  </r>
  <r>
    <s v="EA8886"/>
    <s v="CM"/>
    <s v="CM"/>
    <x v="9"/>
    <s v="BA 35"/>
    <s v="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BM"/>
    <s v="BM"/>
    <x v="1"/>
    <s v="PN 31"/>
    <s v="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BM"/>
    <s v="BM"/>
    <x v="1"/>
    <s v="TA 27"/>
    <s v="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BM"/>
    <s v="BM"/>
    <x v="1"/>
    <s v="BA 34"/>
    <s v="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BM"/>
    <s v="BM"/>
    <x v="1"/>
    <s v="PN 32"/>
    <s v="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BM"/>
    <s v="BM"/>
    <x v="1"/>
    <s v="PN 30"/>
    <s v="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3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BM"/>
    <s v="BM"/>
    <x v="1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CM"/>
    <s v="CM"/>
    <x v="9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IN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TA"/>
    <s v="CT"/>
    <x v="2"/>
    <s v="ATA"/>
    <s v="ATAPET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TAPET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4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TA"/>
    <s v="CT"/>
    <x v="2"/>
    <s v="ATA"/>
    <s v="ATAPET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4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TA"/>
    <s v="CT"/>
    <x v="2"/>
    <s v="ATA"/>
    <s v="ATAPET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3"/>
    <s v="INY"/>
    <s v="ACTINYA"/>
  </r>
  <r>
    <s v="EA9409"/>
    <s v="CM"/>
    <s v="CM"/>
    <x v="14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14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3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TAPET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TAPET"/>
  </r>
  <r>
    <s v="EA9483"/>
    <s v="PETS"/>
    <s v="SUABTBG"/>
    <x v="3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4"/>
    <s v="SWAB"/>
    <s v="INACTPETS"/>
  </r>
  <r>
    <s v="EA9492"/>
    <s v="INYA"/>
    <s v="IAS"/>
    <x v="13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TA"/>
    <s v="CT"/>
    <x v="2"/>
    <s v="ATA"/>
    <s v="ATAPET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BM"/>
    <s v="BM"/>
    <x v="1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BM"/>
    <s v="BM"/>
    <x v="1"/>
    <s v="ZA 01"/>
    <s v="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CM"/>
    <s v="CM"/>
    <x v="14"/>
    <s v="SWAB"/>
    <s v="INACTPETS"/>
  </r>
  <r>
    <s v="EA9598"/>
    <s v="APA"/>
    <s v="A"/>
    <x v="8"/>
    <s v="ABAND."/>
    <s v="ATAPET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IN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BM"/>
    <s v="BM"/>
    <x v="1"/>
    <s v="OR 11"/>
    <s v="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4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4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4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4"/>
    <s v="SWAB"/>
    <s v="INACTPETS"/>
  </r>
  <r>
    <s v="EA9783"/>
    <s v="APA"/>
    <s v="A"/>
    <x v="5"/>
    <s v="ABAND."/>
    <s v="APA_PC"/>
  </r>
  <r>
    <s v="EA9784"/>
    <s v="CM"/>
    <s v="CM"/>
    <x v="7"/>
    <s v="SWAB"/>
    <s v="INACTPETF"/>
  </r>
  <r>
    <s v="EA9786"/>
    <s v="PETF"/>
    <s v="SUABCSG"/>
    <x v="4"/>
    <s v="SWAB"/>
    <s v="IN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3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3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PETF"/>
    <s v="SUABCSG"/>
    <x v="4"/>
    <s v="SWAB"/>
    <s v="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PETF"/>
    <s v="SUABCSG"/>
    <x v="4"/>
    <s v="SWAB"/>
    <s v="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INACTBM"/>
  </r>
  <r>
    <s v="EA9888"/>
    <s v="BM"/>
    <s v="BM"/>
    <x v="1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INYA"/>
    <s v="IAS"/>
    <x v="13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4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3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INYA"/>
    <s v="IAS"/>
    <x v="13"/>
    <s v="INY"/>
    <s v="ACTINYA"/>
  </r>
  <r>
    <s v="EA10113"/>
    <s v="PETF"/>
    <s v="SUABCSG"/>
    <x v="4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INYA"/>
    <s v="IAS"/>
    <x v="13"/>
    <s v="INY"/>
    <s v="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3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7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4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BM"/>
    <s v="BM"/>
    <x v="1"/>
    <s v="ZA 01"/>
    <s v="BM"/>
  </r>
  <r>
    <s v="EA10523"/>
    <s v="INYA"/>
    <s v="IAS"/>
    <x v="13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TA"/>
    <s v="CT"/>
    <x v="2"/>
    <s v="ATA"/>
    <s v="ATAPET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BM"/>
    <s v="BM"/>
    <x v="1"/>
    <s v="TA 24"/>
    <s v="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9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BM"/>
    <s v="BM"/>
    <x v="1"/>
    <s v="OR 11"/>
    <s v="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BM"/>
    <s v="BM"/>
    <x v="1"/>
    <s v="OR 11"/>
    <s v="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BM"/>
    <s v="BM"/>
    <x v="1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CM"/>
    <s v="CM"/>
    <x v="9"/>
    <s v="OR 11"/>
    <s v="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BM"/>
    <s v="BM"/>
    <x v="1"/>
    <s v="OR 11"/>
    <s v="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BM"/>
    <s v="BM"/>
    <x v="1"/>
    <s v="TA 25"/>
    <s v="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BM"/>
    <s v="BM"/>
    <x v="1"/>
    <s v="PN 33"/>
    <s v="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BM"/>
  </r>
  <r>
    <s v="EA11128"/>
    <s v="CM"/>
    <s v="CM"/>
    <x v="14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BM"/>
    <s v="BM"/>
    <x v="1"/>
    <s v="TA 24"/>
    <s v="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PETS"/>
    <s v="SUABTBG"/>
    <x v="3"/>
    <s v="SWAB"/>
    <s v="ACTPETS"/>
  </r>
  <r>
    <s v="EA11156"/>
    <s v="BM"/>
    <s v="BM"/>
    <x v="1"/>
    <s v="PN 31"/>
    <s v="BM"/>
  </r>
  <r>
    <s v="EA11157"/>
    <s v="BM"/>
    <s v="BM"/>
    <x v="1"/>
    <s v="TA 24"/>
    <s v="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BM"/>
    <s v="BM"/>
    <x v="1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9"/>
    <s v="BA 34"/>
    <s v="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BM"/>
    <s v="BM"/>
    <x v="1"/>
    <s v="BA 35"/>
    <s v="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BM"/>
    <s v="BM"/>
    <x v="1"/>
    <s v="BA 34"/>
    <s v="BM"/>
  </r>
  <r>
    <s v="EA11252"/>
    <s v="BM"/>
    <s v="BM"/>
    <x v="1"/>
    <s v="TA 24"/>
    <s v="BM"/>
  </r>
  <r>
    <s v="EA11253D"/>
    <s v="CM"/>
    <s v="CM"/>
    <x v="9"/>
    <s v="TA 24"/>
    <s v="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BM"/>
    <s v="BM"/>
    <x v="1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BM"/>
    <s v="BM"/>
    <x v="1"/>
    <s v="BA 34"/>
    <s v="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3"/>
    <s v="INY"/>
    <s v="ACTINYA"/>
  </r>
  <r>
    <s v="EA11368"/>
    <s v="INYA"/>
    <s v="IAS"/>
    <x v="13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BM"/>
    <s v="BM"/>
    <x v="1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CM"/>
    <s v="CM"/>
    <x v="9"/>
    <s v="BA 35"/>
    <s v="INACTBM"/>
  </r>
  <r>
    <s v="EA11592D"/>
    <s v="BM"/>
    <s v="BM"/>
    <x v="1"/>
    <s v="TA 29"/>
    <s v="BM"/>
  </r>
  <r>
    <s v="EA11593D"/>
    <s v="BM"/>
    <s v="BM"/>
    <x v="1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9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BM"/>
    <s v="BM"/>
    <x v="1"/>
    <s v="PN 32"/>
    <s v="BM"/>
  </r>
  <r>
    <s v="EA11667D"/>
    <s v="BM"/>
    <s v="BM"/>
    <x v="1"/>
    <s v="PN 32"/>
    <s v="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BM"/>
    <s v="BM"/>
    <x v="1"/>
    <s v="TA 24"/>
    <s v="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BM"/>
    <s v="BM"/>
    <x v="1"/>
    <s v="TA 24"/>
    <s v="BM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BM"/>
    <s v="BM"/>
    <x v="1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CM"/>
    <s v="CM"/>
    <x v="9"/>
    <s v="TA 24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BM"/>
    <s v="BM"/>
    <x v="1"/>
    <s v="TA 28"/>
    <s v="BM"/>
  </r>
  <r>
    <s v="EA11879D"/>
    <s v="BM"/>
    <s v="BM"/>
    <x v="1"/>
    <s v="CE 10"/>
    <s v="BM"/>
  </r>
  <r>
    <s v="EA11881D"/>
    <s v="CM"/>
    <s v="CM"/>
    <x v="9"/>
    <s v="ZA 01"/>
    <s v="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BM"/>
    <s v="BM"/>
    <x v="1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CM"/>
    <s v="CM"/>
    <x v="9"/>
    <s v="TA 28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BM"/>
    <s v="BM"/>
    <x v="1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BM"/>
    <s v="BM"/>
    <x v="1"/>
    <s v="PN 31"/>
    <s v="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PETS"/>
    <s v="SUABTBG"/>
    <x v="3"/>
    <s v="SWAB"/>
    <s v="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4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PETS"/>
    <s v="SUABTBG"/>
    <x v="3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4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CM"/>
    <s v="CM"/>
    <x v="14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IN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4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TAPET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BM"/>
    <s v="BM"/>
    <x v="1"/>
    <s v="OR 12"/>
    <s v="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IN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INACT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CM"/>
    <s v="CM"/>
    <x v="7"/>
    <s v="SWAB"/>
    <s v="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TA"/>
    <s v="CT"/>
    <x v="2"/>
    <s v="ATA"/>
    <s v="ATAPET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4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BM"/>
    <s v="BM"/>
    <x v="1"/>
    <s v="CA 20"/>
    <s v="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4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BM"/>
  </r>
  <r>
    <s v="PT3"/>
    <s v="PETS"/>
    <s v="SUABTBG"/>
    <x v="3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4FDD1-CA5F-4EDD-A13C-8B166D669726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6"/>
        <item x="13"/>
        <item m="1" x="27"/>
        <item x="4"/>
        <item x="3"/>
        <item x="8"/>
        <item x="20"/>
        <item x="5"/>
        <item x="6"/>
        <item x="16"/>
        <item x="18"/>
        <item x="2"/>
        <item x="11"/>
        <item x="1"/>
        <item x="17"/>
        <item m="1" x="28"/>
        <item x="0"/>
        <item h="1" f="1" x="29"/>
        <item x="22"/>
        <item x="10"/>
        <item x="9"/>
        <item x="23"/>
        <item x="15"/>
        <item x="25"/>
        <item x="12"/>
        <item x="24"/>
        <item x="7"/>
        <item x="14"/>
        <item x="19"/>
        <item x="21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80">
      <pivotArea type="all" dataOnly="0" outline="0" fieldPosition="0"/>
    </format>
    <format dxfId="79">
      <pivotArea grandRow="1" outline="0" collapsedLevelsAreSubtotals="1" fieldPosition="0"/>
    </format>
    <format dxfId="78">
      <pivotArea dataOnly="0" labelOnly="1" grandRow="1" outline="0" fieldPosition="0"/>
    </format>
    <format dxfId="77">
      <pivotArea outline="0" collapsedLevelsAreSubtotals="1" fieldPosition="0">
        <references count="1">
          <reference field="3" count="0" selected="0"/>
        </references>
      </pivotArea>
    </format>
    <format dxfId="76">
      <pivotArea dataOnly="0" labelOnly="1" outline="0" fieldPosition="0">
        <references count="1">
          <reference field="3" count="0"/>
        </references>
      </pivotArea>
    </format>
    <format dxfId="75">
      <pivotArea type="all" dataOnly="0" outline="0" fieldPosition="0"/>
    </format>
    <format dxfId="74">
      <pivotArea outline="0" collapsedLevelsAreSubtotals="1" fieldPosition="0">
        <references count="1">
          <reference field="3" count="0" selected="0"/>
        </references>
      </pivotArea>
    </format>
    <format dxfId="73">
      <pivotArea dataOnly="0" labelOnly="1" outline="0" fieldPosition="0">
        <references count="1">
          <reference field="3" count="0"/>
        </references>
      </pivotArea>
    </format>
    <format dxfId="72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71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70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69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68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67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66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65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64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63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62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61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0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9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58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57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56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55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54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EFFFAB-A8C2-46CE-A402-475ECE97EB12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6"/>
        <item x="12"/>
        <item m="1" x="27"/>
        <item x="4"/>
        <item x="3"/>
        <item x="8"/>
        <item x="20"/>
        <item x="5"/>
        <item x="6"/>
        <item x="16"/>
        <item x="15"/>
        <item x="2"/>
        <item x="10"/>
        <item x="1"/>
        <item x="17"/>
        <item m="1" x="28"/>
        <item x="0"/>
        <item h="1" f="1" x="29"/>
        <item x="22"/>
        <item x="19"/>
        <item x="9"/>
        <item x="23"/>
        <item x="14"/>
        <item x="25"/>
        <item x="11"/>
        <item x="24"/>
        <item x="7"/>
        <item x="13"/>
        <item x="18"/>
        <item x="21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53">
      <pivotArea type="all" dataOnly="0" outline="0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outline="0" collapsedLevelsAreSubtotals="1" fieldPosition="0">
        <references count="1">
          <reference field="3" count="0" selected="0"/>
        </references>
      </pivotArea>
    </format>
    <format dxfId="49">
      <pivotArea dataOnly="0" labelOnly="1" outline="0" fieldPosition="0">
        <references count="1">
          <reference field="3" count="0"/>
        </references>
      </pivotArea>
    </format>
    <format dxfId="48">
      <pivotArea type="all" dataOnly="0" outline="0" fieldPosition="0"/>
    </format>
    <format dxfId="47">
      <pivotArea outline="0" collapsedLevelsAreSubtotals="1" fieldPosition="0">
        <references count="1">
          <reference field="3" count="0" selected="0"/>
        </references>
      </pivotArea>
    </format>
    <format dxfId="46">
      <pivotArea dataOnly="0" labelOnly="1" outline="0" fieldPosition="0">
        <references count="1">
          <reference field="3" count="0"/>
        </references>
      </pivotArea>
    </format>
    <format dxfId="45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44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43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42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41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4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9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38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37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36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3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4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33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32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31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30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29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28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27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D6790-2486-450A-8602-7A693F75C7DF}">
  <dimension ref="A1:S5822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0" sqref="E20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9" ht="15.75" x14ac:dyDescent="0.25">
      <c r="B1" s="6" t="s">
        <v>5902</v>
      </c>
      <c r="C1" s="7"/>
      <c r="D1" s="7"/>
      <c r="E1" s="7"/>
      <c r="F1" s="7"/>
      <c r="G1" s="7"/>
      <c r="J1" s="13">
        <v>45292</v>
      </c>
      <c r="M1" s="13">
        <v>45292</v>
      </c>
    </row>
    <row r="2" spans="1:19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5903</v>
      </c>
      <c r="J2" s="22" t="s">
        <v>5503</v>
      </c>
      <c r="K2" s="23"/>
      <c r="M2" s="15" t="s">
        <v>5503</v>
      </c>
      <c r="N2" s="15"/>
    </row>
    <row r="3" spans="1:19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IFERROR(VLOOKUP(B3,Enero!$B$2:$G$5822,4,0),"")</f>
        <v>DPAPET</v>
      </c>
      <c r="J3" s="22" t="s">
        <v>3</v>
      </c>
      <c r="K3" s="23" t="s">
        <v>5502</v>
      </c>
      <c r="M3" s="15" t="s">
        <v>3</v>
      </c>
      <c r="N3" s="15" t="s">
        <v>5502</v>
      </c>
      <c r="R3" t="s">
        <v>5502</v>
      </c>
    </row>
    <row r="4" spans="1:19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IFERROR(VLOOKUP(B4,Enero!$B$2:$G$5822,4,0),"")</f>
        <v>BM</v>
      </c>
      <c r="J4" s="26" t="s">
        <v>111</v>
      </c>
      <c r="K4" s="30">
        <v>50</v>
      </c>
      <c r="M4" s="17" t="s">
        <v>111</v>
      </c>
      <c r="N4" s="17">
        <v>50</v>
      </c>
      <c r="O4">
        <f>+K4-N4</f>
        <v>0</v>
      </c>
      <c r="R4">
        <v>50</v>
      </c>
      <c r="S4">
        <f>+K4-R4</f>
        <v>0</v>
      </c>
    </row>
    <row r="5" spans="1:19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IFERROR(VLOOKUP(B5,Enero!$B$2:$G$5822,4,0),"")</f>
        <v>ATAPET</v>
      </c>
      <c r="J5" s="27" t="s">
        <v>26</v>
      </c>
      <c r="K5" s="33">
        <v>179</v>
      </c>
      <c r="M5" s="16" t="s">
        <v>26</v>
      </c>
      <c r="N5" s="21">
        <v>183</v>
      </c>
      <c r="O5">
        <f t="shared" ref="O5:O30" si="0">+K5-N5</f>
        <v>-4</v>
      </c>
      <c r="R5">
        <v>181</v>
      </c>
      <c r="S5">
        <f t="shared" ref="S5:S30" si="1">+K5-R5</f>
        <v>-2</v>
      </c>
    </row>
    <row r="6" spans="1:19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IFERROR(VLOOKUP(B6,Enero!$B$2:$G$5822,4,0),"")</f>
        <v>ACTPETS</v>
      </c>
      <c r="J6" s="27" t="s">
        <v>20</v>
      </c>
      <c r="K6" s="33">
        <v>499</v>
      </c>
      <c r="M6" s="16" t="s">
        <v>20</v>
      </c>
      <c r="N6" s="21">
        <v>504</v>
      </c>
      <c r="O6">
        <f t="shared" si="0"/>
        <v>-5</v>
      </c>
      <c r="R6">
        <v>502</v>
      </c>
      <c r="S6">
        <f t="shared" si="1"/>
        <v>-3</v>
      </c>
    </row>
    <row r="7" spans="1:19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IFERROR(VLOOKUP(B7,Enero!$B$2:$G$5822,4,0),"")</f>
        <v>DPAPET</v>
      </c>
      <c r="J7" s="27" t="s">
        <v>5900</v>
      </c>
      <c r="K7" s="25">
        <v>158</v>
      </c>
      <c r="M7" s="16" t="s">
        <v>5900</v>
      </c>
      <c r="N7" s="16">
        <v>130</v>
      </c>
      <c r="O7">
        <f t="shared" si="0"/>
        <v>28</v>
      </c>
      <c r="R7">
        <v>158</v>
      </c>
      <c r="S7">
        <f t="shared" si="1"/>
        <v>0</v>
      </c>
    </row>
    <row r="8" spans="1:19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IFERROR(VLOOKUP(B8,Enero!$B$2:$G$5822,4,0),"")</f>
        <v>ACTPETF</v>
      </c>
      <c r="J8" s="27" t="s">
        <v>776</v>
      </c>
      <c r="K8" s="29">
        <v>14</v>
      </c>
      <c r="M8" s="16" t="s">
        <v>776</v>
      </c>
      <c r="N8" s="16">
        <v>14</v>
      </c>
      <c r="O8">
        <f t="shared" si="0"/>
        <v>0</v>
      </c>
      <c r="R8">
        <v>14</v>
      </c>
      <c r="S8">
        <f t="shared" si="1"/>
        <v>0</v>
      </c>
    </row>
    <row r="9" spans="1:19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IFERROR(VLOOKUP(B9,Enero!$B$2:$G$5822,4,0),"")</f>
        <v>APA_PC</v>
      </c>
      <c r="J9" s="27" t="s">
        <v>30</v>
      </c>
      <c r="K9" s="29">
        <v>1013</v>
      </c>
      <c r="M9" s="16" t="s">
        <v>30</v>
      </c>
      <c r="N9" s="16">
        <v>1013</v>
      </c>
      <c r="O9">
        <f t="shared" si="0"/>
        <v>0</v>
      </c>
      <c r="R9">
        <v>1013</v>
      </c>
      <c r="S9">
        <f t="shared" si="1"/>
        <v>0</v>
      </c>
    </row>
    <row r="10" spans="1:19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IFERROR(VLOOKUP(B10,Enero!$B$2:$G$5822,4,0),"")</f>
        <v>ATAPET</v>
      </c>
      <c r="J10" s="27" t="s">
        <v>33</v>
      </c>
      <c r="K10" s="29">
        <v>290</v>
      </c>
      <c r="M10" s="16" t="s">
        <v>33</v>
      </c>
      <c r="N10" s="16">
        <v>290</v>
      </c>
      <c r="O10">
        <f t="shared" si="0"/>
        <v>0</v>
      </c>
      <c r="R10">
        <v>290</v>
      </c>
      <c r="S10">
        <f t="shared" si="1"/>
        <v>0</v>
      </c>
    </row>
    <row r="11" spans="1:19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IFERROR(VLOOKUP(B11,Enero!$B$2:$G$5822,4,0),"")</f>
        <v>APAPET</v>
      </c>
      <c r="J11" s="27" t="s">
        <v>263</v>
      </c>
      <c r="K11" s="29">
        <v>4</v>
      </c>
      <c r="M11" s="16" t="s">
        <v>263</v>
      </c>
      <c r="N11" s="16">
        <v>6</v>
      </c>
      <c r="O11">
        <f t="shared" si="0"/>
        <v>-2</v>
      </c>
      <c r="R11">
        <v>4</v>
      </c>
      <c r="S11">
        <f t="shared" si="1"/>
        <v>0</v>
      </c>
    </row>
    <row r="12" spans="1:19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IFERROR(VLOOKUP(B12,Enero!$B$2:$G$5822,4,0),"")</f>
        <v>INACTPETF</v>
      </c>
      <c r="J12" s="27" t="s">
        <v>98</v>
      </c>
      <c r="K12" s="29">
        <v>11</v>
      </c>
      <c r="M12" s="16" t="s">
        <v>98</v>
      </c>
      <c r="N12" s="16">
        <v>13</v>
      </c>
      <c r="O12">
        <f t="shared" si="0"/>
        <v>-2</v>
      </c>
      <c r="R12">
        <v>11</v>
      </c>
      <c r="S12">
        <f t="shared" si="1"/>
        <v>0</v>
      </c>
    </row>
    <row r="13" spans="1:19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IFERROR(VLOOKUP(B13,Enero!$B$2:$G$5822,4,0),"")</f>
        <v>ACTPETF</v>
      </c>
      <c r="J13" s="27" t="s">
        <v>16</v>
      </c>
      <c r="K13" s="29">
        <v>498</v>
      </c>
      <c r="M13" s="16" t="s">
        <v>16</v>
      </c>
      <c r="N13" s="16">
        <v>521</v>
      </c>
      <c r="O13">
        <f t="shared" si="0"/>
        <v>-23</v>
      </c>
      <c r="R13">
        <v>498</v>
      </c>
      <c r="S13">
        <f t="shared" si="1"/>
        <v>0</v>
      </c>
    </row>
    <row r="14" spans="1:19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IFERROR(VLOOKUP(B14,Enero!$B$2:$G$5822,4,0),"")</f>
        <v>ATAPET</v>
      </c>
      <c r="J14" s="27" t="s">
        <v>75</v>
      </c>
      <c r="K14" s="31">
        <v>9</v>
      </c>
      <c r="M14" s="16" t="s">
        <v>75</v>
      </c>
      <c r="N14" s="19">
        <v>10</v>
      </c>
      <c r="O14">
        <f t="shared" si="0"/>
        <v>-1</v>
      </c>
      <c r="R14">
        <v>9</v>
      </c>
      <c r="S14">
        <f t="shared" si="1"/>
        <v>0</v>
      </c>
    </row>
    <row r="15" spans="1:19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IFERROR(VLOOKUP(B15,Enero!$B$2:$G$5822,4,0),"")</f>
        <v>DPAPET</v>
      </c>
      <c r="J15" s="27" t="s">
        <v>11</v>
      </c>
      <c r="K15" s="31">
        <v>2217</v>
      </c>
      <c r="M15" s="16" t="s">
        <v>11</v>
      </c>
      <c r="N15" s="19">
        <v>2251</v>
      </c>
      <c r="O15">
        <f t="shared" si="0"/>
        <v>-34</v>
      </c>
      <c r="R15">
        <v>2218</v>
      </c>
      <c r="S15">
        <f t="shared" si="1"/>
        <v>-1</v>
      </c>
    </row>
    <row r="16" spans="1:19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IFERROR(VLOOKUP(B16,Enero!$B$2:$G$5822,4,0),"")</f>
        <v>DPAPET</v>
      </c>
      <c r="J16" s="27" t="s">
        <v>308</v>
      </c>
      <c r="K16" s="31">
        <v>20</v>
      </c>
      <c r="M16" s="16" t="s">
        <v>308</v>
      </c>
      <c r="N16" s="19">
        <v>20</v>
      </c>
      <c r="O16">
        <f t="shared" si="0"/>
        <v>0</v>
      </c>
      <c r="R16">
        <v>20</v>
      </c>
      <c r="S16">
        <f t="shared" si="1"/>
        <v>0</v>
      </c>
    </row>
    <row r="17" spans="1:19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IFERROR(VLOOKUP(B17,Enero!$B$2:$G$5822,4,0),"")</f>
        <v>ATAPET</v>
      </c>
      <c r="J17" s="27" t="s">
        <v>8</v>
      </c>
      <c r="K17" s="29">
        <v>209</v>
      </c>
      <c r="M17" s="16" t="s">
        <v>8</v>
      </c>
      <c r="N17" s="16">
        <v>209</v>
      </c>
      <c r="O17">
        <f t="shared" si="0"/>
        <v>0</v>
      </c>
      <c r="R17">
        <v>209</v>
      </c>
      <c r="S17">
        <f t="shared" si="1"/>
        <v>0</v>
      </c>
    </row>
    <row r="18" spans="1:19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IFERROR(VLOOKUP(B18,Enero!$B$2:$G$5822,4,0),"")</f>
        <v>ATAPET</v>
      </c>
      <c r="J18" s="27" t="s">
        <v>1089</v>
      </c>
      <c r="K18" s="31">
        <v>1</v>
      </c>
      <c r="M18" s="16" t="s">
        <v>1089</v>
      </c>
      <c r="N18" s="19">
        <v>1</v>
      </c>
      <c r="O18">
        <f t="shared" si="0"/>
        <v>0</v>
      </c>
      <c r="R18">
        <v>1</v>
      </c>
      <c r="S18">
        <f t="shared" si="1"/>
        <v>0</v>
      </c>
    </row>
    <row r="19" spans="1:19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IFERROR(VLOOKUP(B19,Enero!$B$2:$G$5822,4,0),"")</f>
        <v>ATAPET</v>
      </c>
      <c r="J19" s="27" t="s">
        <v>118</v>
      </c>
      <c r="K19" s="29">
        <v>5</v>
      </c>
      <c r="M19" s="16" t="s">
        <v>118</v>
      </c>
      <c r="N19" s="16">
        <v>4</v>
      </c>
      <c r="O19">
        <f t="shared" si="0"/>
        <v>1</v>
      </c>
      <c r="R19">
        <v>5</v>
      </c>
      <c r="S19">
        <f t="shared" si="1"/>
        <v>0</v>
      </c>
    </row>
    <row r="20" spans="1:19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IFERROR(VLOOKUP(B20,Enero!$B$2:$G$5822,4,0),"")</f>
        <v>ATAPET</v>
      </c>
      <c r="J20" s="27" t="s">
        <v>57</v>
      </c>
      <c r="K20" s="29">
        <v>332</v>
      </c>
      <c r="M20" s="16" t="s">
        <v>57</v>
      </c>
      <c r="N20" s="16">
        <v>298</v>
      </c>
      <c r="O20">
        <f t="shared" si="0"/>
        <v>34</v>
      </c>
      <c r="R20">
        <v>331</v>
      </c>
      <c r="S20">
        <f t="shared" si="1"/>
        <v>1</v>
      </c>
    </row>
    <row r="21" spans="1:19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IFERROR(VLOOKUP(B21,Enero!$B$2:$G$5822,4,0),"")</f>
        <v>BM</v>
      </c>
      <c r="J21" s="27" t="s">
        <v>824</v>
      </c>
      <c r="K21" s="29">
        <v>1</v>
      </c>
      <c r="M21" s="16" t="s">
        <v>824</v>
      </c>
      <c r="N21" s="16">
        <v>1</v>
      </c>
      <c r="O21">
        <f t="shared" si="0"/>
        <v>0</v>
      </c>
      <c r="R21">
        <v>1</v>
      </c>
      <c r="S21">
        <f t="shared" si="1"/>
        <v>0</v>
      </c>
    </row>
    <row r="22" spans="1:19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IFERROR(VLOOKUP(B22,Enero!$B$2:$G$5822,4,0),"")</f>
        <v>BM</v>
      </c>
      <c r="J22" s="27" t="s">
        <v>170</v>
      </c>
      <c r="K22" s="29">
        <v>16</v>
      </c>
      <c r="M22" s="16" t="s">
        <v>170</v>
      </c>
      <c r="N22" s="16">
        <v>16</v>
      </c>
      <c r="O22">
        <f t="shared" si="0"/>
        <v>0</v>
      </c>
      <c r="R22">
        <v>16</v>
      </c>
      <c r="S22">
        <f t="shared" si="1"/>
        <v>0</v>
      </c>
    </row>
    <row r="23" spans="1:19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IFERROR(VLOOKUP(B23,Enero!$B$2:$G$5822,4,0),"")</f>
        <v>ATAPET</v>
      </c>
      <c r="J23" s="27" t="s">
        <v>5631</v>
      </c>
      <c r="K23" s="29">
        <v>2</v>
      </c>
      <c r="M23" s="16" t="s">
        <v>5631</v>
      </c>
      <c r="N23" s="16">
        <v>3</v>
      </c>
      <c r="O23">
        <f t="shared" si="0"/>
        <v>-1</v>
      </c>
      <c r="R23">
        <v>2</v>
      </c>
      <c r="S23">
        <f t="shared" si="1"/>
        <v>0</v>
      </c>
    </row>
    <row r="24" spans="1:19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IFERROR(VLOOKUP(B24,Enero!$B$2:$G$5822,4,0),"")</f>
        <v>BM</v>
      </c>
      <c r="J24" s="27" t="s">
        <v>686</v>
      </c>
      <c r="K24" s="29">
        <v>36</v>
      </c>
      <c r="M24" s="16" t="s">
        <v>686</v>
      </c>
      <c r="N24" s="16">
        <v>37</v>
      </c>
      <c r="O24">
        <f t="shared" si="0"/>
        <v>-1</v>
      </c>
      <c r="R24">
        <v>36</v>
      </c>
      <c r="S24">
        <f t="shared" si="1"/>
        <v>0</v>
      </c>
    </row>
    <row r="25" spans="1:19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IFERROR(VLOOKUP(B25,Enero!$B$2:$G$5822,4,0),"")</f>
        <v>ACTPETF</v>
      </c>
      <c r="J25" s="27" t="s">
        <v>2458</v>
      </c>
      <c r="K25" s="29">
        <v>6</v>
      </c>
      <c r="M25" s="16" t="s">
        <v>2458</v>
      </c>
      <c r="N25" s="16">
        <v>6</v>
      </c>
      <c r="O25">
        <f t="shared" si="0"/>
        <v>0</v>
      </c>
      <c r="R25">
        <v>6</v>
      </c>
      <c r="S25">
        <f t="shared" si="1"/>
        <v>0</v>
      </c>
    </row>
    <row r="26" spans="1:19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IFERROR(VLOOKUP(B26,Enero!$B$2:$G$5822,4,0),"")</f>
        <v>APA_CNPC</v>
      </c>
      <c r="J26" s="27" t="s">
        <v>36</v>
      </c>
      <c r="K26" s="29">
        <v>61</v>
      </c>
      <c r="M26" s="16" t="s">
        <v>36</v>
      </c>
      <c r="N26" s="16">
        <v>57</v>
      </c>
      <c r="O26">
        <f t="shared" si="0"/>
        <v>4</v>
      </c>
      <c r="R26">
        <v>59</v>
      </c>
      <c r="S26">
        <f t="shared" si="1"/>
        <v>2</v>
      </c>
    </row>
    <row r="27" spans="1:19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IFERROR(VLOOKUP(B27,Enero!$B$2:$G$5822,4,0),"")</f>
        <v>ACTPETS</v>
      </c>
      <c r="J27" s="27" t="s">
        <v>163</v>
      </c>
      <c r="K27" s="29">
        <v>114</v>
      </c>
      <c r="M27" s="16" t="s">
        <v>163</v>
      </c>
      <c r="N27" s="16">
        <v>107</v>
      </c>
      <c r="O27">
        <f t="shared" si="0"/>
        <v>7</v>
      </c>
      <c r="R27">
        <v>111</v>
      </c>
      <c r="S27">
        <f t="shared" si="1"/>
        <v>3</v>
      </c>
    </row>
    <row r="28" spans="1:19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IFERROR(VLOOKUP(B28,Enero!$B$2:$G$5822,4,0),"")</f>
        <v>INACTPETF</v>
      </c>
      <c r="J28" s="27" t="s">
        <v>2266</v>
      </c>
      <c r="K28" s="29">
        <v>15</v>
      </c>
      <c r="M28" s="16" t="s">
        <v>2266</v>
      </c>
      <c r="N28" s="16">
        <v>16</v>
      </c>
      <c r="O28">
        <f t="shared" si="0"/>
        <v>-1</v>
      </c>
      <c r="R28">
        <v>15</v>
      </c>
      <c r="S28">
        <f t="shared" si="1"/>
        <v>0</v>
      </c>
    </row>
    <row r="29" spans="1:19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IFERROR(VLOOKUP(B29,Enero!$B$2:$G$5822,4,0),"")</f>
        <v>DPAPET</v>
      </c>
      <c r="J29" s="28" t="s">
        <v>549</v>
      </c>
      <c r="K29" s="32">
        <v>60</v>
      </c>
      <c r="M29" s="18" t="s">
        <v>549</v>
      </c>
      <c r="N29" s="20">
        <v>60</v>
      </c>
      <c r="O29">
        <f t="shared" si="0"/>
        <v>0</v>
      </c>
      <c r="R29">
        <v>60</v>
      </c>
      <c r="S29">
        <f t="shared" si="1"/>
        <v>0</v>
      </c>
    </row>
    <row r="30" spans="1:19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IFERROR(VLOOKUP(B30,Enero!$B$2:$G$5822,4,0),"")</f>
        <v>BM</v>
      </c>
      <c r="J30" s="23" t="s">
        <v>5899</v>
      </c>
      <c r="K30" s="24">
        <v>5820</v>
      </c>
      <c r="M30" s="10" t="s">
        <v>5899</v>
      </c>
      <c r="N30" s="10">
        <v>5820</v>
      </c>
      <c r="O30">
        <f t="shared" si="0"/>
        <v>0</v>
      </c>
      <c r="R30">
        <v>5820</v>
      </c>
      <c r="S30">
        <f t="shared" si="1"/>
        <v>0</v>
      </c>
    </row>
    <row r="31" spans="1:19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IFERROR(VLOOKUP(B31,Enero!$B$2:$G$5822,4,0),"")</f>
        <v>DPAPET</v>
      </c>
    </row>
    <row r="32" spans="1:19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IFERROR(VLOOKUP(B32,Enero!$B$2:$G$5822,4,0),"")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IFERROR(VLOOKUP(B33,Enero!$B$2:$G$5822,4,0),"")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IFERROR(VLOOKUP(B34,Enero!$B$2:$G$5822,4,0),"")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IFERROR(VLOOKUP(B35,Enero!$B$2:$G$5822,4,0),"")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IFERROR(VLOOKUP(B36,Enero!$B$2:$G$5822,4,0),"")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IFERROR(VLOOKUP(B37,Enero!$B$2:$G$5822,4,0),"")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IFERROR(VLOOKUP(B38,Enero!$B$2:$G$5822,4,0),"")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IFERROR(VLOOKUP(B39,Enero!$B$2:$G$5822,4,0),"")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IFERROR(VLOOKUP(B40,Enero!$B$2:$G$5822,4,0),"")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IFERROR(VLOOKUP(B41,Enero!$B$2:$G$5822,4,0),"")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IFERROR(VLOOKUP(B42,Enero!$B$2:$G$5822,4,0),"")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IFERROR(VLOOKUP(B43,Enero!$B$2:$G$5822,4,0),"")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IFERROR(VLOOKUP(B44,Enero!$B$2:$G$5822,4,0),"")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IFERROR(VLOOKUP(B45,Enero!$B$2:$G$5822,4,0),"")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IFERROR(VLOOKUP(B46,Enero!$B$2:$G$5822,4,0),"")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IFERROR(VLOOKUP(B47,Enero!$B$2:$G$5822,4,0),"")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IFERROR(VLOOKUP(B48,Enero!$B$2:$G$5822,4,0),"")</f>
        <v>BCP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IFERROR(VLOOKUP(B49,Enero!$B$2:$G$5822,4,0),"")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IFERROR(VLOOKUP(B50,Enero!$B$2:$G$5822,4,0),"")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IFERROR(VLOOKUP(B51,Enero!$B$2:$G$5822,4,0),"")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IFERROR(VLOOKUP(B52,Enero!$B$2:$G$5822,4,0),"")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IFERROR(VLOOKUP(B53,Enero!$B$2:$G$5822,4,0),"")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IFERROR(VLOOKUP(B54,Enero!$B$2:$G$5822,4,0),"")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IFERROR(VLOOKUP(B55,Enero!$B$2:$G$5822,4,0),"")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IFERROR(VLOOKUP(B56,Enero!$B$2:$G$5822,4,0),"")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IFERROR(VLOOKUP(B57,Enero!$B$2:$G$5822,4,0),"")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IFERROR(VLOOKUP(B58,Enero!$B$2:$G$5822,4,0),"")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IFERROR(VLOOKUP(B59,Enero!$B$2:$G$5822,4,0),"")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IFERROR(VLOOKUP(B60,Enero!$B$2:$G$5822,4,0),"")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IFERROR(VLOOKUP(B61,Enero!$B$2:$G$5822,4,0),"")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IFERROR(VLOOKUP(B62,Enero!$B$2:$G$5822,4,0),"")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IFERROR(VLOOKUP(B63,Enero!$B$2:$G$5822,4,0),"")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IFERROR(VLOOKUP(B64,Enero!$B$2:$G$5822,4,0),"")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IFERROR(VLOOKUP(B65,Enero!$B$2:$G$5822,4,0),"")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IFERROR(VLOOKUP(B66,Enero!$B$2:$G$5822,4,0),"")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IFERROR(VLOOKUP(B67,Enero!$B$2:$G$5822,4,0),"")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IFERROR(VLOOKUP(B68,Enero!$B$2:$G$5822,4,0),"")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IFERROR(VLOOKUP(B69,Enero!$B$2:$G$5822,4,0),"")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IFERROR(VLOOKUP(B70,Enero!$B$2:$G$5822,4,0),"")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IFERROR(VLOOKUP(B71,Enero!$B$2:$G$5822,4,0),"")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IFERROR(VLOOKUP(B72,Enero!$B$2:$G$5822,4,0),"")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IFERROR(VLOOKUP(B73,Enero!$B$2:$G$5822,4,0),"")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IFERROR(VLOOKUP(B74,Enero!$B$2:$G$5822,4,0),"")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IFERROR(VLOOKUP(B75,Enero!$B$2:$G$5822,4,0),"")</f>
        <v>ACTPETF</v>
      </c>
    </row>
    <row r="76" spans="1:7" x14ac:dyDescent="0.25">
      <c r="A76" s="11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IFERROR(VLOOKUP(B76,Enero!$B$2:$G$5822,4,0),"")</f>
        <v>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IFERROR(VLOOKUP(B77,Enero!$B$2:$G$5822,4,0),"")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IFERROR(VLOOKUP(B78,Enero!$B$2:$G$5822,4,0),"")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IFERROR(VLOOKUP(B79,Enero!$B$2:$G$5822,4,0),"")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IFERROR(VLOOKUP(B80,Enero!$B$2:$G$5822,4,0),"")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IFERROR(VLOOKUP(B81,Enero!$B$2:$G$5822,4,0),"")</f>
        <v>BM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tr">
        <f>IFERROR(VLOOKUP(B82,Enero!$B$2:$G$5822,4,0),"")</f>
        <v>ACTINYA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IFERROR(VLOOKUP(B83,Enero!$B$2:$G$5822,4,0),"")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IFERROR(VLOOKUP(B84,Enero!$B$2:$G$5822,4,0),"")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IFERROR(VLOOKUP(B85,Enero!$B$2:$G$5822,4,0),"")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IFERROR(VLOOKUP(B86,Enero!$B$2:$G$5822,4,0),"")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IFERROR(VLOOKUP(B87,Enero!$B$2:$G$5822,4,0),"")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IFERROR(VLOOKUP(B88,Enero!$B$2:$G$5822,4,0),"")</f>
        <v>APA_CNPC</v>
      </c>
    </row>
    <row r="89" spans="1:7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IFERROR(VLOOKUP(B89,Enero!$B$2:$G$5822,4,0),"")</f>
        <v>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IFERROR(VLOOKUP(B90,Enero!$B$2:$G$5822,4,0),"")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IFERROR(VLOOKUP(B91,Enero!$B$2:$G$5822,4,0),"")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IFERROR(VLOOKUP(B92,Enero!$B$2:$G$5822,4,0),"")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IFERROR(VLOOKUP(B93,Enero!$B$2:$G$5822,4,0),"")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IFERROR(VLOOKUP(B94,Enero!$B$2:$G$5822,4,0),"")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IFERROR(VLOOKUP(B95,Enero!$B$2:$G$5822,4,0),"")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IFERROR(VLOOKUP(B96,Enero!$B$2:$G$5822,4,0),"")</f>
        <v>ATAPET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IFERROR(VLOOKUP(B97,Enero!$B$2:$G$5822,4,0),"")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IFERROR(VLOOKUP(B98,Enero!$B$2:$G$5822,4,0),"")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IFERROR(VLOOKUP(B99,Enero!$B$2:$G$5822,4,0),"")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IFERROR(VLOOKUP(B100,Enero!$B$2:$G$5822,4,0),"")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IFERROR(VLOOKUP(B101,Enero!$B$2:$G$5822,4,0),"")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IFERROR(VLOOKUP(B102,Enero!$B$2:$G$5822,4,0),"")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IFERROR(VLOOKUP(B103,Enero!$B$2:$G$5822,4,0),"")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IFERROR(VLOOKUP(B104,Enero!$B$2:$G$5822,4,0),"")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IFERROR(VLOOKUP(B105,Enero!$B$2:$G$5822,4,0),"")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IFERROR(VLOOKUP(B106,Enero!$B$2:$G$5822,4,0),"")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IFERROR(VLOOKUP(B107,Enero!$B$2:$G$5822,4,0),"")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IFERROR(VLOOKUP(B108,Enero!$B$2:$G$5822,4,0),"")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IFERROR(VLOOKUP(B109,Enero!$B$2:$G$5822,4,0),"")</f>
        <v>APA_PC</v>
      </c>
    </row>
    <row r="110" spans="1:7" x14ac:dyDescent="0.25">
      <c r="A110" s="11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IFERROR(VLOOKUP(B110,Enero!$B$2:$G$5822,4,0),"")</f>
        <v>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IFERROR(VLOOKUP(B111,Enero!$B$2:$G$5822,4,0),"")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IFERROR(VLOOKUP(B112,Enero!$B$2:$G$5822,4,0),"")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IFERROR(VLOOKUP(B113,Enero!$B$2:$G$5822,4,0),"")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IFERROR(VLOOKUP(B114,Enero!$B$2:$G$5822,4,0),"")</f>
        <v>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IFERROR(VLOOKUP(B115,Enero!$B$2:$G$5822,4,0),"")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IFERROR(VLOOKUP(B116,Enero!$B$2:$G$5822,4,0),"")</f>
        <v>APA_CNPC</v>
      </c>
    </row>
    <row r="117" spans="1:7" x14ac:dyDescent="0.25">
      <c r="A117" s="11"/>
      <c r="B117" s="4" t="s">
        <v>155</v>
      </c>
      <c r="C117" s="4" t="s">
        <v>14</v>
      </c>
      <c r="D117" s="4" t="s">
        <v>15</v>
      </c>
      <c r="E117" s="4" t="s">
        <v>16</v>
      </c>
      <c r="F117" s="4" t="s">
        <v>14</v>
      </c>
      <c r="G117" s="5" t="str">
        <f>IFERROR(VLOOKUP(B117,Enero!$B$2:$G$5822,4,0),"")</f>
        <v>ATAPET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IFERROR(VLOOKUP(B118,Enero!$B$2:$G$5822,4,0),"")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IFERROR(VLOOKUP(B119,Enero!$B$2:$G$5822,4,0),"")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IFERROR(VLOOKUP(B120,Enero!$B$2:$G$5822,4,0),"")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IFERROR(VLOOKUP(B121,Enero!$B$2:$G$5822,4,0),"")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IFERROR(VLOOKUP(B122,Enero!$B$2:$G$5822,4,0),"")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IFERROR(VLOOKUP(B123,Enero!$B$2:$G$5822,4,0),"")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IFERROR(VLOOKUP(B124,Enero!$B$2:$G$5822,4,0),"")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IFERROR(VLOOKUP(B125,Enero!$B$2:$G$5822,4,0),"")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IFERROR(VLOOKUP(B126,Enero!$B$2:$G$5822,4,0),"")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IFERROR(VLOOKUP(B127,Enero!$B$2:$G$5822,4,0),"")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IFERROR(VLOOKUP(B128,Enero!$B$2:$G$5822,4,0),"")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IFERROR(VLOOKUP(B129,Enero!$B$2:$G$5822,4,0),"")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IFERROR(VLOOKUP(B130,Enero!$B$2:$G$5822,4,0),"")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IFERROR(VLOOKUP(B131,Enero!$B$2:$G$5822,4,0),"")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IFERROR(VLOOKUP(B132,Enero!$B$2:$G$5822,4,0),"")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IFERROR(VLOOKUP(B133,Enero!$B$2:$G$5822,4,0),"")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IFERROR(VLOOKUP(B134,Enero!$B$2:$G$5822,4,0),"")</f>
        <v>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IFERROR(VLOOKUP(B135,Enero!$B$2:$G$5822,4,0),"")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IFERROR(VLOOKUP(B136,Enero!$B$2:$G$5822,4,0),"")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IFERROR(VLOOKUP(B137,Enero!$B$2:$G$5822,4,0),"")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IFERROR(VLOOKUP(B138,Enero!$B$2:$G$5822,4,0),"")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IFERROR(VLOOKUP(B139,Enero!$B$2:$G$5822,4,0),"")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IFERROR(VLOOKUP(B140,Enero!$B$2:$G$5822,4,0),"")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IFERROR(VLOOKUP(B141,Enero!$B$2:$G$5822,4,0),"")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IFERROR(VLOOKUP(B142,Enero!$B$2:$G$5822,4,0),"")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IFERROR(VLOOKUP(B143,Enero!$B$2:$G$5822,4,0),"")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IFERROR(VLOOKUP(B144,Enero!$B$2:$G$5822,4,0),"")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IFERROR(VLOOKUP(B145,Enero!$B$2:$G$5822,4,0),"")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IFERROR(VLOOKUP(B146,Enero!$B$2:$G$5822,4,0),"")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IFERROR(VLOOKUP(B147,Enero!$B$2:$G$5822,4,0),"")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IFERROR(VLOOKUP(B148,Enero!$B$2:$G$5822,4,0),"")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IFERROR(VLOOKUP(B149,Enero!$B$2:$G$5822,4,0),"")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IFERROR(VLOOKUP(B150,Enero!$B$2:$G$5822,4,0),"")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IFERROR(VLOOKUP(B151,Enero!$B$2:$G$5822,4,0),"")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IFERROR(VLOOKUP(B152,Enero!$B$2:$G$5822,4,0),"")</f>
        <v>ATAPET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IFERROR(VLOOKUP(B153,Enero!$B$2:$G$5822,4,0),"")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IFERROR(VLOOKUP(B154,Enero!$B$2:$G$5822,4,0),"")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IFERROR(VLOOKUP(B155,Enero!$B$2:$G$5822,4,0),"")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IFERROR(VLOOKUP(B156,Enero!$B$2:$G$5822,4,0),"")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IFERROR(VLOOKUP(B157,Enero!$B$2:$G$5822,4,0),"")</f>
        <v>ATAPET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IFERROR(VLOOKUP(B158,Enero!$B$2:$G$5822,4,0),"")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IFERROR(VLOOKUP(B159,Enero!$B$2:$G$5822,4,0),"")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IFERROR(VLOOKUP(B160,Enero!$B$2:$G$5822,4,0),"")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IFERROR(VLOOKUP(B161,Enero!$B$2:$G$5822,4,0),"")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IFERROR(VLOOKUP(B162,Enero!$B$2:$G$5822,4,0),"")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IFERROR(VLOOKUP(B163,Enero!$B$2:$G$5822,4,0),"")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IFERROR(VLOOKUP(B164,Enero!$B$2:$G$5822,4,0),"")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IFERROR(VLOOKUP(B165,Enero!$B$2:$G$5822,4,0),"")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IFERROR(VLOOKUP(B166,Enero!$B$2:$G$5822,4,0),"")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IFERROR(VLOOKUP(B167,Enero!$B$2:$G$5822,4,0),"")</f>
        <v>DPAPET</v>
      </c>
    </row>
    <row r="168" spans="1:7" x14ac:dyDescent="0.25">
      <c r="A168" s="11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IFERROR(VLOOKUP(B168,Enero!$B$2:$G$5822,4,0),"")</f>
        <v>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IFERROR(VLOOKUP(B169,Enero!$B$2:$G$5822,4,0),"")</f>
        <v>ATAPET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IFERROR(VLOOKUP(B170,Enero!$B$2:$G$5822,4,0),"")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IFERROR(VLOOKUP(B171,Enero!$B$2:$G$5822,4,0),"")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IFERROR(VLOOKUP(B172,Enero!$B$2:$G$5822,4,0),"")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IFERROR(VLOOKUP(B173,Enero!$B$2:$G$5822,4,0),"")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IFERROR(VLOOKUP(B174,Enero!$B$2:$G$5822,4,0),"")</f>
        <v>ATAPET</v>
      </c>
    </row>
    <row r="175" spans="1:7" x14ac:dyDescent="0.25">
      <c r="A175" s="11"/>
      <c r="B175" s="4" t="s">
        <v>217</v>
      </c>
      <c r="C175" s="4" t="s">
        <v>14</v>
      </c>
      <c r="D175" s="4" t="s">
        <v>15</v>
      </c>
      <c r="E175" s="4" t="s">
        <v>16</v>
      </c>
      <c r="F175" s="4" t="s">
        <v>14</v>
      </c>
      <c r="G175" s="5" t="str">
        <f>IFERROR(VLOOKUP(B175,Enero!$B$2:$G$5822,4,0),"")</f>
        <v>ATAPET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IFERROR(VLOOKUP(B176,Enero!$B$2:$G$5822,4,0),"")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IFERROR(VLOOKUP(B177,Enero!$B$2:$G$5822,4,0),"")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IFERROR(VLOOKUP(B178,Enero!$B$2:$G$5822,4,0),"")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IFERROR(VLOOKUP(B179,Enero!$B$2:$G$5822,4,0),"")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IFERROR(VLOOKUP(B180,Enero!$B$2:$G$5822,4,0),"")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IFERROR(VLOOKUP(B181,Enero!$B$2:$G$5822,4,0),"")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IFERROR(VLOOKUP(B182,Enero!$B$2:$G$5822,4,0),"")</f>
        <v>BM</v>
      </c>
    </row>
    <row r="183" spans="1:7" x14ac:dyDescent="0.25">
      <c r="A183" s="11"/>
      <c r="B183" s="4" t="s">
        <v>225</v>
      </c>
      <c r="C183" s="4" t="s">
        <v>35</v>
      </c>
      <c r="D183" s="4" t="s">
        <v>35</v>
      </c>
      <c r="E183" s="4" t="s">
        <v>57</v>
      </c>
      <c r="F183" s="4" t="s">
        <v>77</v>
      </c>
      <c r="G183" s="5" t="str">
        <f>IFERROR(VLOOKUP(B183,Enero!$B$2:$G$5822,4,0),"")</f>
        <v>INACTBM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IFERROR(VLOOKUP(B184,Enero!$B$2:$G$5822,4,0),"")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IFERROR(VLOOKUP(B185,Enero!$B$2:$G$5822,4,0),"")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IFERROR(VLOOKUP(B186,Enero!$B$2:$G$5822,4,0),"")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IFERROR(VLOOKUP(B187,Enero!$B$2:$G$5822,4,0),"")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IFERROR(VLOOKUP(B188,Enero!$B$2:$G$5822,4,0),"")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IFERROR(VLOOKUP(B189,Enero!$B$2:$G$5822,4,0),"")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IFERROR(VLOOKUP(B190,Enero!$B$2:$G$5822,4,0),"")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IFERROR(VLOOKUP(B191,Enero!$B$2:$G$5822,4,0),"")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IFERROR(VLOOKUP(B192,Enero!$B$2:$G$5822,4,0),"")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IFERROR(VLOOKUP(B193,Enero!$B$2:$G$5822,4,0),"")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IFERROR(VLOOKUP(B194,Enero!$B$2:$G$5822,4,0),"")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IFERROR(VLOOKUP(B195,Enero!$B$2:$G$5822,4,0),"")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IFERROR(VLOOKUP(B196,Enero!$B$2:$G$5822,4,0),"")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IFERROR(VLOOKUP(B197,Enero!$B$2:$G$5822,4,0),"")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IFERROR(VLOOKUP(B198,Enero!$B$2:$G$5822,4,0),"")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IFERROR(VLOOKUP(B199,Enero!$B$2:$G$5822,4,0),"")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IFERROR(VLOOKUP(B200,Enero!$B$2:$G$5822,4,0),"")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IFERROR(VLOOKUP(B201,Enero!$B$2:$G$5822,4,0),"")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IFERROR(VLOOKUP(B202,Enero!$B$2:$G$5822,4,0),"")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IFERROR(VLOOKUP(B203,Enero!$B$2:$G$5822,4,0),"")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IFERROR(VLOOKUP(B204,Enero!$B$2:$G$5822,4,0),"")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IFERROR(VLOOKUP(B205,Enero!$B$2:$G$5822,4,0),"")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IFERROR(VLOOKUP(B206,Enero!$B$2:$G$5822,4,0),"")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IFERROR(VLOOKUP(B207,Enero!$B$2:$G$5822,4,0),"")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IFERROR(VLOOKUP(B208,Enero!$B$2:$G$5822,4,0),"")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IFERROR(VLOOKUP(B209,Enero!$B$2:$G$5822,4,0),"")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IFERROR(VLOOKUP(B210,Enero!$B$2:$G$5822,4,0),"")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IFERROR(VLOOKUP(B211,Enero!$B$2:$G$5822,4,0),"")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IFERROR(VLOOKUP(B212,Enero!$B$2:$G$5822,4,0),"")</f>
        <v>ATAPET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IFERROR(VLOOKUP(B213,Enero!$B$2:$G$5822,4,0),"")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IFERROR(VLOOKUP(B214,Enero!$B$2:$G$5822,4,0),"")</f>
        <v>ATAINY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IFERROR(VLOOKUP(B215,Enero!$B$2:$G$5822,4,0),"")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IFERROR(VLOOKUP(B216,Enero!$B$2:$G$5822,4,0),"")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IFERROR(VLOOKUP(B217,Enero!$B$2:$G$5822,4,0),"")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IFERROR(VLOOKUP(B218,Enero!$B$2:$G$5822,4,0),"")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IFERROR(VLOOKUP(B219,Enero!$B$2:$G$5822,4,0),"")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IFERROR(VLOOKUP(B220,Enero!$B$2:$G$5822,4,0),"")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IFERROR(VLOOKUP(B221,Enero!$B$2:$G$5822,4,0),"")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IFERROR(VLOOKUP(B222,Enero!$B$2:$G$5822,4,0),"")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IFERROR(VLOOKUP(B223,Enero!$B$2:$G$5822,4,0),"")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IFERROR(VLOOKUP(B224,Enero!$B$2:$G$5822,4,0),"")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IFERROR(VLOOKUP(B225,Enero!$B$2:$G$5822,4,0),"")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IFERROR(VLOOKUP(B226,Enero!$B$2:$G$5822,4,0),"")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IFERROR(VLOOKUP(B227,Enero!$B$2:$G$5822,4,0),"")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IFERROR(VLOOKUP(B228,Enero!$B$2:$G$5822,4,0),"")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IFERROR(VLOOKUP(B229,Enero!$B$2:$G$5822,4,0),"")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IFERROR(VLOOKUP(B230,Enero!$B$2:$G$5822,4,0),"")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IFERROR(VLOOKUP(B231,Enero!$B$2:$G$5822,4,0),"")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IFERROR(VLOOKUP(B232,Enero!$B$2:$G$5822,4,0),"")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IFERROR(VLOOKUP(B233,Enero!$B$2:$G$5822,4,0),"")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IFERROR(VLOOKUP(B234,Enero!$B$2:$G$5822,4,0),"")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IFERROR(VLOOKUP(B235,Enero!$B$2:$G$5822,4,0),"")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IFERROR(VLOOKUP(B236,Enero!$B$2:$G$5822,4,0),"")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IFERROR(VLOOKUP(B237,Enero!$B$2:$G$5822,4,0),"")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IFERROR(VLOOKUP(B238,Enero!$B$2:$G$5822,4,0),"")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IFERROR(VLOOKUP(B239,Enero!$B$2:$G$5822,4,0),"")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IFERROR(VLOOKUP(B240,Enero!$B$2:$G$5822,4,0),"")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IFERROR(VLOOKUP(B241,Enero!$B$2:$G$5822,4,0),"")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IFERROR(VLOOKUP(B242,Enero!$B$2:$G$5822,4,0),"")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IFERROR(VLOOKUP(B243,Enero!$B$2:$G$5822,4,0),"")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IFERROR(VLOOKUP(B244,Enero!$B$2:$G$5822,4,0),"")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IFERROR(VLOOKUP(B245,Enero!$B$2:$G$5822,4,0),"")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IFERROR(VLOOKUP(B246,Enero!$B$2:$G$5822,4,0),"")</f>
        <v>ATAPET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IFERROR(VLOOKUP(B247,Enero!$B$2:$G$5822,4,0),"")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IFERROR(VLOOKUP(B248,Enero!$B$2:$G$5822,4,0),"")</f>
        <v>ATAGAS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IFERROR(VLOOKUP(B249,Enero!$B$2:$G$5822,4,0),"")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IFERROR(VLOOKUP(B250,Enero!$B$2:$G$5822,4,0),"")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IFERROR(VLOOKUP(B251,Enero!$B$2:$G$5822,4,0),"")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IFERROR(VLOOKUP(B252,Enero!$B$2:$G$5822,4,0),"")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IFERROR(VLOOKUP(B253,Enero!$B$2:$G$5822,4,0),"")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IFERROR(VLOOKUP(B254,Enero!$B$2:$G$5822,4,0),"")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IFERROR(VLOOKUP(B255,Enero!$B$2:$G$5822,4,0),"")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IFERROR(VLOOKUP(B256,Enero!$B$2:$G$5822,4,0),"")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IFERROR(VLOOKUP(B257,Enero!$B$2:$G$5822,4,0),"")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IFERROR(VLOOKUP(B258,Enero!$B$2:$G$5822,4,0),"")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IFERROR(VLOOKUP(B259,Enero!$B$2:$G$5822,4,0),"")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IFERROR(VLOOKUP(B260,Enero!$B$2:$G$5822,4,0),"")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IFERROR(VLOOKUP(B261,Enero!$B$2:$G$5822,4,0),"")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IFERROR(VLOOKUP(B262,Enero!$B$2:$G$5822,4,0),"")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IFERROR(VLOOKUP(B263,Enero!$B$2:$G$5822,4,0),"")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IFERROR(VLOOKUP(B264,Enero!$B$2:$G$5822,4,0),"")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IFERROR(VLOOKUP(B265,Enero!$B$2:$G$5822,4,0),"")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IFERROR(VLOOKUP(B266,Enero!$B$2:$G$5822,4,0),"")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IFERROR(VLOOKUP(B267,Enero!$B$2:$G$5822,4,0),"")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IFERROR(VLOOKUP(B268,Enero!$B$2:$G$5822,4,0),"")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IFERROR(VLOOKUP(B269,Enero!$B$2:$G$5822,4,0),"")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IFERROR(VLOOKUP(B270,Enero!$B$2:$G$5822,4,0),"")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IFERROR(VLOOKUP(B271,Enero!$B$2:$G$5822,4,0),"")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IFERROR(VLOOKUP(B272,Enero!$B$2:$G$5822,4,0),"")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IFERROR(VLOOKUP(B273,Enero!$B$2:$G$5822,4,0),"")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IFERROR(VLOOKUP(B274,Enero!$B$2:$G$5822,4,0),"")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IFERROR(VLOOKUP(B275,Enero!$B$2:$G$5822,4,0),"")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IFERROR(VLOOKUP(B276,Enero!$B$2:$G$5822,4,0),"")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IFERROR(VLOOKUP(B277,Enero!$B$2:$G$5822,4,0),"")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IFERROR(VLOOKUP(B278,Enero!$B$2:$G$5822,4,0),"")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IFERROR(VLOOKUP(B279,Enero!$B$2:$G$5822,4,0),"")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IFERROR(VLOOKUP(B280,Enero!$B$2:$G$5822,4,0),"")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IFERROR(VLOOKUP(B281,Enero!$B$2:$G$5822,4,0),"")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IFERROR(VLOOKUP(B282,Enero!$B$2:$G$5822,4,0),"")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IFERROR(VLOOKUP(B283,Enero!$B$2:$G$5822,4,0),"")</f>
        <v>DPAPET</v>
      </c>
    </row>
    <row r="284" spans="1:7" x14ac:dyDescent="0.25">
      <c r="A284" s="11"/>
      <c r="B284" s="4" t="s">
        <v>329</v>
      </c>
      <c r="C284" s="4" t="s">
        <v>11</v>
      </c>
      <c r="D284" s="4" t="s">
        <v>11</v>
      </c>
      <c r="E284" s="4" t="s">
        <v>11</v>
      </c>
      <c r="F284" s="4" t="s">
        <v>100</v>
      </c>
      <c r="G284" s="5" t="str">
        <f>IFERROR(VLOOKUP(B284,Enero!$B$2:$G$5822,4,0),"")</f>
        <v>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IFERROR(VLOOKUP(B285,Enero!$B$2:$G$5822,4,0),"")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IFERROR(VLOOKUP(B286,Enero!$B$2:$G$5822,4,0),"")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IFERROR(VLOOKUP(B287,Enero!$B$2:$G$5822,4,0),"")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IFERROR(VLOOKUP(B288,Enero!$B$2:$G$5822,4,0),"")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IFERROR(VLOOKUP(B289,Enero!$B$2:$G$5822,4,0),"")</f>
        <v>INACTPETS</v>
      </c>
    </row>
    <row r="290" spans="1:7" x14ac:dyDescent="0.25">
      <c r="A290" s="11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IFERROR(VLOOKUP(B290,Enero!$B$2:$G$5822,4,0),"")</f>
        <v>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IFERROR(VLOOKUP(B291,Enero!$B$2:$G$5822,4,0),"")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IFERROR(VLOOKUP(B292,Enero!$B$2:$G$5822,4,0),"")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IFERROR(VLOOKUP(B293,Enero!$B$2:$G$5822,4,0),"")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IFERROR(VLOOKUP(B294,Enero!$B$2:$G$5822,4,0),"")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IFERROR(VLOOKUP(B295,Enero!$B$2:$G$5822,4,0),"")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IFERROR(VLOOKUP(B296,Enero!$B$2:$G$5822,4,0),"")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IFERROR(VLOOKUP(B297,Enero!$B$2:$G$5822,4,0),"")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IFERROR(VLOOKUP(B298,Enero!$B$2:$G$5822,4,0),"")</f>
        <v>ACTPETS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IFERROR(VLOOKUP(B299,Enero!$B$2:$G$5822,4,0),"")</f>
        <v>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IFERROR(VLOOKUP(B300,Enero!$B$2:$G$5822,4,0),"")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IFERROR(VLOOKUP(B301,Enero!$B$2:$G$5822,4,0),"")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IFERROR(VLOOKUP(B302,Enero!$B$2:$G$5822,4,0),"")</f>
        <v>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IFERROR(VLOOKUP(B303,Enero!$B$2:$G$5822,4,0),"")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IFERROR(VLOOKUP(B304,Enero!$B$2:$G$5822,4,0),"")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IFERROR(VLOOKUP(B305,Enero!$B$2:$G$5822,4,0),"")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IFERROR(VLOOKUP(B306,Enero!$B$2:$G$5822,4,0),"")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IFERROR(VLOOKUP(B307,Enero!$B$2:$G$5822,4,0),"")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IFERROR(VLOOKUP(B308,Enero!$B$2:$G$5822,4,0),"")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IFERROR(VLOOKUP(B309,Enero!$B$2:$G$5822,4,0),"")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IFERROR(VLOOKUP(B310,Enero!$B$2:$G$5822,4,0),"")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IFERROR(VLOOKUP(B311,Enero!$B$2:$G$5822,4,0),"")</f>
        <v>ACTPETS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IFERROR(VLOOKUP(B312,Enero!$B$2:$G$5822,4,0),"")</f>
        <v>INACTPETF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IFERROR(VLOOKUP(B313,Enero!$B$2:$G$5822,4,0),"")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IFERROR(VLOOKUP(B314,Enero!$B$2:$G$5822,4,0),"")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IFERROR(VLOOKUP(B315,Enero!$B$2:$G$5822,4,0),"")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IFERROR(VLOOKUP(B316,Enero!$B$2:$G$5822,4,0),"")</f>
        <v>ACTPETS</v>
      </c>
    </row>
    <row r="317" spans="1:7" x14ac:dyDescent="0.25">
      <c r="A317" s="11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IFERROR(VLOOKUP(B317,Enero!$B$2:$G$5822,4,0),"")</f>
        <v>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IFERROR(VLOOKUP(B318,Enero!$B$2:$G$5822,4,0),"")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IFERROR(VLOOKUP(B319,Enero!$B$2:$G$5822,4,0),"")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IFERROR(VLOOKUP(B320,Enero!$B$2:$G$5822,4,0),"")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IFERROR(VLOOKUP(B321,Enero!$B$2:$G$5822,4,0),"")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IFERROR(VLOOKUP(B322,Enero!$B$2:$G$5822,4,0),"")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IFERROR(VLOOKUP(B323,Enero!$B$2:$G$5822,4,0),"")</f>
        <v>ATAPET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IFERROR(VLOOKUP(B324,Enero!$B$2:$G$5822,4,0),"")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IFERROR(VLOOKUP(B325,Enero!$B$2:$G$5822,4,0),"")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IFERROR(VLOOKUP(B326,Enero!$B$2:$G$5822,4,0),"")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IFERROR(VLOOKUP(B327,Enero!$B$2:$G$5822,4,0),"")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IFERROR(VLOOKUP(B328,Enero!$B$2:$G$5822,4,0),"")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IFERROR(VLOOKUP(B329,Enero!$B$2:$G$5822,4,0),"")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IFERROR(VLOOKUP(B330,Enero!$B$2:$G$5822,4,0),"")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IFERROR(VLOOKUP(B331,Enero!$B$2:$G$5822,4,0),"")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IFERROR(VLOOKUP(B332,Enero!$B$2:$G$5822,4,0),"")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IFERROR(VLOOKUP(B333,Enero!$B$2:$G$5822,4,0),"")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IFERROR(VLOOKUP(B334,Enero!$B$2:$G$5822,4,0),"")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IFERROR(VLOOKUP(B335,Enero!$B$2:$G$5822,4,0),"")</f>
        <v>ACTPETS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IFERROR(VLOOKUP(B336,Enero!$B$2:$G$5822,4,0),"")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IFERROR(VLOOKUP(B337,Enero!$B$2:$G$5822,4,0),"")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IFERROR(VLOOKUP(B338,Enero!$B$2:$G$5822,4,0),"")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IFERROR(VLOOKUP(B339,Enero!$B$2:$G$5822,4,0),"")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IFERROR(VLOOKUP(B340,Enero!$B$2:$G$5822,4,0),"")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tr">
        <f>IFERROR(VLOOKUP(B341,Enero!$B$2:$G$5822,4,0),"")</f>
        <v>BM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IFERROR(VLOOKUP(B342,Enero!$B$2:$G$5822,4,0),"")</f>
        <v>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IFERROR(VLOOKUP(B343,Enero!$B$2:$G$5822,4,0),"")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IFERROR(VLOOKUP(B344,Enero!$B$2:$G$5822,4,0),"")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IFERROR(VLOOKUP(B345,Enero!$B$2:$G$5822,4,0),"")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IFERROR(VLOOKUP(B346,Enero!$B$2:$G$5822,4,0),"")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IFERROR(VLOOKUP(B347,Enero!$B$2:$G$5822,4,0),"")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IFERROR(VLOOKUP(B348,Enero!$B$2:$G$5822,4,0),"")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IFERROR(VLOOKUP(B349,Enero!$B$2:$G$5822,4,0),"")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IFERROR(VLOOKUP(B350,Enero!$B$2:$G$5822,4,0),"")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IFERROR(VLOOKUP(B351,Enero!$B$2:$G$5822,4,0),"")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IFERROR(VLOOKUP(B352,Enero!$B$2:$G$5822,4,0),"")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IFERROR(VLOOKUP(B353,Enero!$B$2:$G$5822,4,0),"")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IFERROR(VLOOKUP(B354,Enero!$B$2:$G$5822,4,0),"")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IFERROR(VLOOKUP(B355,Enero!$B$2:$G$5822,4,0),"")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IFERROR(VLOOKUP(B356,Enero!$B$2:$G$5822,4,0),"")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IFERROR(VLOOKUP(B357,Enero!$B$2:$G$5822,4,0),"")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IFERROR(VLOOKUP(B358,Enero!$B$2:$G$5822,4,0),"")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IFERROR(VLOOKUP(B359,Enero!$B$2:$G$5822,4,0),"")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IFERROR(VLOOKUP(B360,Enero!$B$2:$G$5822,4,0),"")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IFERROR(VLOOKUP(B361,Enero!$B$2:$G$5822,4,0),"")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IFERROR(VLOOKUP(B362,Enero!$B$2:$G$5822,4,0),"")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IFERROR(VLOOKUP(B363,Enero!$B$2:$G$5822,4,0),"")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IFERROR(VLOOKUP(B364,Enero!$B$2:$G$5822,4,0),"")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IFERROR(VLOOKUP(B365,Enero!$B$2:$G$5822,4,0),"")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IFERROR(VLOOKUP(B366,Enero!$B$2:$G$5822,4,0),"")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IFERROR(VLOOKUP(B367,Enero!$B$2:$G$5822,4,0),"")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IFERROR(VLOOKUP(B368,Enero!$B$2:$G$5822,4,0),"")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IFERROR(VLOOKUP(B369,Enero!$B$2:$G$5822,4,0),"")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IFERROR(VLOOKUP(B370,Enero!$B$2:$G$5822,4,0),"")</f>
        <v>ACTPETS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IFERROR(VLOOKUP(B371,Enero!$B$2:$G$5822,4,0),"")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IFERROR(VLOOKUP(B372,Enero!$B$2:$G$5822,4,0),"")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IFERROR(VLOOKUP(B373,Enero!$B$2:$G$5822,4,0),"")</f>
        <v>ACTPETS</v>
      </c>
    </row>
    <row r="374" spans="1:7" x14ac:dyDescent="0.25">
      <c r="A374" s="11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IFERROR(VLOOKUP(B374,Enero!$B$2:$G$5822,4,0),"")</f>
        <v>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IFERROR(VLOOKUP(B375,Enero!$B$2:$G$5822,4,0),"")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IFERROR(VLOOKUP(B376,Enero!$B$2:$G$5822,4,0),"")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IFERROR(VLOOKUP(B377,Enero!$B$2:$G$5822,4,0),"")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IFERROR(VLOOKUP(B378,Enero!$B$2:$G$5822,4,0),"")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IFERROR(VLOOKUP(B379,Enero!$B$2:$G$5822,4,0),"")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IFERROR(VLOOKUP(B380,Enero!$B$2:$G$5822,4,0),"")</f>
        <v>ACTPETS</v>
      </c>
    </row>
    <row r="381" spans="1:7" x14ac:dyDescent="0.25">
      <c r="A381" s="11"/>
      <c r="B381" s="4" t="s">
        <v>426</v>
      </c>
      <c r="C381" s="4" t="s">
        <v>11</v>
      </c>
      <c r="D381" s="4" t="s">
        <v>11</v>
      </c>
      <c r="E381" s="4" t="s">
        <v>11</v>
      </c>
      <c r="F381" s="4" t="s">
        <v>120</v>
      </c>
      <c r="G381" s="5" t="str">
        <f>IFERROR(VLOOKUP(B381,Enero!$B$2:$G$5822,4,0),"")</f>
        <v>BM</v>
      </c>
    </row>
    <row r="382" spans="1:7" x14ac:dyDescent="0.25">
      <c r="A382" s="11"/>
      <c r="B382" s="4" t="s">
        <v>427</v>
      </c>
      <c r="C382" s="4" t="s">
        <v>35</v>
      </c>
      <c r="D382" s="4" t="s">
        <v>35</v>
      </c>
      <c r="E382" s="4" t="s">
        <v>57</v>
      </c>
      <c r="F382" s="4" t="s">
        <v>241</v>
      </c>
      <c r="G382" s="5" t="str">
        <f>IFERROR(VLOOKUP(B382,Enero!$B$2:$G$5822,4,0),"")</f>
        <v>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IFERROR(VLOOKUP(B383,Enero!$B$2:$G$5822,4,0),"")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IFERROR(VLOOKUP(B384,Enero!$B$2:$G$5822,4,0),"")</f>
        <v>INACTPETF</v>
      </c>
    </row>
    <row r="385" spans="1:7" x14ac:dyDescent="0.25">
      <c r="A385" s="11"/>
      <c r="B385" s="4" t="s">
        <v>430</v>
      </c>
      <c r="C385" s="4" t="s">
        <v>18</v>
      </c>
      <c r="D385" s="4" t="s">
        <v>19</v>
      </c>
      <c r="E385" s="4" t="s">
        <v>20</v>
      </c>
      <c r="F385" s="4" t="s">
        <v>21</v>
      </c>
      <c r="G385" s="5" t="str">
        <f>IFERROR(VLOOKUP(B385,Enero!$B$2:$G$5822,4,0),"")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IFERROR(VLOOKUP(B386,Enero!$B$2:$G$5822,4,0),"")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IFERROR(VLOOKUP(B387,Enero!$B$2:$G$5822,4,0),"")</f>
        <v>BM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IFERROR(VLOOKUP(B388,Enero!$B$2:$G$5822,4,0),"")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IFERROR(VLOOKUP(B389,Enero!$B$2:$G$5822,4,0),"")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IFERROR(VLOOKUP(B390,Enero!$B$2:$G$5822,4,0),"")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IFERROR(VLOOKUP(B391,Enero!$B$2:$G$5822,4,0),"")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IFERROR(VLOOKUP(B392,Enero!$B$2:$G$5822,4,0),"")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IFERROR(VLOOKUP(B393,Enero!$B$2:$G$5822,4,0),"")</f>
        <v>ACTPETS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IFERROR(VLOOKUP(B394,Enero!$B$2:$G$5822,4,0),"")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IFERROR(VLOOKUP(B395,Enero!$B$2:$G$5822,4,0),"")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IFERROR(VLOOKUP(B396,Enero!$B$2:$G$5822,4,0),"")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IFERROR(VLOOKUP(B397,Enero!$B$2:$G$5822,4,0),"")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IFERROR(VLOOKUP(B398,Enero!$B$2:$G$5822,4,0),"")</f>
        <v>INACTPETS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IFERROR(VLOOKUP(B399,Enero!$B$2:$G$5822,4,0),"")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IFERROR(VLOOKUP(B400,Enero!$B$2:$G$5822,4,0),"")</f>
        <v>ATAPET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IFERROR(VLOOKUP(B401,Enero!$B$2:$G$5822,4,0),"")</f>
        <v>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IFERROR(VLOOKUP(B402,Enero!$B$2:$G$5822,4,0),"")</f>
        <v>ATAGAS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IFERROR(VLOOKUP(B403,Enero!$B$2:$G$5822,4,0),"")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IFERROR(VLOOKUP(B404,Enero!$B$2:$G$5822,4,0),"")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IFERROR(VLOOKUP(B405,Enero!$B$2:$G$5822,4,0),"")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IFERROR(VLOOKUP(B406,Enero!$B$2:$G$5822,4,0),"")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IFERROR(VLOOKUP(B407,Enero!$B$2:$G$5822,4,0),"")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IFERROR(VLOOKUP(B408,Enero!$B$2:$G$5822,4,0),"")</f>
        <v>BM</v>
      </c>
    </row>
    <row r="409" spans="1:7" x14ac:dyDescent="0.25">
      <c r="A409" s="11"/>
      <c r="B409" s="4" t="s">
        <v>454</v>
      </c>
      <c r="C409" s="4" t="s">
        <v>14</v>
      </c>
      <c r="D409" s="4" t="s">
        <v>15</v>
      </c>
      <c r="E409" s="4" t="s">
        <v>16</v>
      </c>
      <c r="F409" s="4" t="s">
        <v>14</v>
      </c>
      <c r="G409" s="5" t="str">
        <f>IFERROR(VLOOKUP(B409,Enero!$B$2:$G$5822,4,0),"")</f>
        <v>ATAPET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IFERROR(VLOOKUP(B410,Enero!$B$2:$G$5822,4,0),"")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IFERROR(VLOOKUP(B411,Enero!$B$2:$G$5822,4,0),"")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IFERROR(VLOOKUP(B412,Enero!$B$2:$G$5822,4,0),"")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IFERROR(VLOOKUP(B413,Enero!$B$2:$G$5822,4,0),"")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IFERROR(VLOOKUP(B414,Enero!$B$2:$G$5822,4,0),"")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IFERROR(VLOOKUP(B415,Enero!$B$2:$G$5822,4,0),"")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IFERROR(VLOOKUP(B416,Enero!$B$2:$G$5822,4,0),"")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IFERROR(VLOOKUP(B417,Enero!$B$2:$G$5822,4,0),"")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IFERROR(VLOOKUP(B418,Enero!$B$2:$G$5822,4,0),"")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IFERROR(VLOOKUP(B419,Enero!$B$2:$G$5822,4,0),"")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IFERROR(VLOOKUP(B420,Enero!$B$2:$G$5822,4,0),"")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IFERROR(VLOOKUP(B421,Enero!$B$2:$G$5822,4,0),"")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IFERROR(VLOOKUP(B422,Enero!$B$2:$G$5822,4,0),"")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IFERROR(VLOOKUP(B423,Enero!$B$2:$G$5822,4,0),"")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IFERROR(VLOOKUP(B424,Enero!$B$2:$G$5822,4,0),"")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IFERROR(VLOOKUP(B425,Enero!$B$2:$G$5822,4,0),"")</f>
        <v>BM</v>
      </c>
    </row>
    <row r="426" spans="1:7" x14ac:dyDescent="0.25">
      <c r="A426" s="11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IFERROR(VLOOKUP(B426,Enero!$B$2:$G$5822,4,0),"")</f>
        <v>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IFERROR(VLOOKUP(B427,Enero!$B$2:$G$5822,4,0),"")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IFERROR(VLOOKUP(B428,Enero!$B$2:$G$5822,4,0),"")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IFERROR(VLOOKUP(B429,Enero!$B$2:$G$5822,4,0),"")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IFERROR(VLOOKUP(B430,Enero!$B$2:$G$5822,4,0),"")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IFERROR(VLOOKUP(B431,Enero!$B$2:$G$5822,4,0),"")</f>
        <v>INACTPETF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IFERROR(VLOOKUP(B432,Enero!$B$2:$G$5822,4,0),"")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IFERROR(VLOOKUP(B433,Enero!$B$2:$G$5822,4,0),"")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IFERROR(VLOOKUP(B434,Enero!$B$2:$G$5822,4,0),"")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IFERROR(VLOOKUP(B435,Enero!$B$2:$G$5822,4,0),"")</f>
        <v>ACTPETS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IFERROR(VLOOKUP(B436,Enero!$B$2:$G$5822,4,0),"")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IFERROR(VLOOKUP(B437,Enero!$B$2:$G$5822,4,0),"")</f>
        <v>BM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IFERROR(VLOOKUP(B438,Enero!$B$2:$G$5822,4,0),"")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IFERROR(VLOOKUP(B439,Enero!$B$2:$G$5822,4,0),"")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IFERROR(VLOOKUP(B440,Enero!$B$2:$G$5822,4,0),"")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IFERROR(VLOOKUP(B441,Enero!$B$2:$G$5822,4,0),"")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IFERROR(VLOOKUP(B442,Enero!$B$2:$G$5822,4,0),"")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IFERROR(VLOOKUP(B443,Enero!$B$2:$G$5822,4,0),"")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IFERROR(VLOOKUP(B444,Enero!$B$2:$G$5822,4,0),"")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IFERROR(VLOOKUP(B445,Enero!$B$2:$G$5822,4,0),"")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IFERROR(VLOOKUP(B446,Enero!$B$2:$G$5822,4,0),"")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IFERROR(VLOOKUP(B447,Enero!$B$2:$G$5822,4,0),"")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IFERROR(VLOOKUP(B448,Enero!$B$2:$G$5822,4,0),"")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IFERROR(VLOOKUP(B449,Enero!$B$2:$G$5822,4,0),"")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IFERROR(VLOOKUP(B450,Enero!$B$2:$G$5822,4,0),"")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IFERROR(VLOOKUP(B451,Enero!$B$2:$G$5822,4,0),"")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IFERROR(VLOOKUP(B452,Enero!$B$2:$G$5822,4,0),"")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IFERROR(VLOOKUP(B453,Enero!$B$2:$G$5822,4,0),"")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IFERROR(VLOOKUP(B454,Enero!$B$2:$G$5822,4,0),"")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IFERROR(VLOOKUP(B455,Enero!$B$2:$G$5822,4,0),"")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IFERROR(VLOOKUP(B456,Enero!$B$2:$G$5822,4,0),"")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IFERROR(VLOOKUP(B457,Enero!$B$2:$G$5822,4,0),"")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IFERROR(VLOOKUP(B458,Enero!$B$2:$G$5822,4,0),"")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IFERROR(VLOOKUP(B459,Enero!$B$2:$G$5822,4,0),"")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IFERROR(VLOOKUP(B460,Enero!$B$2:$G$5822,4,0),"")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IFERROR(VLOOKUP(B461,Enero!$B$2:$G$5822,4,0),"")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IFERROR(VLOOKUP(B462,Enero!$B$2:$G$5822,4,0),"")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IFERROR(VLOOKUP(B463,Enero!$B$2:$G$5822,4,0),"")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IFERROR(VLOOKUP(B464,Enero!$B$2:$G$5822,4,0),"")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IFERROR(VLOOKUP(B465,Enero!$B$2:$G$5822,4,0),"")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IFERROR(VLOOKUP(B466,Enero!$B$2:$G$5822,4,0),"")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IFERROR(VLOOKUP(B467,Enero!$B$2:$G$5822,4,0),"")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IFERROR(VLOOKUP(B468,Enero!$B$2:$G$5822,4,0),"")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IFERROR(VLOOKUP(B469,Enero!$B$2:$G$5822,4,0),"")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IFERROR(VLOOKUP(B470,Enero!$B$2:$G$5822,4,0),"")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IFERROR(VLOOKUP(B471,Enero!$B$2:$G$5822,4,0),"")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IFERROR(VLOOKUP(B472,Enero!$B$2:$G$5822,4,0),"")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IFERROR(VLOOKUP(B473,Enero!$B$2:$G$5822,4,0),"")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IFERROR(VLOOKUP(B474,Enero!$B$2:$G$5822,4,0),"")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IFERROR(VLOOKUP(B475,Enero!$B$2:$G$5822,4,0),"")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IFERROR(VLOOKUP(B476,Enero!$B$2:$G$5822,4,0),"")</f>
        <v>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IFERROR(VLOOKUP(B477,Enero!$B$2:$G$5822,4,0),"")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IFERROR(VLOOKUP(B478,Enero!$B$2:$G$5822,4,0),"")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IFERROR(VLOOKUP(B479,Enero!$B$2:$G$5822,4,0),"")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IFERROR(VLOOKUP(B480,Enero!$B$2:$G$5822,4,0),"")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IFERROR(VLOOKUP(B481,Enero!$B$2:$G$5822,4,0),"")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IFERROR(VLOOKUP(B482,Enero!$B$2:$G$5822,4,0),"")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IFERROR(VLOOKUP(B483,Enero!$B$2:$G$5822,4,0),"")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IFERROR(VLOOKUP(B484,Enero!$B$2:$G$5822,4,0),"")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IFERROR(VLOOKUP(B485,Enero!$B$2:$G$5822,4,0),"")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IFERROR(VLOOKUP(B486,Enero!$B$2:$G$5822,4,0),"")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IFERROR(VLOOKUP(B487,Enero!$B$2:$G$5822,4,0),"")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IFERROR(VLOOKUP(B488,Enero!$B$2:$G$5822,4,0),"")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IFERROR(VLOOKUP(B489,Enero!$B$2:$G$5822,4,0),"")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IFERROR(VLOOKUP(B490,Enero!$B$2:$G$5822,4,0),"")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IFERROR(VLOOKUP(B491,Enero!$B$2:$G$5822,4,0),"")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IFERROR(VLOOKUP(B492,Enero!$B$2:$G$5822,4,0),"")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IFERROR(VLOOKUP(B493,Enero!$B$2:$G$5822,4,0),"")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IFERROR(VLOOKUP(B494,Enero!$B$2:$G$5822,4,0),"")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IFERROR(VLOOKUP(B495,Enero!$B$2:$G$5822,4,0),"")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IFERROR(VLOOKUP(B496,Enero!$B$2:$G$5822,4,0),"")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IFERROR(VLOOKUP(B497,Enero!$B$2:$G$5822,4,0),"")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IFERROR(VLOOKUP(B498,Enero!$B$2:$G$5822,4,0),"")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IFERROR(VLOOKUP(B499,Enero!$B$2:$G$5822,4,0),"")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IFERROR(VLOOKUP(B500,Enero!$B$2:$G$5822,4,0),"")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IFERROR(VLOOKUP(B501,Enero!$B$2:$G$5822,4,0),"")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IFERROR(VLOOKUP(B502,Enero!$B$2:$G$5822,4,0),"")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IFERROR(VLOOKUP(B503,Enero!$B$2:$G$5822,4,0),"")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IFERROR(VLOOKUP(B504,Enero!$B$2:$G$5822,4,0),"")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IFERROR(VLOOKUP(B505,Enero!$B$2:$G$5822,4,0),"")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IFERROR(VLOOKUP(B506,Enero!$B$2:$G$5822,4,0),"")</f>
        <v>BM</v>
      </c>
    </row>
    <row r="507" spans="1:7" x14ac:dyDescent="0.25">
      <c r="A507" s="11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IFERROR(VLOOKUP(B507,Enero!$B$2:$G$5822,4,0),"")</f>
        <v>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IFERROR(VLOOKUP(B508,Enero!$B$2:$G$5822,4,0),"")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IFERROR(VLOOKUP(B509,Enero!$B$2:$G$5822,4,0),"")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IFERROR(VLOOKUP(B510,Enero!$B$2:$G$5822,4,0),"")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IFERROR(VLOOKUP(B511,Enero!$B$2:$G$5822,4,0),"")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IFERROR(VLOOKUP(B512,Enero!$B$2:$G$5822,4,0),"")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IFERROR(VLOOKUP(B513,Enero!$B$2:$G$5822,4,0),"")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IFERROR(VLOOKUP(B514,Enero!$B$2:$G$5822,4,0),"")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IFERROR(VLOOKUP(B515,Enero!$B$2:$G$5822,4,0),"")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IFERROR(VLOOKUP(B516,Enero!$B$2:$G$5822,4,0),"")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IFERROR(VLOOKUP(B517,Enero!$B$2:$G$5822,4,0),"")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IFERROR(VLOOKUP(B518,Enero!$B$2:$G$5822,4,0),"")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IFERROR(VLOOKUP(B519,Enero!$B$2:$G$5822,4,0),"")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IFERROR(VLOOKUP(B520,Enero!$B$2:$G$5822,4,0),"")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IFERROR(VLOOKUP(B521,Enero!$B$2:$G$5822,4,0),"")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IFERROR(VLOOKUP(B522,Enero!$B$2:$G$5822,4,0),"")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IFERROR(VLOOKUP(B523,Enero!$B$2:$G$5822,4,0),"")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IFERROR(VLOOKUP(B524,Enero!$B$2:$G$5822,4,0),"")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IFERROR(VLOOKUP(B525,Enero!$B$2:$G$5822,4,0),"")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IFERROR(VLOOKUP(B526,Enero!$B$2:$G$5822,4,0),"")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IFERROR(VLOOKUP(B527,Enero!$B$2:$G$5822,4,0),"")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IFERROR(VLOOKUP(B528,Enero!$B$2:$G$5822,4,0),"")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IFERROR(VLOOKUP(B529,Enero!$B$2:$G$5822,4,0),"")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IFERROR(VLOOKUP(B530,Enero!$B$2:$G$5822,4,0),"")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IFERROR(VLOOKUP(B531,Enero!$B$2:$G$5822,4,0),"")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IFERROR(VLOOKUP(B532,Enero!$B$2:$G$5822,4,0),"")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IFERROR(VLOOKUP(B533,Enero!$B$2:$G$5822,4,0),"")</f>
        <v>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IFERROR(VLOOKUP(B534,Enero!$B$2:$G$5822,4,0),"")</f>
        <v>BM</v>
      </c>
    </row>
    <row r="535" spans="1:7" x14ac:dyDescent="0.25">
      <c r="A535" s="11"/>
      <c r="B535" s="4" t="s">
        <v>580</v>
      </c>
      <c r="C535" s="4" t="s">
        <v>35</v>
      </c>
      <c r="D535" s="4" t="s">
        <v>35</v>
      </c>
      <c r="E535" s="4" t="s">
        <v>57</v>
      </c>
      <c r="F535" s="4" t="s">
        <v>160</v>
      </c>
      <c r="G535" s="5" t="str">
        <f>IFERROR(VLOOKUP(B535,Enero!$B$2:$G$5822,4,0),"")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IFERROR(VLOOKUP(B536,Enero!$B$2:$G$5822,4,0),"")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IFERROR(VLOOKUP(B537,Enero!$B$2:$G$5822,4,0),"")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IFERROR(VLOOKUP(B538,Enero!$B$2:$G$5822,4,0),"")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IFERROR(VLOOKUP(B539,Enero!$B$2:$G$5822,4,0),"")</f>
        <v>BM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IFERROR(VLOOKUP(B540,Enero!$B$2:$G$5822,4,0),"")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IFERROR(VLOOKUP(B541,Enero!$B$2:$G$5822,4,0),"")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IFERROR(VLOOKUP(B542,Enero!$B$2:$G$5822,4,0),"")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IFERROR(VLOOKUP(B543,Enero!$B$2:$G$5822,4,0),"")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IFERROR(VLOOKUP(B544,Enero!$B$2:$G$5822,4,0),"")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IFERROR(VLOOKUP(B545,Enero!$B$2:$G$5822,4,0),"")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IFERROR(VLOOKUP(B546,Enero!$B$2:$G$5822,4,0),"")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IFERROR(VLOOKUP(B547,Enero!$B$2:$G$5822,4,0),"")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IFERROR(VLOOKUP(B548,Enero!$B$2:$G$5822,4,0),"")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IFERROR(VLOOKUP(B549,Enero!$B$2:$G$5822,4,0),"")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IFERROR(VLOOKUP(B550,Enero!$B$2:$G$5822,4,0),"")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IFERROR(VLOOKUP(B551,Enero!$B$2:$G$5822,4,0),"")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IFERROR(VLOOKUP(B552,Enero!$B$2:$G$5822,4,0),"")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IFERROR(VLOOKUP(B553,Enero!$B$2:$G$5822,4,0),"")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IFERROR(VLOOKUP(B554,Enero!$B$2:$G$5822,4,0),"")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IFERROR(VLOOKUP(B555,Enero!$B$2:$G$5822,4,0),"")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IFERROR(VLOOKUP(B556,Enero!$B$2:$G$5822,4,0),"")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IFERROR(VLOOKUP(B557,Enero!$B$2:$G$5822,4,0),"")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IFERROR(VLOOKUP(B558,Enero!$B$2:$G$5822,4,0),"")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IFERROR(VLOOKUP(B559,Enero!$B$2:$G$5822,4,0),"")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IFERROR(VLOOKUP(B560,Enero!$B$2:$G$5822,4,0),"")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IFERROR(VLOOKUP(B561,Enero!$B$2:$G$5822,4,0),"")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IFERROR(VLOOKUP(B562,Enero!$B$2:$G$5822,4,0),"")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IFERROR(VLOOKUP(B563,Enero!$B$2:$G$5822,4,0),"")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IFERROR(VLOOKUP(B564,Enero!$B$2:$G$5822,4,0),"")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IFERROR(VLOOKUP(B565,Enero!$B$2:$G$5822,4,0),"")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IFERROR(VLOOKUP(B566,Enero!$B$2:$G$5822,4,0),"")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IFERROR(VLOOKUP(B567,Enero!$B$2:$G$5822,4,0),"")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IFERROR(VLOOKUP(B568,Enero!$B$2:$G$5822,4,0),"")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IFERROR(VLOOKUP(B569,Enero!$B$2:$G$5822,4,0),"")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IFERROR(VLOOKUP(B570,Enero!$B$2:$G$5822,4,0),"")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IFERROR(VLOOKUP(B571,Enero!$B$2:$G$5822,4,0),"")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IFERROR(VLOOKUP(B572,Enero!$B$2:$G$5822,4,0),"")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IFERROR(VLOOKUP(B573,Enero!$B$2:$G$5822,4,0),"")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IFERROR(VLOOKUP(B574,Enero!$B$2:$G$5822,4,0),"")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IFERROR(VLOOKUP(B575,Enero!$B$2:$G$5822,4,0),"")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IFERROR(VLOOKUP(B576,Enero!$B$2:$G$5822,4,0),"")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IFERROR(VLOOKUP(B577,Enero!$B$2:$G$5822,4,0),"")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IFERROR(VLOOKUP(B578,Enero!$B$2:$G$5822,4,0),"")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IFERROR(VLOOKUP(B579,Enero!$B$2:$G$5822,4,0),"")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IFERROR(VLOOKUP(B580,Enero!$B$2:$G$5822,4,0),"")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IFERROR(VLOOKUP(B581,Enero!$B$2:$G$5822,4,0),"")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IFERROR(VLOOKUP(B582,Enero!$B$2:$G$5822,4,0),"")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IFERROR(VLOOKUP(B583,Enero!$B$2:$G$5822,4,0),"")</f>
        <v>INACTBM</v>
      </c>
    </row>
    <row r="584" spans="1:7" x14ac:dyDescent="0.25">
      <c r="A584" s="11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IFERROR(VLOOKUP(B584,Enero!$B$2:$G$5822,4,0),"")</f>
        <v>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IFERROR(VLOOKUP(B585,Enero!$B$2:$G$5822,4,0),"")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IFERROR(VLOOKUP(B586,Enero!$B$2:$G$5822,4,0),"")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IFERROR(VLOOKUP(B587,Enero!$B$2:$G$5822,4,0),"")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IFERROR(VLOOKUP(B588,Enero!$B$2:$G$5822,4,0),"")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IFERROR(VLOOKUP(B589,Enero!$B$2:$G$5822,4,0),"")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IFERROR(VLOOKUP(B590,Enero!$B$2:$G$5822,4,0),"")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IFERROR(VLOOKUP(B591,Enero!$B$2:$G$5822,4,0),"")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IFERROR(VLOOKUP(B592,Enero!$B$2:$G$5822,4,0),"")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IFERROR(VLOOKUP(B593,Enero!$B$2:$G$5822,4,0),"")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IFERROR(VLOOKUP(B594,Enero!$B$2:$G$5822,4,0),"")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IFERROR(VLOOKUP(B595,Enero!$B$2:$G$5822,4,0),"")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IFERROR(VLOOKUP(B596,Enero!$B$2:$G$5822,4,0),"")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IFERROR(VLOOKUP(B597,Enero!$B$2:$G$5822,4,0),"")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IFERROR(VLOOKUP(B598,Enero!$B$2:$G$5822,4,0),"")</f>
        <v>BM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IFERROR(VLOOKUP(B599,Enero!$B$2:$G$5822,4,0),"")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IFERROR(VLOOKUP(B600,Enero!$B$2:$G$5822,4,0),"")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IFERROR(VLOOKUP(B601,Enero!$B$2:$G$5822,4,0),"")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IFERROR(VLOOKUP(B602,Enero!$B$2:$G$5822,4,0),"")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IFERROR(VLOOKUP(B603,Enero!$B$2:$G$5822,4,0),"")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IFERROR(VLOOKUP(B604,Enero!$B$2:$G$5822,4,0),"")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IFERROR(VLOOKUP(B605,Enero!$B$2:$G$5822,4,0),"")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IFERROR(VLOOKUP(B606,Enero!$B$2:$G$5822,4,0),"")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IFERROR(VLOOKUP(B607,Enero!$B$2:$G$5822,4,0),"")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IFERROR(VLOOKUP(B608,Enero!$B$2:$G$5822,4,0),"")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IFERROR(VLOOKUP(B609,Enero!$B$2:$G$5822,4,0),"")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IFERROR(VLOOKUP(B610,Enero!$B$2:$G$5822,4,0),"")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IFERROR(VLOOKUP(B611,Enero!$B$2:$G$5822,4,0),"")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IFERROR(VLOOKUP(B612,Enero!$B$2:$G$5822,4,0),"")</f>
        <v>BM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IFERROR(VLOOKUP(B613,Enero!$B$2:$G$5822,4,0),"")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IFERROR(VLOOKUP(B614,Enero!$B$2:$G$5822,4,0),"")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IFERROR(VLOOKUP(B615,Enero!$B$2:$G$5822,4,0),"")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IFERROR(VLOOKUP(B616,Enero!$B$2:$G$5822,4,0),"")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IFERROR(VLOOKUP(B617,Enero!$B$2:$G$5822,4,0),"")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IFERROR(VLOOKUP(B618,Enero!$B$2:$G$5822,4,0),"")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IFERROR(VLOOKUP(B619,Enero!$B$2:$G$5822,4,0),"")</f>
        <v>BM</v>
      </c>
    </row>
    <row r="620" spans="1:7" x14ac:dyDescent="0.25">
      <c r="A620" s="11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IFERROR(VLOOKUP(B620,Enero!$B$2:$G$5822,4,0),"")</f>
        <v>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IFERROR(VLOOKUP(B621,Enero!$B$2:$G$5822,4,0),"")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IFERROR(VLOOKUP(B622,Enero!$B$2:$G$5822,4,0),"")</f>
        <v>BM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IFERROR(VLOOKUP(B623,Enero!$B$2:$G$5822,4,0),"")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IFERROR(VLOOKUP(B624,Enero!$B$2:$G$5822,4,0),"")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IFERROR(VLOOKUP(B625,Enero!$B$2:$G$5822,4,0),"")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IFERROR(VLOOKUP(B626,Enero!$B$2:$G$5822,4,0),"")</f>
        <v>BM</v>
      </c>
    </row>
    <row r="627" spans="1:7" x14ac:dyDescent="0.25">
      <c r="A627" s="11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IFERROR(VLOOKUP(B627,Enero!$B$2:$G$5822,4,0),"")</f>
        <v>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IFERROR(VLOOKUP(B628,Enero!$B$2:$G$5822,4,0),"")</f>
        <v>BM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IFERROR(VLOOKUP(B629,Enero!$B$2:$G$5822,4,0),"")</f>
        <v>INACTBM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IFERROR(VLOOKUP(B630,Enero!$B$2:$G$5822,4,0),"")</f>
        <v>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IFERROR(VLOOKUP(B631,Enero!$B$2:$G$5822,4,0),"")</f>
        <v>BM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IFERROR(VLOOKUP(B632,Enero!$B$2:$G$5822,4,0),"")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IFERROR(VLOOKUP(B633,Enero!$B$2:$G$5822,4,0),"")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IFERROR(VLOOKUP(B634,Enero!$B$2:$G$5822,4,0),"")</f>
        <v>BM</v>
      </c>
    </row>
    <row r="635" spans="1:7" x14ac:dyDescent="0.25">
      <c r="A635" s="11"/>
      <c r="B635" s="4" t="s">
        <v>675</v>
      </c>
      <c r="C635" s="4" t="s">
        <v>109</v>
      </c>
      <c r="D635" s="4" t="s">
        <v>110</v>
      </c>
      <c r="E635" s="4" t="s">
        <v>111</v>
      </c>
      <c r="F635" s="4" t="s">
        <v>112</v>
      </c>
      <c r="G635" s="5" t="str">
        <f>IFERROR(VLOOKUP(B635,Enero!$B$2:$G$5822,4,0),"")</f>
        <v>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IFERROR(VLOOKUP(B636,Enero!$B$2:$G$5822,4,0),"")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IFERROR(VLOOKUP(B637,Enero!$B$2:$G$5822,4,0),"")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IFERROR(VLOOKUP(B638,Enero!$B$2:$G$5822,4,0),"")</f>
        <v>BCP</v>
      </c>
    </row>
    <row r="639" spans="1:7" x14ac:dyDescent="0.25">
      <c r="A639" s="11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IFERROR(VLOOKUP(B639,Enero!$B$2:$G$5822,4,0),"")</f>
        <v>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IFERROR(VLOOKUP(B640,Enero!$B$2:$G$5822,4,0),"")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IFERROR(VLOOKUP(B641,Enero!$B$2:$G$5822,4,0),"")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IFERROR(VLOOKUP(B642,Enero!$B$2:$G$5822,4,0),"")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IFERROR(VLOOKUP(B643,Enero!$B$2:$G$5822,4,0),"")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IFERROR(VLOOKUP(B644,Enero!$B$2:$G$5822,4,0),"")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IFERROR(VLOOKUP(B645,Enero!$B$2:$G$5822,4,0),"")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IFERROR(VLOOKUP(B646,Enero!$B$2:$G$5822,4,0),"")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IFERROR(VLOOKUP(B647,Enero!$B$2:$G$5822,4,0),"")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IFERROR(VLOOKUP(B648,Enero!$B$2:$G$5822,4,0),"")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IFERROR(VLOOKUP(B649,Enero!$B$2:$G$5822,4,0),"")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IFERROR(VLOOKUP(B650,Enero!$B$2:$G$5822,4,0),"")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IFERROR(VLOOKUP(B651,Enero!$B$2:$G$5822,4,0),"")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IFERROR(VLOOKUP(B652,Enero!$B$2:$G$5822,4,0),"")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IFERROR(VLOOKUP(B653,Enero!$B$2:$G$5822,4,0),"")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IFERROR(VLOOKUP(B654,Enero!$B$2:$G$5822,4,0),"")</f>
        <v>ATAPET</v>
      </c>
    </row>
    <row r="655" spans="1:7" x14ac:dyDescent="0.25">
      <c r="A655" s="11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IFERROR(VLOOKUP(B655,Enero!$B$2:$G$5822,4,0),"")</f>
        <v>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IFERROR(VLOOKUP(B656,Enero!$B$2:$G$5822,4,0),"")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IFERROR(VLOOKUP(B657,Enero!$B$2:$G$5822,4,0),"")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IFERROR(VLOOKUP(B658,Enero!$B$2:$G$5822,4,0),"")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IFERROR(VLOOKUP(B659,Enero!$B$2:$G$5822,4,0),"")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IFERROR(VLOOKUP(B660,Enero!$B$2:$G$5822,4,0),"")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IFERROR(VLOOKUP(B661,Enero!$B$2:$G$5822,4,0),"")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IFERROR(VLOOKUP(B662,Enero!$B$2:$G$5822,4,0),"")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IFERROR(VLOOKUP(B663,Enero!$B$2:$G$5822,4,0),"")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IFERROR(VLOOKUP(B664,Enero!$B$2:$G$5822,4,0),"")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IFERROR(VLOOKUP(B665,Enero!$B$2:$G$5822,4,0),"")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IFERROR(VLOOKUP(B666,Enero!$B$2:$G$5822,4,0),"")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IFERROR(VLOOKUP(B667,Enero!$B$2:$G$5822,4,0),"")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IFERROR(VLOOKUP(B668,Enero!$B$2:$G$5822,4,0),"")</f>
        <v>APA_CNPC</v>
      </c>
    </row>
    <row r="669" spans="1:7" x14ac:dyDescent="0.25">
      <c r="A669" s="11"/>
      <c r="B669" s="4" t="s">
        <v>709</v>
      </c>
      <c r="C669" s="4" t="s">
        <v>14</v>
      </c>
      <c r="D669" s="4" t="s">
        <v>15</v>
      </c>
      <c r="E669" s="4" t="s">
        <v>16</v>
      </c>
      <c r="F669" s="4" t="s">
        <v>14</v>
      </c>
      <c r="G669" s="5" t="str">
        <f>IFERROR(VLOOKUP(B669,Enero!$B$2:$G$5822,4,0),"")</f>
        <v>ATAPET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IFERROR(VLOOKUP(B670,Enero!$B$2:$G$5822,4,0),"")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IFERROR(VLOOKUP(B671,Enero!$B$2:$G$5822,4,0),"")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IFERROR(VLOOKUP(B672,Enero!$B$2:$G$5822,4,0),"")</f>
        <v>APA_PC</v>
      </c>
    </row>
    <row r="673" spans="1:7" x14ac:dyDescent="0.25">
      <c r="A673" s="11"/>
      <c r="B673" s="4" t="s">
        <v>713</v>
      </c>
      <c r="C673" s="4" t="s">
        <v>109</v>
      </c>
      <c r="D673" s="4" t="s">
        <v>110</v>
      </c>
      <c r="E673" s="4" t="s">
        <v>111</v>
      </c>
      <c r="F673" s="4" t="s">
        <v>112</v>
      </c>
      <c r="G673" s="5" t="str">
        <f>IFERROR(VLOOKUP(B673,Enero!$B$2:$G$5822,4,0),"")</f>
        <v>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IFERROR(VLOOKUP(B674,Enero!$B$2:$G$5822,4,0),"")</f>
        <v>BM</v>
      </c>
    </row>
    <row r="675" spans="1:7" x14ac:dyDescent="0.25">
      <c r="A675" s="11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IFERROR(VLOOKUP(B675,Enero!$B$2:$G$5822,4,0),"")</f>
        <v>BCP</v>
      </c>
    </row>
    <row r="676" spans="1:7" x14ac:dyDescent="0.25">
      <c r="A676" s="11"/>
      <c r="B676" s="4" t="s">
        <v>716</v>
      </c>
      <c r="C676" s="4" t="s">
        <v>35</v>
      </c>
      <c r="D676" s="4" t="s">
        <v>35</v>
      </c>
      <c r="E676" s="4" t="s">
        <v>686</v>
      </c>
      <c r="F676" s="4" t="s">
        <v>112</v>
      </c>
      <c r="G676" s="5" t="str">
        <f>IFERROR(VLOOKUP(B676,Enero!$B$2:$G$5822,4,0),"")</f>
        <v>INACTINYA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IFERROR(VLOOKUP(B677,Enero!$B$2:$G$5822,4,0),"")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IFERROR(VLOOKUP(B678,Enero!$B$2:$G$5822,4,0),"")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IFERROR(VLOOKUP(B679,Enero!$B$2:$G$5822,4,0),"")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IFERROR(VLOOKUP(B680,Enero!$B$2:$G$5822,4,0),"")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IFERROR(VLOOKUP(B681,Enero!$B$2:$G$5822,4,0),"")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IFERROR(VLOOKUP(B682,Enero!$B$2:$G$5822,4,0),"")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IFERROR(VLOOKUP(B683,Enero!$B$2:$G$5822,4,0),"")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IFERROR(VLOOKUP(B684,Enero!$B$2:$G$5822,4,0),"")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IFERROR(VLOOKUP(B685,Enero!$B$2:$G$5822,4,0),"")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IFERROR(VLOOKUP(B686,Enero!$B$2:$G$5822,4,0),"")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IFERROR(VLOOKUP(B687,Enero!$B$2:$G$5822,4,0),"")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IFERROR(VLOOKUP(B688,Enero!$B$2:$G$5822,4,0),"")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IFERROR(VLOOKUP(B689,Enero!$B$2:$G$5822,4,0),"")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IFERROR(VLOOKUP(B690,Enero!$B$2:$G$5822,4,0),"")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IFERROR(VLOOKUP(B691,Enero!$B$2:$G$5822,4,0),"")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IFERROR(VLOOKUP(B692,Enero!$B$2:$G$5822,4,0),"")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IFERROR(VLOOKUP(B693,Enero!$B$2:$G$5822,4,0),"")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IFERROR(VLOOKUP(B694,Enero!$B$2:$G$5822,4,0),"")</f>
        <v>ATAPET</v>
      </c>
    </row>
    <row r="695" spans="1:7" x14ac:dyDescent="0.25">
      <c r="A695" s="11"/>
      <c r="B695" s="4" t="s">
        <v>735</v>
      </c>
      <c r="C695" s="4" t="s">
        <v>14</v>
      </c>
      <c r="D695" s="4" t="s">
        <v>15</v>
      </c>
      <c r="E695" s="4" t="s">
        <v>16</v>
      </c>
      <c r="F695" s="4" t="s">
        <v>14</v>
      </c>
      <c r="G695" s="5" t="str">
        <f>IFERROR(VLOOKUP(B695,Enero!$B$2:$G$5822,4,0),"")</f>
        <v>ATAPET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IFERROR(VLOOKUP(B696,Enero!$B$2:$G$5822,4,0),"")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IFERROR(VLOOKUP(B697,Enero!$B$2:$G$5822,4,0),"")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IFERROR(VLOOKUP(B698,Enero!$B$2:$G$5822,4,0),"")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IFERROR(VLOOKUP(B699,Enero!$B$2:$G$5822,4,0),"")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IFERROR(VLOOKUP(B700,Enero!$B$2:$G$5822,4,0),"")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IFERROR(VLOOKUP(B701,Enero!$B$2:$G$5822,4,0),"")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IFERROR(VLOOKUP(B702,Enero!$B$2:$G$5822,4,0),"")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IFERROR(VLOOKUP(B703,Enero!$B$2:$G$5822,4,0),"")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IFERROR(VLOOKUP(B704,Enero!$B$2:$G$5822,4,0),"")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IFERROR(VLOOKUP(B705,Enero!$B$2:$G$5822,4,0),"")</f>
        <v>ATAPET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IFERROR(VLOOKUP(B706,Enero!$B$2:$G$5822,4,0),"")</f>
        <v>APA_PC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IFERROR(VLOOKUP(B707,Enero!$B$2:$G$5822,4,0),"")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IFERROR(VLOOKUP(B708,Enero!$B$2:$G$5822,4,0),"")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IFERROR(VLOOKUP(B709,Enero!$B$2:$G$5822,4,0),"")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IFERROR(VLOOKUP(B710,Enero!$B$2:$G$5822,4,0),"")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IFERROR(VLOOKUP(B711,Enero!$B$2:$G$5822,4,0),"")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IFERROR(VLOOKUP(B712,Enero!$B$2:$G$5822,4,0),"")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IFERROR(VLOOKUP(B713,Enero!$B$2:$G$5822,4,0),"")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IFERROR(VLOOKUP(B714,Enero!$B$2:$G$5822,4,0),"")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IFERROR(VLOOKUP(B715,Enero!$B$2:$G$5822,4,0),"")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IFERROR(VLOOKUP(B716,Enero!$B$2:$G$5822,4,0),"")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IFERROR(VLOOKUP(B717,Enero!$B$2:$G$5822,4,0),"")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IFERROR(VLOOKUP(B718,Enero!$B$2:$G$5822,4,0),"")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IFERROR(VLOOKUP(B719,Enero!$B$2:$G$5822,4,0),"")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IFERROR(VLOOKUP(B720,Enero!$B$2:$G$5822,4,0),"")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IFERROR(VLOOKUP(B721,Enero!$B$2:$G$5822,4,0),"")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IFERROR(VLOOKUP(B722,Enero!$B$2:$G$5822,4,0),"")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IFERROR(VLOOKUP(B723,Enero!$B$2:$G$5822,4,0),"")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IFERROR(VLOOKUP(B724,Enero!$B$2:$G$5822,4,0),"")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IFERROR(VLOOKUP(B725,Enero!$B$2:$G$5822,4,0),"")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IFERROR(VLOOKUP(B726,Enero!$B$2:$G$5822,4,0),"")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IFERROR(VLOOKUP(B727,Enero!$B$2:$G$5822,4,0),"")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IFERROR(VLOOKUP(B728,Enero!$B$2:$G$5822,4,0),"")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IFERROR(VLOOKUP(B729,Enero!$B$2:$G$5822,4,0),"")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IFERROR(VLOOKUP(B730,Enero!$B$2:$G$5822,4,0),"")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IFERROR(VLOOKUP(B731,Enero!$B$2:$G$5822,4,0),"")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IFERROR(VLOOKUP(B732,Enero!$B$2:$G$5822,4,0),"")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IFERROR(VLOOKUP(B733,Enero!$B$2:$G$5822,4,0),"")</f>
        <v>BCP</v>
      </c>
    </row>
    <row r="734" spans="1:7" x14ac:dyDescent="0.25">
      <c r="A734" s="11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IFERROR(VLOOKUP(B734,Enero!$B$2:$G$5822,4,0),"")</f>
        <v>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IFERROR(VLOOKUP(B735,Enero!$B$2:$G$5822,4,0),"")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IFERROR(VLOOKUP(B736,Enero!$B$2:$G$5822,4,0),"")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IFERROR(VLOOKUP(B737,Enero!$B$2:$G$5822,4,0),"")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IFERROR(VLOOKUP(B738,Enero!$B$2:$G$5822,4,0),"")</f>
        <v>ATAPET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IFERROR(VLOOKUP(B739,Enero!$B$2:$G$5822,4,0),"")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IFERROR(VLOOKUP(B740,Enero!$B$2:$G$5822,4,0),"")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IFERROR(VLOOKUP(B741,Enero!$B$2:$G$5822,4,0),"")</f>
        <v>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IFERROR(VLOOKUP(B742,Enero!$B$2:$G$5822,4,0),"")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IFERROR(VLOOKUP(B743,Enero!$B$2:$G$5822,4,0),"")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IFERROR(VLOOKUP(B744,Enero!$B$2:$G$5822,4,0),"")</f>
        <v>APA_PC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IFERROR(VLOOKUP(B745,Enero!$B$2:$G$5822,4,0),"")</f>
        <v>ACTPETF</v>
      </c>
    </row>
    <row r="746" spans="1:7" x14ac:dyDescent="0.25">
      <c r="A746" s="11"/>
      <c r="B746" s="4" t="s">
        <v>787</v>
      </c>
      <c r="C746" s="4" t="s">
        <v>35</v>
      </c>
      <c r="D746" s="4" t="s">
        <v>35</v>
      </c>
      <c r="E746" s="4" t="s">
        <v>57</v>
      </c>
      <c r="F746" s="4" t="s">
        <v>100</v>
      </c>
      <c r="G746" s="5" t="str">
        <f>IFERROR(VLOOKUP(B746,Enero!$B$2:$G$5822,4,0),"")</f>
        <v>INACTBM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IFERROR(VLOOKUP(B747,Enero!$B$2:$G$5822,4,0),"")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IFERROR(VLOOKUP(B748,Enero!$B$2:$G$5822,4,0),"")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IFERROR(VLOOKUP(B749,Enero!$B$2:$G$5822,4,0),"")</f>
        <v>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IFERROR(VLOOKUP(B750,Enero!$B$2:$G$5822,4,0),"")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IFERROR(VLOOKUP(B751,Enero!$B$2:$G$5822,4,0),"")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IFERROR(VLOOKUP(B752,Enero!$B$2:$G$5822,4,0),"")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IFERROR(VLOOKUP(B753,Enero!$B$2:$G$5822,4,0),"")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IFERROR(VLOOKUP(B754,Enero!$B$2:$G$5822,4,0),"")</f>
        <v>ATAINY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IFERROR(VLOOKUP(B755,Enero!$B$2:$G$5822,4,0),"")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IFERROR(VLOOKUP(B756,Enero!$B$2:$G$5822,4,0),"")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IFERROR(VLOOKUP(B757,Enero!$B$2:$G$5822,4,0),"")</f>
        <v>APA_CNPC</v>
      </c>
    </row>
    <row r="758" spans="1:7" x14ac:dyDescent="0.25">
      <c r="A758" s="11"/>
      <c r="B758" s="4" t="s">
        <v>799</v>
      </c>
      <c r="C758" s="4" t="s">
        <v>14</v>
      </c>
      <c r="D758" s="4" t="s">
        <v>15</v>
      </c>
      <c r="E758" s="4" t="s">
        <v>16</v>
      </c>
      <c r="F758" s="4" t="s">
        <v>14</v>
      </c>
      <c r="G758" s="5" t="str">
        <f>IFERROR(VLOOKUP(B758,Enero!$B$2:$G$5822,4,0),"")</f>
        <v>ATAPET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IFERROR(VLOOKUP(B759,Enero!$B$2:$G$5822,4,0),"")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IFERROR(VLOOKUP(B760,Enero!$B$2:$G$5822,4,0),"")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IFERROR(VLOOKUP(B761,Enero!$B$2:$G$5822,4,0),"")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IFERROR(VLOOKUP(B762,Enero!$B$2:$G$5822,4,0),"")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IFERROR(VLOOKUP(B763,Enero!$B$2:$G$5822,4,0),"")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IFERROR(VLOOKUP(B764,Enero!$B$2:$G$5822,4,0),"")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IFERROR(VLOOKUP(B765,Enero!$B$2:$G$5822,4,0),"")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IFERROR(VLOOKUP(B766,Enero!$B$2:$G$5822,4,0),"")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IFERROR(VLOOKUP(B767,Enero!$B$2:$G$5822,4,0),"")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IFERROR(VLOOKUP(B768,Enero!$B$2:$G$5822,4,0),"")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IFERROR(VLOOKUP(B769,Enero!$B$2:$G$5822,4,0),"")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IFERROR(VLOOKUP(B770,Enero!$B$2:$G$5822,4,0),"")</f>
        <v>INACTBM</v>
      </c>
    </row>
    <row r="771" spans="1:7" x14ac:dyDescent="0.25">
      <c r="A771" s="11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IFERROR(VLOOKUP(B771,Enero!$B$2:$G$5822,4,0),"")</f>
        <v>INACTINYA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IFERROR(VLOOKUP(B772,Enero!$B$2:$G$5822,4,0),"")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IFERROR(VLOOKUP(B773,Enero!$B$2:$G$5822,4,0),"")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IFERROR(VLOOKUP(B774,Enero!$B$2:$G$5822,4,0),"")</f>
        <v>APA_PC</v>
      </c>
    </row>
    <row r="775" spans="1:7" x14ac:dyDescent="0.25">
      <c r="A775" s="11"/>
      <c r="B775" s="4" t="s">
        <v>816</v>
      </c>
      <c r="C775" s="4" t="s">
        <v>14</v>
      </c>
      <c r="D775" s="4" t="s">
        <v>15</v>
      </c>
      <c r="E775" s="4" t="s">
        <v>16</v>
      </c>
      <c r="F775" s="4" t="s">
        <v>14</v>
      </c>
      <c r="G775" s="5" t="str">
        <f>IFERROR(VLOOKUP(B775,Enero!$B$2:$G$5822,4,0),"")</f>
        <v>ATAPET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IFERROR(VLOOKUP(B776,Enero!$B$2:$G$5822,4,0),"")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IFERROR(VLOOKUP(B777,Enero!$B$2:$G$5822,4,0),"")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IFERROR(VLOOKUP(B778,Enero!$B$2:$G$5822,4,0),"")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IFERROR(VLOOKUP(B779,Enero!$B$2:$G$5822,4,0),"")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IFERROR(VLOOKUP(B780,Enero!$B$2:$G$5822,4,0),"")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IFERROR(VLOOKUP(B781,Enero!$B$2:$G$5822,4,0),"")</f>
        <v>APA_CNPC</v>
      </c>
    </row>
    <row r="782" spans="1:7" x14ac:dyDescent="0.25">
      <c r="A782" s="11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tr">
        <f>IFERROR(VLOOKUP(B782,Enero!$B$2:$G$5822,4,0),"")</f>
        <v>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IFERROR(VLOOKUP(B783,Enero!$B$2:$G$5822,4,0),"")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IFERROR(VLOOKUP(B784,Enero!$B$2:$G$5822,4,0),"")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IFERROR(VLOOKUP(B785,Enero!$B$2:$G$5822,4,0),"")</f>
        <v>INACTINYA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IFERROR(VLOOKUP(B786,Enero!$B$2:$G$5822,4,0),"")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IFERROR(VLOOKUP(B787,Enero!$B$2:$G$5822,4,0),"")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IFERROR(VLOOKUP(B788,Enero!$B$2:$G$5822,4,0),"")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IFERROR(VLOOKUP(B789,Enero!$B$2:$G$5822,4,0),"")</f>
        <v>APA_PC</v>
      </c>
    </row>
    <row r="790" spans="1:7" x14ac:dyDescent="0.25">
      <c r="A790" s="11"/>
      <c r="B790" s="4" t="s">
        <v>832</v>
      </c>
      <c r="C790" s="4" t="s">
        <v>24</v>
      </c>
      <c r="D790" s="4" t="s">
        <v>25</v>
      </c>
      <c r="E790" s="4" t="s">
        <v>26</v>
      </c>
      <c r="F790" s="4" t="s">
        <v>21</v>
      </c>
      <c r="G790" s="5" t="str">
        <f>IFERROR(VLOOKUP(B790,Enero!$B$2:$G$5822,4,0),"")</f>
        <v>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IFERROR(VLOOKUP(B791,Enero!$B$2:$G$5822,4,0),"")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IFERROR(VLOOKUP(B792,Enero!$B$2:$G$5822,4,0),"")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IFERROR(VLOOKUP(B793,Enero!$B$2:$G$5822,4,0),"")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IFERROR(VLOOKUP(B794,Enero!$B$2:$G$5822,4,0),"")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IFERROR(VLOOKUP(B795,Enero!$B$2:$G$5822,4,0),"")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IFERROR(VLOOKUP(B796,Enero!$B$2:$G$5822,4,0),"")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IFERROR(VLOOKUP(B797,Enero!$B$2:$G$5822,4,0),"")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IFERROR(VLOOKUP(B798,Enero!$B$2:$G$5822,4,0),"")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IFERROR(VLOOKUP(B799,Enero!$B$2:$G$5822,4,0),"")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IFERROR(VLOOKUP(B800,Enero!$B$2:$G$5822,4,0),"")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IFERROR(VLOOKUP(B801,Enero!$B$2:$G$5822,4,0),"")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IFERROR(VLOOKUP(B802,Enero!$B$2:$G$5822,4,0),"")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IFERROR(VLOOKUP(B803,Enero!$B$2:$G$5822,4,0),"")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IFERROR(VLOOKUP(B804,Enero!$B$2:$G$5822,4,0),"")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IFERROR(VLOOKUP(B805,Enero!$B$2:$G$5822,4,0),"")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IFERROR(VLOOKUP(B806,Enero!$B$2:$G$5822,4,0),"")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IFERROR(VLOOKUP(B807,Enero!$B$2:$G$5822,4,0),"")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IFERROR(VLOOKUP(B808,Enero!$B$2:$G$5822,4,0),"")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IFERROR(VLOOKUP(B809,Enero!$B$2:$G$5822,4,0),"")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IFERROR(VLOOKUP(B810,Enero!$B$2:$G$5822,4,0),"")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IFERROR(VLOOKUP(B811,Enero!$B$2:$G$5822,4,0),"")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IFERROR(VLOOKUP(B812,Enero!$B$2:$G$5822,4,0),"")</f>
        <v>BM</v>
      </c>
    </row>
    <row r="813" spans="1:7" x14ac:dyDescent="0.25">
      <c r="A813" s="11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IFERROR(VLOOKUP(B813,Enero!$B$2:$G$5822,4,0),"")</f>
        <v>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IFERROR(VLOOKUP(B814,Enero!$B$2:$G$5822,4,0),"")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IFERROR(VLOOKUP(B815,Enero!$B$2:$G$5822,4,0),"")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IFERROR(VLOOKUP(B816,Enero!$B$2:$G$5822,4,0),"")</f>
        <v>BM</v>
      </c>
    </row>
    <row r="817" spans="1:7" x14ac:dyDescent="0.25">
      <c r="A817" s="11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IFERROR(VLOOKUP(B817,Enero!$B$2:$G$5822,4,0),"")</f>
        <v>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IFERROR(VLOOKUP(B818,Enero!$B$2:$G$5822,4,0),"")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IFERROR(VLOOKUP(B819,Enero!$B$2:$G$5822,4,0),"")</f>
        <v>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IFERROR(VLOOKUP(B820,Enero!$B$2:$G$5822,4,0),"")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IFERROR(VLOOKUP(B821,Enero!$B$2:$G$5822,4,0),"")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IFERROR(VLOOKUP(B822,Enero!$B$2:$G$5822,4,0),"")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IFERROR(VLOOKUP(B823,Enero!$B$2:$G$5822,4,0),"")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IFERROR(VLOOKUP(B824,Enero!$B$2:$G$5822,4,0),"")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IFERROR(VLOOKUP(B825,Enero!$B$2:$G$5822,4,0),"")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tr">
        <f>IFERROR(VLOOKUP(B826,Enero!$B$2:$G$5822,4,0),"")</f>
        <v>INACTBM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IFERROR(VLOOKUP(B827,Enero!$B$2:$G$5822,4,0),"")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IFERROR(VLOOKUP(B828,Enero!$B$2:$G$5822,4,0),"")</f>
        <v>BM</v>
      </c>
    </row>
    <row r="829" spans="1:7" x14ac:dyDescent="0.25">
      <c r="A829" s="11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IFERROR(VLOOKUP(B829,Enero!$B$2:$G$5822,4,0),"")</f>
        <v>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IFERROR(VLOOKUP(B830,Enero!$B$2:$G$5822,4,0),"")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IFERROR(VLOOKUP(B831,Enero!$B$2:$G$5822,4,0),"")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IFERROR(VLOOKUP(B832,Enero!$B$2:$G$5822,4,0),"")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IFERROR(VLOOKUP(B833,Enero!$B$2:$G$5822,4,0),"")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IFERROR(VLOOKUP(B834,Enero!$B$2:$G$5822,4,0),"")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IFERROR(VLOOKUP(B835,Enero!$B$2:$G$5822,4,0),"")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IFERROR(VLOOKUP(B836,Enero!$B$2:$G$5822,4,0),"")</f>
        <v>INACTBM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IFERROR(VLOOKUP(B837,Enero!$B$2:$G$5822,4,0),"")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IFERROR(VLOOKUP(B838,Enero!$B$2:$G$5822,4,0),"")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IFERROR(VLOOKUP(B839,Enero!$B$2:$G$5822,4,0),"")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IFERROR(VLOOKUP(B840,Enero!$B$2:$G$5822,4,0),"")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IFERROR(VLOOKUP(B841,Enero!$B$2:$G$5822,4,0),"")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IFERROR(VLOOKUP(B842,Enero!$B$2:$G$5822,4,0),"")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IFERROR(VLOOKUP(B843,Enero!$B$2:$G$5822,4,0),"")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IFERROR(VLOOKUP(B844,Enero!$B$2:$G$5822,4,0),"")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IFERROR(VLOOKUP(B845,Enero!$B$2:$G$5822,4,0),"")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IFERROR(VLOOKUP(B846,Enero!$B$2:$G$5822,4,0),"")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IFERROR(VLOOKUP(B847,Enero!$B$2:$G$5822,4,0),"")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IFERROR(VLOOKUP(B848,Enero!$B$2:$G$5822,4,0),"")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IFERROR(VLOOKUP(B849,Enero!$B$2:$G$5822,4,0),"")</f>
        <v>BM</v>
      </c>
    </row>
    <row r="850" spans="1:7" x14ac:dyDescent="0.25">
      <c r="A850" s="11"/>
      <c r="B850" s="4" t="s">
        <v>5564</v>
      </c>
      <c r="C850" s="4" t="s">
        <v>11</v>
      </c>
      <c r="D850" s="4" t="s">
        <v>11</v>
      </c>
      <c r="E850" s="4" t="s">
        <v>11</v>
      </c>
      <c r="F850" s="4" t="s">
        <v>120</v>
      </c>
      <c r="G850" s="5" t="str">
        <f>IFERROR(VLOOKUP(B850,Enero!$B$2:$G$5822,4,0),"")</f>
        <v>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IFERROR(VLOOKUP(B851,Enero!$B$2:$G$5822,4,0),"")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IFERROR(VLOOKUP(B852,Enero!$B$2:$G$5822,4,0),"")</f>
        <v>BM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IFERROR(VLOOKUP(B853,Enero!$B$2:$G$5822,4,0),"")</f>
        <v>BM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IFERROR(VLOOKUP(B854,Enero!$B$2:$G$5822,4,0),"")</f>
        <v>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IFERROR(VLOOKUP(B855,Enero!$B$2:$G$5822,4,0),"")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IFERROR(VLOOKUP(B856,Enero!$B$2:$G$5822,4,0),"")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IFERROR(VLOOKUP(B857,Enero!$B$2:$G$5822,4,0),"")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IFERROR(VLOOKUP(B858,Enero!$B$2:$G$5822,4,0),"")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IFERROR(VLOOKUP(B859,Enero!$B$2:$G$5822,4,0),"")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IFERROR(VLOOKUP(B860,Enero!$B$2:$G$5822,4,0),"")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IFERROR(VLOOKUP(B861,Enero!$B$2:$G$5822,4,0),"")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IFERROR(VLOOKUP(B862,Enero!$B$2:$G$5822,4,0),"")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IFERROR(VLOOKUP(B863,Enero!$B$2:$G$5822,4,0),"")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IFERROR(VLOOKUP(B864,Enero!$B$2:$G$5822,4,0),"")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IFERROR(VLOOKUP(B865,Enero!$B$2:$G$5822,4,0),"")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IFERROR(VLOOKUP(B866,Enero!$B$2:$G$5822,4,0),"")</f>
        <v>BM</v>
      </c>
    </row>
    <row r="867" spans="1:7" x14ac:dyDescent="0.25">
      <c r="A867" s="11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IFERROR(VLOOKUP(B867,Enero!$B$2:$G$5822,4,0),"")</f>
        <v>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IFERROR(VLOOKUP(B868,Enero!$B$2:$G$5822,4,0),"")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IFERROR(VLOOKUP(B869,Enero!$B$2:$G$5822,4,0),"")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IFERROR(VLOOKUP(B870,Enero!$B$2:$G$5822,4,0),"")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IFERROR(VLOOKUP(B871,Enero!$B$2:$G$5822,4,0),"")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IFERROR(VLOOKUP(B872,Enero!$B$2:$G$5822,4,0),"")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IFERROR(VLOOKUP(B873,Enero!$B$2:$G$5822,4,0),"")</f>
        <v>BM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IFERROR(VLOOKUP(B874,Enero!$B$2:$G$5822,4,0),"")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IFERROR(VLOOKUP(B875,Enero!$B$2:$G$5822,4,0),"")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IFERROR(VLOOKUP(B876,Enero!$B$2:$G$5822,4,0),"")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IFERROR(VLOOKUP(B877,Enero!$B$2:$G$5822,4,0),"")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IFERROR(VLOOKUP(B878,Enero!$B$2:$G$5822,4,0),"")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IFERROR(VLOOKUP(B879,Enero!$B$2:$G$5822,4,0),"")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IFERROR(VLOOKUP(B880,Enero!$B$2:$G$5822,4,0),"")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IFERROR(VLOOKUP(B881,Enero!$B$2:$G$5822,4,0),"")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IFERROR(VLOOKUP(B882,Enero!$B$2:$G$5822,4,0),"")</f>
        <v>BM</v>
      </c>
    </row>
    <row r="883" spans="1:7" x14ac:dyDescent="0.25">
      <c r="A883" s="11"/>
      <c r="B883" s="4" t="s">
        <v>5566</v>
      </c>
      <c r="C883" s="4" t="s">
        <v>11</v>
      </c>
      <c r="D883" s="4" t="s">
        <v>11</v>
      </c>
      <c r="E883" s="4" t="s">
        <v>11</v>
      </c>
      <c r="F883" s="4" t="s">
        <v>100</v>
      </c>
      <c r="G883" s="5" t="str">
        <f>IFERROR(VLOOKUP(B883,Enero!$B$2:$G$5822,4,0),"")</f>
        <v>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IFERROR(VLOOKUP(B884,Enero!$B$2:$G$5822,4,0),"")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IFERROR(VLOOKUP(B885,Enero!$B$2:$G$5822,4,0),"")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IFERROR(VLOOKUP(B886,Enero!$B$2:$G$5822,4,0),"")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IFERROR(VLOOKUP(B887,Enero!$B$2:$G$5822,4,0),"")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IFERROR(VLOOKUP(B888,Enero!$B$2:$G$5822,4,0),"")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IFERROR(VLOOKUP(B889,Enero!$B$2:$G$5822,4,0),"")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IFERROR(VLOOKUP(B890,Enero!$B$2:$G$5822,4,0),"")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IFERROR(VLOOKUP(B891,Enero!$B$2:$G$5822,4,0),"")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IFERROR(VLOOKUP(B892,Enero!$B$2:$G$5822,4,0),"")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IFERROR(VLOOKUP(B893,Enero!$B$2:$G$5822,4,0),"")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IFERROR(VLOOKUP(B894,Enero!$B$2:$G$5822,4,0),"")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IFERROR(VLOOKUP(B895,Enero!$B$2:$G$5822,4,0),"")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IFERROR(VLOOKUP(B896,Enero!$B$2:$G$5822,4,0),"")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IFERROR(VLOOKUP(B897,Enero!$B$2:$G$5822,4,0),"")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IFERROR(VLOOKUP(B898,Enero!$B$2:$G$5822,4,0),"")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IFERROR(VLOOKUP(B899,Enero!$B$2:$G$5822,4,0),"")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IFERROR(VLOOKUP(B900,Enero!$B$2:$G$5822,4,0),"")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IFERROR(VLOOKUP(B901,Enero!$B$2:$G$5822,4,0),"")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IFERROR(VLOOKUP(B902,Enero!$B$2:$G$5822,4,0),"")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IFERROR(VLOOKUP(B903,Enero!$B$2:$G$5822,4,0),"")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IFERROR(VLOOKUP(B904,Enero!$B$2:$G$5822,4,0),"")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IFERROR(VLOOKUP(B905,Enero!$B$2:$G$5822,4,0),"")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IFERROR(VLOOKUP(B906,Enero!$B$2:$G$5822,4,0),"")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IFERROR(VLOOKUP(B907,Enero!$B$2:$G$5822,4,0),"")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IFERROR(VLOOKUP(B908,Enero!$B$2:$G$5822,4,0),"")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IFERROR(VLOOKUP(B909,Enero!$B$2:$G$5822,4,0),"")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IFERROR(VLOOKUP(B910,Enero!$B$2:$G$5822,4,0),"")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IFERROR(VLOOKUP(B911,Enero!$B$2:$G$5822,4,0),"")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IFERROR(VLOOKUP(B912,Enero!$B$2:$G$5822,4,0),"")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IFERROR(VLOOKUP(B913,Enero!$B$2:$G$5822,4,0),"")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IFERROR(VLOOKUP(B914,Enero!$B$2:$G$5822,4,0),"")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IFERROR(VLOOKUP(B915,Enero!$B$2:$G$5822,4,0),"")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IFERROR(VLOOKUP(B916,Enero!$B$2:$G$5822,4,0),"")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IFERROR(VLOOKUP(B917,Enero!$B$2:$G$5822,4,0),"")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IFERROR(VLOOKUP(B918,Enero!$B$2:$G$5822,4,0),"")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IFERROR(VLOOKUP(B919,Enero!$B$2:$G$5822,4,0),"")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IFERROR(VLOOKUP(B920,Enero!$B$2:$G$5822,4,0),"")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IFERROR(VLOOKUP(B921,Enero!$B$2:$G$5822,4,0),"")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IFERROR(VLOOKUP(B922,Enero!$B$2:$G$5822,4,0),"")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IFERROR(VLOOKUP(B923,Enero!$B$2:$G$5822,4,0),"")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IFERROR(VLOOKUP(B924,Enero!$B$2:$G$5822,4,0),"")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IFERROR(VLOOKUP(B925,Enero!$B$2:$G$5822,4,0),"")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IFERROR(VLOOKUP(B926,Enero!$B$2:$G$5822,4,0),"")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IFERROR(VLOOKUP(B927,Enero!$B$2:$G$5822,4,0),"")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IFERROR(VLOOKUP(B928,Enero!$B$2:$G$5822,4,0),"")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IFERROR(VLOOKUP(B929,Enero!$B$2:$G$5822,4,0),"")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IFERROR(VLOOKUP(B930,Enero!$B$2:$G$5822,4,0),"")</f>
        <v>BM</v>
      </c>
    </row>
    <row r="931" spans="1:7" x14ac:dyDescent="0.25">
      <c r="A931" s="11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IFERROR(VLOOKUP(B931,Enero!$B$2:$G$5822,4,0),"")</f>
        <v>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IFERROR(VLOOKUP(B932,Enero!$B$2:$G$5822,4,0),"")</f>
        <v>BM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IFERROR(VLOOKUP(B933,Enero!$B$2:$G$5822,4,0),"")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IFERROR(VLOOKUP(B934,Enero!$B$2:$G$5822,4,0),"")</f>
        <v>BM</v>
      </c>
    </row>
    <row r="935" spans="1:7" x14ac:dyDescent="0.25">
      <c r="A935" s="11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IFERROR(VLOOKUP(B935,Enero!$B$2:$G$5822,4,0),"")</f>
        <v>BM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IFERROR(VLOOKUP(B936,Enero!$B$2:$G$5822,4,0),"")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IFERROR(VLOOKUP(B937,Enero!$B$2:$G$5822,4,0),"")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IFERROR(VLOOKUP(B938,Enero!$B$2:$G$5822,4,0),"")</f>
        <v>BM</v>
      </c>
    </row>
    <row r="939" spans="1:7" x14ac:dyDescent="0.25">
      <c r="A939" s="11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IFERROR(VLOOKUP(B939,Enero!$B$2:$G$5822,4,0),"")</f>
        <v>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IFERROR(VLOOKUP(B940,Enero!$B$2:$G$5822,4,0),"")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IFERROR(VLOOKUP(B941,Enero!$B$2:$G$5822,4,0),"")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IFERROR(VLOOKUP(B942,Enero!$B$2:$G$5822,4,0),"")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IFERROR(VLOOKUP(B943,Enero!$B$2:$G$5822,4,0),"")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IFERROR(VLOOKUP(B944,Enero!$B$2:$G$5822,4,0),"")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IFERROR(VLOOKUP(B945,Enero!$B$2:$G$5822,4,0),"")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IFERROR(VLOOKUP(B946,Enero!$B$2:$G$5822,4,0),"")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IFERROR(VLOOKUP(B947,Enero!$B$2:$G$5822,4,0),"")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IFERROR(VLOOKUP(B948,Enero!$B$2:$G$5822,4,0),"")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IFERROR(VLOOKUP(B949,Enero!$B$2:$G$5822,4,0),"")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IFERROR(VLOOKUP(B950,Enero!$B$2:$G$5822,4,0),"")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IFERROR(VLOOKUP(B951,Enero!$B$2:$G$5822,4,0),"")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IFERROR(VLOOKUP(B952,Enero!$B$2:$G$5822,4,0),"")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IFERROR(VLOOKUP(B953,Enero!$B$2:$G$5822,4,0),"")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IFERROR(VLOOKUP(B954,Enero!$B$2:$G$5822,4,0),"")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IFERROR(VLOOKUP(B955,Enero!$B$2:$G$5822,4,0),"")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IFERROR(VLOOKUP(B956,Enero!$B$2:$G$5822,4,0),"")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IFERROR(VLOOKUP(B957,Enero!$B$2:$G$5822,4,0),"")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IFERROR(VLOOKUP(B958,Enero!$B$2:$G$5822,4,0),"")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IFERROR(VLOOKUP(B959,Enero!$B$2:$G$5822,4,0),"")</f>
        <v>BM</v>
      </c>
    </row>
    <row r="960" spans="1:7" x14ac:dyDescent="0.25">
      <c r="A960" s="11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IFERROR(VLOOKUP(B960,Enero!$B$2:$G$5822,4,0),"")</f>
        <v>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IFERROR(VLOOKUP(B961,Enero!$B$2:$G$5822,4,0),"")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IFERROR(VLOOKUP(B962,Enero!$B$2:$G$5822,4,0),"")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IFERROR(VLOOKUP(B963,Enero!$B$2:$G$5822,4,0),"")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IFERROR(VLOOKUP(B964,Enero!$B$2:$G$5822,4,0),"")</f>
        <v>BM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tr">
        <f>IFERROR(VLOOKUP(B965,Enero!$B$2:$G$5822,4,0),"")</f>
        <v>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IFERROR(VLOOKUP(B966,Enero!$B$2:$G$5822,4,0),"")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IFERROR(VLOOKUP(B967,Enero!$B$2:$G$5822,4,0),"")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IFERROR(VLOOKUP(B968,Enero!$B$2:$G$5822,4,0),"")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IFERROR(VLOOKUP(B969,Enero!$B$2:$G$5822,4,0),"")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IFERROR(VLOOKUP(B970,Enero!$B$2:$G$5822,4,0),"")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IFERROR(VLOOKUP(B971,Enero!$B$2:$G$5822,4,0),"")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IFERROR(VLOOKUP(B972,Enero!$B$2:$G$5822,4,0),"")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IFERROR(VLOOKUP(B973,Enero!$B$2:$G$5822,4,0),"")</f>
        <v>BM</v>
      </c>
    </row>
    <row r="974" spans="1:7" x14ac:dyDescent="0.25">
      <c r="A974" s="11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IFERROR(VLOOKUP(B974,Enero!$B$2:$G$5822,4,0),"")</f>
        <v>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IFERROR(VLOOKUP(B975,Enero!$B$2:$G$5822,4,0),"")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IFERROR(VLOOKUP(B976,Enero!$B$2:$G$5822,4,0),"")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IFERROR(VLOOKUP(B977,Enero!$B$2:$G$5822,4,0),"")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IFERROR(VLOOKUP(B978,Enero!$B$2:$G$5822,4,0),"")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IFERROR(VLOOKUP(B979,Enero!$B$2:$G$5822,4,0),"")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IFERROR(VLOOKUP(B980,Enero!$B$2:$G$5822,4,0),"")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IFERROR(VLOOKUP(B981,Enero!$B$2:$G$5822,4,0),"")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IFERROR(VLOOKUP(B982,Enero!$B$2:$G$5822,4,0),"")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IFERROR(VLOOKUP(B983,Enero!$B$2:$G$5822,4,0),"")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IFERROR(VLOOKUP(B984,Enero!$B$2:$G$5822,4,0),"")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IFERROR(VLOOKUP(B985,Enero!$B$2:$G$5822,4,0),"")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IFERROR(VLOOKUP(B986,Enero!$B$2:$G$5822,4,0),"")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IFERROR(VLOOKUP(B987,Enero!$B$2:$G$5822,4,0),"")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IFERROR(VLOOKUP(B988,Enero!$B$2:$G$5822,4,0),"")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IFERROR(VLOOKUP(B989,Enero!$B$2:$G$5822,4,0),"")</f>
        <v>BM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IFERROR(VLOOKUP(B990,Enero!$B$2:$G$5822,4,0),"")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IFERROR(VLOOKUP(B991,Enero!$B$2:$G$5822,4,0),"")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IFERROR(VLOOKUP(B992,Enero!$B$2:$G$5822,4,0),"")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IFERROR(VLOOKUP(B993,Enero!$B$2:$G$5822,4,0),"")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tr">
        <f>IFERROR(VLOOKUP(B994,Enero!$B$2:$G$5822,4,0),"")</f>
        <v>INACTBM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IFERROR(VLOOKUP(B995,Enero!$B$2:$G$5822,4,0),"")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IFERROR(VLOOKUP(B996,Enero!$B$2:$G$5822,4,0),"")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IFERROR(VLOOKUP(B997,Enero!$B$2:$G$5822,4,0),"")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IFERROR(VLOOKUP(B998,Enero!$B$2:$G$5822,4,0),"")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IFERROR(VLOOKUP(B999,Enero!$B$2:$G$5822,4,0),"")</f>
        <v>BM</v>
      </c>
    </row>
    <row r="1000" spans="1:7" x14ac:dyDescent="0.25">
      <c r="A1000" s="11"/>
      <c r="B1000" s="4" t="s">
        <v>888</v>
      </c>
      <c r="C1000" s="4" t="s">
        <v>14</v>
      </c>
      <c r="D1000" s="4" t="s">
        <v>15</v>
      </c>
      <c r="E1000" s="4" t="s">
        <v>263</v>
      </c>
      <c r="F1000" s="4" t="s">
        <v>14</v>
      </c>
      <c r="G1000" s="5" t="str">
        <f>IFERROR(VLOOKUP(B1000,Enero!$B$2:$G$5822,4,0),"")</f>
        <v>ATAGAS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IFERROR(VLOOKUP(B1001,Enero!$B$2:$G$5822,4,0),"")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IFERROR(VLOOKUP(B1002,Enero!$B$2:$G$5822,4,0),"")</f>
        <v>DPAPET</v>
      </c>
    </row>
    <row r="1003" spans="1:7" x14ac:dyDescent="0.25">
      <c r="A1003" s="11"/>
      <c r="B1003" s="4" t="s">
        <v>891</v>
      </c>
      <c r="C1003" s="4" t="s">
        <v>14</v>
      </c>
      <c r="D1003" s="4" t="s">
        <v>15</v>
      </c>
      <c r="E1003" s="4" t="s">
        <v>16</v>
      </c>
      <c r="F1003" s="4" t="s">
        <v>14</v>
      </c>
      <c r="G1003" s="5" t="str">
        <f>IFERROR(VLOOKUP(B1003,Enero!$B$2:$G$5822,4,0),"")</f>
        <v>ATAPET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IFERROR(VLOOKUP(B1004,Enero!$B$2:$G$5822,4,0),"")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IFERROR(VLOOKUP(B1005,Enero!$B$2:$G$5822,4,0),"")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IFERROR(VLOOKUP(B1006,Enero!$B$2:$G$5822,4,0),"")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IFERROR(VLOOKUP(B1007,Enero!$B$2:$G$5822,4,0),"")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IFERROR(VLOOKUP(B1008,Enero!$B$2:$G$5822,4,0),"")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IFERROR(VLOOKUP(B1009,Enero!$B$2:$G$5822,4,0),"")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IFERROR(VLOOKUP(B1010,Enero!$B$2:$G$5822,4,0),"")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IFERROR(VLOOKUP(B1011,Enero!$B$2:$G$5822,4,0),"")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IFERROR(VLOOKUP(B1012,Enero!$B$2:$G$5822,4,0),"")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IFERROR(VLOOKUP(B1013,Enero!$B$2:$G$5822,4,0),"")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IFERROR(VLOOKUP(B1014,Enero!$B$2:$G$5822,4,0),"")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IFERROR(VLOOKUP(B1015,Enero!$B$2:$G$5822,4,0),"")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IFERROR(VLOOKUP(B1016,Enero!$B$2:$G$5822,4,0),"")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IFERROR(VLOOKUP(B1017,Enero!$B$2:$G$5822,4,0),"")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IFERROR(VLOOKUP(B1018,Enero!$B$2:$G$5822,4,0),"")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IFERROR(VLOOKUP(B1019,Enero!$B$2:$G$5822,4,0),"")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IFERROR(VLOOKUP(B1020,Enero!$B$2:$G$5822,4,0),"")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IFERROR(VLOOKUP(B1021,Enero!$B$2:$G$5822,4,0),"")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IFERROR(VLOOKUP(B1022,Enero!$B$2:$G$5822,4,0),"")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IFERROR(VLOOKUP(B1023,Enero!$B$2:$G$5822,4,0),"")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IFERROR(VLOOKUP(B1024,Enero!$B$2:$G$5822,4,0),"")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IFERROR(VLOOKUP(B1025,Enero!$B$2:$G$5822,4,0),"")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IFERROR(VLOOKUP(B1026,Enero!$B$2:$G$5822,4,0),"")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IFERROR(VLOOKUP(B1027,Enero!$B$2:$G$5822,4,0),"")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IFERROR(VLOOKUP(B1028,Enero!$B$2:$G$5822,4,0),"")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IFERROR(VLOOKUP(B1029,Enero!$B$2:$G$5822,4,0),"")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IFERROR(VLOOKUP(B1030,Enero!$B$2:$G$5822,4,0),"")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IFERROR(VLOOKUP(B1031,Enero!$B$2:$G$5822,4,0),"")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IFERROR(VLOOKUP(B1032,Enero!$B$2:$G$5822,4,0),"")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IFERROR(VLOOKUP(B1033,Enero!$B$2:$G$5822,4,0),"")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IFERROR(VLOOKUP(B1034,Enero!$B$2:$G$5822,4,0),"")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IFERROR(VLOOKUP(B1035,Enero!$B$2:$G$5822,4,0),"")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IFERROR(VLOOKUP(B1036,Enero!$B$2:$G$5822,4,0),"")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IFERROR(VLOOKUP(B1037,Enero!$B$2:$G$5822,4,0),"")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IFERROR(VLOOKUP(B1038,Enero!$B$2:$G$5822,4,0),"")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IFERROR(VLOOKUP(B1039,Enero!$B$2:$G$5822,4,0),"")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IFERROR(VLOOKUP(B1040,Enero!$B$2:$G$5822,4,0),"")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IFERROR(VLOOKUP(B1041,Enero!$B$2:$G$5822,4,0),"")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IFERROR(VLOOKUP(B1042,Enero!$B$2:$G$5822,4,0),"")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IFERROR(VLOOKUP(B1043,Enero!$B$2:$G$5822,4,0),"")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IFERROR(VLOOKUP(B1044,Enero!$B$2:$G$5822,4,0),"")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IFERROR(VLOOKUP(B1045,Enero!$B$2:$G$5822,4,0),"")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IFERROR(VLOOKUP(B1046,Enero!$B$2:$G$5822,4,0),"")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IFERROR(VLOOKUP(B1047,Enero!$B$2:$G$5822,4,0),"")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IFERROR(VLOOKUP(B1048,Enero!$B$2:$G$5822,4,0),"")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IFERROR(VLOOKUP(B1049,Enero!$B$2:$G$5822,4,0),"")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IFERROR(VLOOKUP(B1050,Enero!$B$2:$G$5822,4,0),"")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IFERROR(VLOOKUP(B1051,Enero!$B$2:$G$5822,4,0),"")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IFERROR(VLOOKUP(B1052,Enero!$B$2:$G$5822,4,0),"")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IFERROR(VLOOKUP(B1053,Enero!$B$2:$G$5822,4,0),"")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IFERROR(VLOOKUP(B1054,Enero!$B$2:$G$5822,4,0),"")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IFERROR(VLOOKUP(B1055,Enero!$B$2:$G$5822,4,0),"")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IFERROR(VLOOKUP(B1056,Enero!$B$2:$G$5822,4,0),"")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IFERROR(VLOOKUP(B1057,Enero!$B$2:$G$5822,4,0),"")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IFERROR(VLOOKUP(B1058,Enero!$B$2:$G$5822,4,0),"")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IFERROR(VLOOKUP(B1059,Enero!$B$2:$G$5822,4,0),"")</f>
        <v>APA_PC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IFERROR(VLOOKUP(B1060,Enero!$B$2:$G$5822,4,0),"")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IFERROR(VLOOKUP(B1061,Enero!$B$2:$G$5822,4,0),"")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IFERROR(VLOOKUP(B1062,Enero!$B$2:$G$5822,4,0),"")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IFERROR(VLOOKUP(B1063,Enero!$B$2:$G$5822,4,0),"")</f>
        <v>APA_PC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IFERROR(VLOOKUP(B1064,Enero!$B$2:$G$5822,4,0),"")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IFERROR(VLOOKUP(B1065,Enero!$B$2:$G$5822,4,0),"")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IFERROR(VLOOKUP(B1066,Enero!$B$2:$G$5822,4,0),"")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IFERROR(VLOOKUP(B1067,Enero!$B$2:$G$5822,4,0),"")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IFERROR(VLOOKUP(B1068,Enero!$B$2:$G$5822,4,0),"")</f>
        <v>APA_PC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IFERROR(VLOOKUP(B1069,Enero!$B$2:$G$5822,4,0),"")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IFERROR(VLOOKUP(B1070,Enero!$B$2:$G$5822,4,0),"")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IFERROR(VLOOKUP(B1071,Enero!$B$2:$G$5822,4,0),"")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IFERROR(VLOOKUP(B1072,Enero!$B$2:$G$5822,4,0),"")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IFERROR(VLOOKUP(B1073,Enero!$B$2:$G$5822,4,0),"")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IFERROR(VLOOKUP(B1074,Enero!$B$2:$G$5822,4,0),"")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IFERROR(VLOOKUP(B1075,Enero!$B$2:$G$5822,4,0),"")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IFERROR(VLOOKUP(B1076,Enero!$B$2:$G$5822,4,0),"")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IFERROR(VLOOKUP(B1077,Enero!$B$2:$G$5822,4,0),"")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IFERROR(VLOOKUP(B1078,Enero!$B$2:$G$5822,4,0),"")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IFERROR(VLOOKUP(B1079,Enero!$B$2:$G$5822,4,0),"")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IFERROR(VLOOKUP(B1080,Enero!$B$2:$G$5822,4,0),"")</f>
        <v>ATAPET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IFERROR(VLOOKUP(B1081,Enero!$B$2:$G$5822,4,0),"")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IFERROR(VLOOKUP(B1082,Enero!$B$2:$G$5822,4,0),"")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IFERROR(VLOOKUP(B1083,Enero!$B$2:$G$5822,4,0),"")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IFERROR(VLOOKUP(B1084,Enero!$B$2:$G$5822,4,0),"")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IFERROR(VLOOKUP(B1085,Enero!$B$2:$G$5822,4,0),"")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IFERROR(VLOOKUP(B1086,Enero!$B$2:$G$5822,4,0),"")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IFERROR(VLOOKUP(B1087,Enero!$B$2:$G$5822,4,0),"")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IFERROR(VLOOKUP(B1088,Enero!$B$2:$G$5822,4,0),"")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IFERROR(VLOOKUP(B1089,Enero!$B$2:$G$5822,4,0),"")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IFERROR(VLOOKUP(B1090,Enero!$B$2:$G$5822,4,0),"")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IFERROR(VLOOKUP(B1091,Enero!$B$2:$G$5822,4,0),"")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IFERROR(VLOOKUP(B1092,Enero!$B$2:$G$5822,4,0),"")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IFERROR(VLOOKUP(B1093,Enero!$B$2:$G$5822,4,0),"")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IFERROR(VLOOKUP(B1094,Enero!$B$2:$G$5822,4,0),"")</f>
        <v>APA_PC</v>
      </c>
    </row>
    <row r="1095" spans="1:7" x14ac:dyDescent="0.25">
      <c r="A1095" s="11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tr">
        <f>IFERROR(VLOOKUP(B1095,Enero!$B$2:$G$5822,4,0),"")</f>
        <v>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IFERROR(VLOOKUP(B1096,Enero!$B$2:$G$5822,4,0),"")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IFERROR(VLOOKUP(B1097,Enero!$B$2:$G$5822,4,0),"")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IFERROR(VLOOKUP(B1098,Enero!$B$2:$G$5822,4,0),"")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IFERROR(VLOOKUP(B1099,Enero!$B$2:$G$5822,4,0),"")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IFERROR(VLOOKUP(B1100,Enero!$B$2:$G$5822,4,0),"")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IFERROR(VLOOKUP(B1101,Enero!$B$2:$G$5822,4,0),"")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IFERROR(VLOOKUP(B1102,Enero!$B$2:$G$5822,4,0),"")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IFERROR(VLOOKUP(B1103,Enero!$B$2:$G$5822,4,0),"")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IFERROR(VLOOKUP(B1104,Enero!$B$2:$G$5822,4,0),"")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IFERROR(VLOOKUP(B1105,Enero!$B$2:$G$5822,4,0),"")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IFERROR(VLOOKUP(B1106,Enero!$B$2:$G$5822,4,0),"")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IFERROR(VLOOKUP(B1107,Enero!$B$2:$G$5822,4,0),"")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IFERROR(VLOOKUP(B1108,Enero!$B$2:$G$5822,4,0),"")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IFERROR(VLOOKUP(B1109,Enero!$B$2:$G$5822,4,0),"")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IFERROR(VLOOKUP(B1110,Enero!$B$2:$G$5822,4,0),"")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IFERROR(VLOOKUP(B1111,Enero!$B$2:$G$5822,4,0),"")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IFERROR(VLOOKUP(B1112,Enero!$B$2:$G$5822,4,0),"")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IFERROR(VLOOKUP(B1113,Enero!$B$2:$G$5822,4,0),"")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IFERROR(VLOOKUP(B1114,Enero!$B$2:$G$5822,4,0),"")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IFERROR(VLOOKUP(B1115,Enero!$B$2:$G$5822,4,0),"")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IFERROR(VLOOKUP(B1116,Enero!$B$2:$G$5822,4,0),"")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IFERROR(VLOOKUP(B1117,Enero!$B$2:$G$5822,4,0),"")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IFERROR(VLOOKUP(B1118,Enero!$B$2:$G$5822,4,0),"")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IFERROR(VLOOKUP(B1119,Enero!$B$2:$G$5822,4,0),"")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IFERROR(VLOOKUP(B1120,Enero!$B$2:$G$5822,4,0),"")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IFERROR(VLOOKUP(B1121,Enero!$B$2:$G$5822,4,0),"")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IFERROR(VLOOKUP(B1122,Enero!$B$2:$G$5822,4,0),"")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IFERROR(VLOOKUP(B1123,Enero!$B$2:$G$5822,4,0),"")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IFERROR(VLOOKUP(B1124,Enero!$B$2:$G$5822,4,0),"")</f>
        <v>ATAPET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IFERROR(VLOOKUP(B1125,Enero!$B$2:$G$5822,4,0),"")</f>
        <v>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IFERROR(VLOOKUP(B1126,Enero!$B$2:$G$5822,4,0),"")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IFERROR(VLOOKUP(B1127,Enero!$B$2:$G$5822,4,0),"")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IFERROR(VLOOKUP(B1128,Enero!$B$2:$G$5822,4,0),"")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IFERROR(VLOOKUP(B1129,Enero!$B$2:$G$5822,4,0),"")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IFERROR(VLOOKUP(B1130,Enero!$B$2:$G$5822,4,0),"")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IFERROR(VLOOKUP(B1131,Enero!$B$2:$G$5822,4,0),"")</f>
        <v>APA_PC</v>
      </c>
    </row>
    <row r="1132" spans="1:7" x14ac:dyDescent="0.25">
      <c r="A1132" s="11"/>
      <c r="B1132" s="4" t="s">
        <v>1023</v>
      </c>
      <c r="C1132" s="4" t="s">
        <v>35</v>
      </c>
      <c r="D1132" s="4" t="s">
        <v>35</v>
      </c>
      <c r="E1132" s="4" t="s">
        <v>163</v>
      </c>
      <c r="F1132" s="4" t="s">
        <v>21</v>
      </c>
      <c r="G1132" s="5" t="str">
        <f>IFERROR(VLOOKUP(B1132,Enero!$B$2:$G$5822,4,0),"")</f>
        <v>ACTPETS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IFERROR(VLOOKUP(B1133,Enero!$B$2:$G$5822,4,0),"")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IFERROR(VLOOKUP(B1134,Enero!$B$2:$G$5822,4,0),"")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IFERROR(VLOOKUP(B1135,Enero!$B$2:$G$5822,4,0),"")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IFERROR(VLOOKUP(B1136,Enero!$B$2:$G$5822,4,0),"")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IFERROR(VLOOKUP(B1137,Enero!$B$2:$G$5822,4,0),"")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IFERROR(VLOOKUP(B1138,Enero!$B$2:$G$5822,4,0),"")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IFERROR(VLOOKUP(B1139,Enero!$B$2:$G$5822,4,0),"")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IFERROR(VLOOKUP(B1140,Enero!$B$2:$G$5822,4,0),"")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IFERROR(VLOOKUP(B1141,Enero!$B$2:$G$5822,4,0),"")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IFERROR(VLOOKUP(B1142,Enero!$B$2:$G$5822,4,0),"")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IFERROR(VLOOKUP(B1143,Enero!$B$2:$G$5822,4,0),"")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IFERROR(VLOOKUP(B1144,Enero!$B$2:$G$5822,4,0),"")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IFERROR(VLOOKUP(B1145,Enero!$B$2:$G$5822,4,0),"")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IFERROR(VLOOKUP(B1146,Enero!$B$2:$G$5822,4,0),"")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IFERROR(VLOOKUP(B1147,Enero!$B$2:$G$5822,4,0),"")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IFERROR(VLOOKUP(B1148,Enero!$B$2:$G$5822,4,0),"")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IFERROR(VLOOKUP(B1149,Enero!$B$2:$G$5822,4,0),"")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IFERROR(VLOOKUP(B1150,Enero!$B$2:$G$5822,4,0),"")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IFERROR(VLOOKUP(B1151,Enero!$B$2:$G$5822,4,0),"")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IFERROR(VLOOKUP(B1152,Enero!$B$2:$G$5822,4,0),"")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IFERROR(VLOOKUP(B1153,Enero!$B$2:$G$5822,4,0),"")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IFERROR(VLOOKUP(B1154,Enero!$B$2:$G$5822,4,0),"")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IFERROR(VLOOKUP(B1155,Enero!$B$2:$G$5822,4,0),"")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IFERROR(VLOOKUP(B1156,Enero!$B$2:$G$5822,4,0),"")</f>
        <v>ACTPETS</v>
      </c>
    </row>
    <row r="1157" spans="1:7" x14ac:dyDescent="0.25">
      <c r="A1157" s="11"/>
      <c r="B1157" s="4" t="s">
        <v>1049</v>
      </c>
      <c r="C1157" s="4" t="s">
        <v>14</v>
      </c>
      <c r="D1157" s="4" t="s">
        <v>15</v>
      </c>
      <c r="E1157" s="4" t="s">
        <v>16</v>
      </c>
      <c r="F1157" s="4" t="s">
        <v>14</v>
      </c>
      <c r="G1157" s="5" t="str">
        <f>IFERROR(VLOOKUP(B1157,Enero!$B$2:$G$5822,4,0),"")</f>
        <v>ATAPET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IFERROR(VLOOKUP(B1158,Enero!$B$2:$G$5822,4,0),"")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IFERROR(VLOOKUP(B1159,Enero!$B$2:$G$5822,4,0),"")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IFERROR(VLOOKUP(B1160,Enero!$B$2:$G$5822,4,0),"")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IFERROR(VLOOKUP(B1161,Enero!$B$2:$G$5822,4,0),"")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IFERROR(VLOOKUP(B1162,Enero!$B$2:$G$5822,4,0),"")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IFERROR(VLOOKUP(B1163,Enero!$B$2:$G$5822,4,0),"")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IFERROR(VLOOKUP(B1164,Enero!$B$2:$G$5822,4,0),"")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IFERROR(VLOOKUP(B1165,Enero!$B$2:$G$5822,4,0),"")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IFERROR(VLOOKUP(B1166,Enero!$B$2:$G$5822,4,0),"")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IFERROR(VLOOKUP(B1167,Enero!$B$2:$G$5822,4,0),"")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IFERROR(VLOOKUP(B1168,Enero!$B$2:$G$5822,4,0),"")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IFERROR(VLOOKUP(B1169,Enero!$B$2:$G$5822,4,0),"")</f>
        <v>APA_PC</v>
      </c>
    </row>
    <row r="1170" spans="1:7" x14ac:dyDescent="0.25">
      <c r="A1170" s="11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IFERROR(VLOOKUP(B1170,Enero!$B$2:$G$5822,4,0),"")</f>
        <v>INACTPETS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IFERROR(VLOOKUP(B1171,Enero!$B$2:$G$5822,4,0),"")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IFERROR(VLOOKUP(B1172,Enero!$B$2:$G$5822,4,0),"")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IFERROR(VLOOKUP(B1173,Enero!$B$2:$G$5822,4,0),"")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IFERROR(VLOOKUP(B1174,Enero!$B$2:$G$5822,4,0),"")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IFERROR(VLOOKUP(B1175,Enero!$B$2:$G$5822,4,0),"")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IFERROR(VLOOKUP(B1176,Enero!$B$2:$G$5822,4,0),"")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IFERROR(VLOOKUP(B1177,Enero!$B$2:$G$5822,4,0),"")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IFERROR(VLOOKUP(B1178,Enero!$B$2:$G$5822,4,0),"")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IFERROR(VLOOKUP(B1179,Enero!$B$2:$G$5822,4,0),"")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IFERROR(VLOOKUP(B1180,Enero!$B$2:$G$5822,4,0),"")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IFERROR(VLOOKUP(B1181,Enero!$B$2:$G$5822,4,0),"")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IFERROR(VLOOKUP(B1182,Enero!$B$2:$G$5822,4,0),"")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IFERROR(VLOOKUP(B1183,Enero!$B$2:$G$5822,4,0),"")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IFERROR(VLOOKUP(B1184,Enero!$B$2:$G$5822,4,0),"")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IFERROR(VLOOKUP(B1185,Enero!$B$2:$G$5822,4,0),"")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IFERROR(VLOOKUP(B1186,Enero!$B$2:$G$5822,4,0),"")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IFERROR(VLOOKUP(B1187,Enero!$B$2:$G$5822,4,0),"")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IFERROR(VLOOKUP(B1188,Enero!$B$2:$G$5822,4,0),"")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IFERROR(VLOOKUP(B1189,Enero!$B$2:$G$5822,4,0),"")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IFERROR(VLOOKUP(B1190,Enero!$B$2:$G$5822,4,0),"")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IFERROR(VLOOKUP(B1191,Enero!$B$2:$G$5822,4,0),"")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IFERROR(VLOOKUP(B1192,Enero!$B$2:$G$5822,4,0),"")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IFERROR(VLOOKUP(B1193,Enero!$B$2:$G$5822,4,0),"")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IFERROR(VLOOKUP(B1194,Enero!$B$2:$G$5822,4,0),"")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IFERROR(VLOOKUP(B1195,Enero!$B$2:$G$5822,4,0),"")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IFERROR(VLOOKUP(B1196,Enero!$B$2:$G$5822,4,0),"")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IFERROR(VLOOKUP(B1197,Enero!$B$2:$G$5822,4,0),"")</f>
        <v>APA_PC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IFERROR(VLOOKUP(B1198,Enero!$B$2:$G$5822,4,0),"")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IFERROR(VLOOKUP(B1199,Enero!$B$2:$G$5822,4,0),"")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IFERROR(VLOOKUP(B1200,Enero!$B$2:$G$5822,4,0),"")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IFERROR(VLOOKUP(B1201,Enero!$B$2:$G$5822,4,0),"")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IFERROR(VLOOKUP(B1202,Enero!$B$2:$G$5822,4,0),"")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IFERROR(VLOOKUP(B1203,Enero!$B$2:$G$5822,4,0),"")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IFERROR(VLOOKUP(B1204,Enero!$B$2:$G$5822,4,0),"")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IFERROR(VLOOKUP(B1205,Enero!$B$2:$G$5822,4,0),"")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IFERROR(VLOOKUP(B1206,Enero!$B$2:$G$5822,4,0),"")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IFERROR(VLOOKUP(B1207,Enero!$B$2:$G$5822,4,0),"")</f>
        <v>APA_PC</v>
      </c>
    </row>
    <row r="1208" spans="1:7" x14ac:dyDescent="0.25">
      <c r="A1208" s="11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tr">
        <f>IFERROR(VLOOKUP(B1208,Enero!$B$2:$G$5822,4,0),"")</f>
        <v>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IFERROR(VLOOKUP(B1209,Enero!$B$2:$G$5822,4,0),"")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IFERROR(VLOOKUP(B1210,Enero!$B$2:$G$5822,4,0),"")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IFERROR(VLOOKUP(B1211,Enero!$B$2:$G$5822,4,0),"")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IFERROR(VLOOKUP(B1212,Enero!$B$2:$G$5822,4,0),"")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IFERROR(VLOOKUP(B1213,Enero!$B$2:$G$5822,4,0),"")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IFERROR(VLOOKUP(B1214,Enero!$B$2:$G$5822,4,0),"")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IFERROR(VLOOKUP(B1215,Enero!$B$2:$G$5822,4,0),"")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IFERROR(VLOOKUP(B1216,Enero!$B$2:$G$5822,4,0),"")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IFERROR(VLOOKUP(B1217,Enero!$B$2:$G$5822,4,0),"")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IFERROR(VLOOKUP(B1218,Enero!$B$2:$G$5822,4,0),"")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IFERROR(VLOOKUP(B1219,Enero!$B$2:$G$5822,4,0),"")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IFERROR(VLOOKUP(B1220,Enero!$B$2:$G$5822,4,0),"")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IFERROR(VLOOKUP(B1221,Enero!$B$2:$G$5822,4,0),"")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IFERROR(VLOOKUP(B1222,Enero!$B$2:$G$5822,4,0),"")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IFERROR(VLOOKUP(B1223,Enero!$B$2:$G$5822,4,0),"")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IFERROR(VLOOKUP(B1224,Enero!$B$2:$G$5822,4,0),"")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IFERROR(VLOOKUP(B1225,Enero!$B$2:$G$5822,4,0),"")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IFERROR(VLOOKUP(B1226,Enero!$B$2:$G$5822,4,0),"")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IFERROR(VLOOKUP(B1227,Enero!$B$2:$G$5822,4,0),"")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IFERROR(VLOOKUP(B1228,Enero!$B$2:$G$5822,4,0),"")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IFERROR(VLOOKUP(B1229,Enero!$B$2:$G$5822,4,0),"")</f>
        <v>BM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IFERROR(VLOOKUP(B1230,Enero!$B$2:$G$5822,4,0),"")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IFERROR(VLOOKUP(B1231,Enero!$B$2:$G$5822,4,0),"")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IFERROR(VLOOKUP(B1232,Enero!$B$2:$G$5822,4,0),"")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IFERROR(VLOOKUP(B1233,Enero!$B$2:$G$5822,4,0),"")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IFERROR(VLOOKUP(B1234,Enero!$B$2:$G$5822,4,0),"")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IFERROR(VLOOKUP(B1235,Enero!$B$2:$G$5822,4,0),"")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IFERROR(VLOOKUP(B1236,Enero!$B$2:$G$5822,4,0),"")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IFERROR(VLOOKUP(B1237,Enero!$B$2:$G$5822,4,0),"")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IFERROR(VLOOKUP(B1238,Enero!$B$2:$G$5822,4,0),"")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IFERROR(VLOOKUP(B1239,Enero!$B$2:$G$5822,4,0),"")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IFERROR(VLOOKUP(B1240,Enero!$B$2:$G$5822,4,0),"")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IFERROR(VLOOKUP(B1241,Enero!$B$2:$G$5822,4,0),"")</f>
        <v>APA_PC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IFERROR(VLOOKUP(B1242,Enero!$B$2:$G$5822,4,0),"")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IFERROR(VLOOKUP(B1243,Enero!$B$2:$G$5822,4,0),"")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IFERROR(VLOOKUP(B1244,Enero!$B$2:$G$5822,4,0),"")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IFERROR(VLOOKUP(B1245,Enero!$B$2:$G$5822,4,0),"")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IFERROR(VLOOKUP(B1246,Enero!$B$2:$G$5822,4,0),"")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IFERROR(VLOOKUP(B1247,Enero!$B$2:$G$5822,4,0),"")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IFERROR(VLOOKUP(B1248,Enero!$B$2:$G$5822,4,0),"")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IFERROR(VLOOKUP(B1249,Enero!$B$2:$G$5822,4,0),"")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IFERROR(VLOOKUP(B1250,Enero!$B$2:$G$5822,4,0),"")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IFERROR(VLOOKUP(B1251,Enero!$B$2:$G$5822,4,0),"")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IFERROR(VLOOKUP(B1252,Enero!$B$2:$G$5822,4,0),"")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IFERROR(VLOOKUP(B1253,Enero!$B$2:$G$5822,4,0),"")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IFERROR(VLOOKUP(B1254,Enero!$B$2:$G$5822,4,0),"")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IFERROR(VLOOKUP(B1255,Enero!$B$2:$G$5822,4,0),"")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IFERROR(VLOOKUP(B1256,Enero!$B$2:$G$5822,4,0),"")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IFERROR(VLOOKUP(B1257,Enero!$B$2:$G$5822,4,0),"")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IFERROR(VLOOKUP(B1258,Enero!$B$2:$G$5822,4,0),"")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IFERROR(VLOOKUP(B1259,Enero!$B$2:$G$5822,4,0),"")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IFERROR(VLOOKUP(B1260,Enero!$B$2:$G$5822,4,0),"")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IFERROR(VLOOKUP(B1261,Enero!$B$2:$G$5822,4,0),"")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IFERROR(VLOOKUP(B1262,Enero!$B$2:$G$5822,4,0),"")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IFERROR(VLOOKUP(B1263,Enero!$B$2:$G$5822,4,0),"")</f>
        <v>ACTPETS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IFERROR(VLOOKUP(B1264,Enero!$B$2:$G$5822,4,0),"")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IFERROR(VLOOKUP(B1265,Enero!$B$2:$G$5822,4,0),"")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IFERROR(VLOOKUP(B1266,Enero!$B$2:$G$5822,4,0),"")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IFERROR(VLOOKUP(B1267,Enero!$B$2:$G$5822,4,0),"")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IFERROR(VLOOKUP(B1268,Enero!$B$2:$G$5822,4,0),"")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IFERROR(VLOOKUP(B1269,Enero!$B$2:$G$5822,4,0),"")</f>
        <v>APA_PC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IFERROR(VLOOKUP(B1270,Enero!$B$2:$G$5822,4,0),"")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IFERROR(VLOOKUP(B1271,Enero!$B$2:$G$5822,4,0),"")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IFERROR(VLOOKUP(B1272,Enero!$B$2:$G$5822,4,0),"")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IFERROR(VLOOKUP(B1273,Enero!$B$2:$G$5822,4,0),"")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IFERROR(VLOOKUP(B1274,Enero!$B$2:$G$5822,4,0),"")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IFERROR(VLOOKUP(B1275,Enero!$B$2:$G$5822,4,0),"")</f>
        <v>APA_PC</v>
      </c>
    </row>
    <row r="1276" spans="1:7" x14ac:dyDescent="0.25">
      <c r="A1276" s="11"/>
      <c r="B1276" s="4" t="s">
        <v>1170</v>
      </c>
      <c r="C1276" s="4" t="s">
        <v>14</v>
      </c>
      <c r="D1276" s="4" t="s">
        <v>15</v>
      </c>
      <c r="E1276" s="4" t="s">
        <v>16</v>
      </c>
      <c r="F1276" s="4" t="s">
        <v>14</v>
      </c>
      <c r="G1276" s="5" t="str">
        <f>IFERROR(VLOOKUP(B1276,Enero!$B$2:$G$5822,4,0),"")</f>
        <v>ATAPET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IFERROR(VLOOKUP(B1277,Enero!$B$2:$G$5822,4,0),"")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IFERROR(VLOOKUP(B1278,Enero!$B$2:$G$5822,4,0),"")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IFERROR(VLOOKUP(B1279,Enero!$B$2:$G$5822,4,0),"")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IFERROR(VLOOKUP(B1280,Enero!$B$2:$G$5822,4,0),"")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IFERROR(VLOOKUP(B1281,Enero!$B$2:$G$5822,4,0),"")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IFERROR(VLOOKUP(B1282,Enero!$B$2:$G$5822,4,0),"")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IFERROR(VLOOKUP(B1283,Enero!$B$2:$G$5822,4,0),"")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IFERROR(VLOOKUP(B1284,Enero!$B$2:$G$5822,4,0),"")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IFERROR(VLOOKUP(B1285,Enero!$B$2:$G$5822,4,0),"")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IFERROR(VLOOKUP(B1286,Enero!$B$2:$G$5822,4,0),"")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IFERROR(VLOOKUP(B1287,Enero!$B$2:$G$5822,4,0),"")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IFERROR(VLOOKUP(B1288,Enero!$B$2:$G$5822,4,0),"")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IFERROR(VLOOKUP(B1289,Enero!$B$2:$G$5822,4,0),"")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IFERROR(VLOOKUP(B1290,Enero!$B$2:$G$5822,4,0),"")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IFERROR(VLOOKUP(B1291,Enero!$B$2:$G$5822,4,0),"")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IFERROR(VLOOKUP(B1292,Enero!$B$2:$G$5822,4,0),"")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IFERROR(VLOOKUP(B1293,Enero!$B$2:$G$5822,4,0),"")</f>
        <v>APA_PC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IFERROR(VLOOKUP(B1294,Enero!$B$2:$G$5822,4,0),"")</f>
        <v>ACTPETS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tr">
        <f>IFERROR(VLOOKUP(B1295,Enero!$B$2:$G$5822,4,0),"")</f>
        <v>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IFERROR(VLOOKUP(B1296,Enero!$B$2:$G$5822,4,0),"")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IFERROR(VLOOKUP(B1297,Enero!$B$2:$G$5822,4,0),"")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IFERROR(VLOOKUP(B1298,Enero!$B$2:$G$5822,4,0),"")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IFERROR(VLOOKUP(B1299,Enero!$B$2:$G$5822,4,0),"")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IFERROR(VLOOKUP(B1300,Enero!$B$2:$G$5822,4,0),"")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IFERROR(VLOOKUP(B1301,Enero!$B$2:$G$5822,4,0),"")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IFERROR(VLOOKUP(B1302,Enero!$B$2:$G$5822,4,0),"")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IFERROR(VLOOKUP(B1303,Enero!$B$2:$G$5822,4,0),"")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IFERROR(VLOOKUP(B1304,Enero!$B$2:$G$5822,4,0),"")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IFERROR(VLOOKUP(B1305,Enero!$B$2:$G$5822,4,0),"")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IFERROR(VLOOKUP(B1306,Enero!$B$2:$G$5822,4,0),"")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IFERROR(VLOOKUP(B1307,Enero!$B$2:$G$5822,4,0),"")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IFERROR(VLOOKUP(B1308,Enero!$B$2:$G$5822,4,0),"")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IFERROR(VLOOKUP(B1309,Enero!$B$2:$G$5822,4,0),"")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IFERROR(VLOOKUP(B1310,Enero!$B$2:$G$5822,4,0),"")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IFERROR(VLOOKUP(B1311,Enero!$B$2:$G$5822,4,0),"")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IFERROR(VLOOKUP(B1312,Enero!$B$2:$G$5822,4,0),"")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IFERROR(VLOOKUP(B1313,Enero!$B$2:$G$5822,4,0),"")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IFERROR(VLOOKUP(B1314,Enero!$B$2:$G$5822,4,0),"")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IFERROR(VLOOKUP(B1315,Enero!$B$2:$G$5822,4,0),"")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IFERROR(VLOOKUP(B1316,Enero!$B$2:$G$5822,4,0),"")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IFERROR(VLOOKUP(B1317,Enero!$B$2:$G$5822,4,0),"")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IFERROR(VLOOKUP(B1318,Enero!$B$2:$G$5822,4,0),"")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IFERROR(VLOOKUP(B1319,Enero!$B$2:$G$5822,4,0),"")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IFERROR(VLOOKUP(B1320,Enero!$B$2:$G$5822,4,0),"")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IFERROR(VLOOKUP(B1321,Enero!$B$2:$G$5822,4,0),"")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IFERROR(VLOOKUP(B1322,Enero!$B$2:$G$5822,4,0),"")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IFERROR(VLOOKUP(B1323,Enero!$B$2:$G$5822,4,0),"")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IFERROR(VLOOKUP(B1324,Enero!$B$2:$G$5822,4,0),"")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IFERROR(VLOOKUP(B1325,Enero!$B$2:$G$5822,4,0),"")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IFERROR(VLOOKUP(B1326,Enero!$B$2:$G$5822,4,0),"")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IFERROR(VLOOKUP(B1327,Enero!$B$2:$G$5822,4,0),"")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IFERROR(VLOOKUP(B1328,Enero!$B$2:$G$5822,4,0),"")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IFERROR(VLOOKUP(B1329,Enero!$B$2:$G$5822,4,0),"")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IFERROR(VLOOKUP(B1330,Enero!$B$2:$G$5822,4,0),"")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IFERROR(VLOOKUP(B1331,Enero!$B$2:$G$5822,4,0),"")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IFERROR(VLOOKUP(B1332,Enero!$B$2:$G$5822,4,0),"")</f>
        <v>INACTBM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IFERROR(VLOOKUP(B1333,Enero!$B$2:$G$5822,4,0),"")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IFERROR(VLOOKUP(B1334,Enero!$B$2:$G$5822,4,0),"")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IFERROR(VLOOKUP(B1335,Enero!$B$2:$G$5822,4,0),"")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IFERROR(VLOOKUP(B1336,Enero!$B$2:$G$5822,4,0),"")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IFERROR(VLOOKUP(B1337,Enero!$B$2:$G$5822,4,0),"")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IFERROR(VLOOKUP(B1338,Enero!$B$2:$G$5822,4,0),"")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IFERROR(VLOOKUP(B1339,Enero!$B$2:$G$5822,4,0),"")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IFERROR(VLOOKUP(B1340,Enero!$B$2:$G$5822,4,0),"")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IFERROR(VLOOKUP(B1341,Enero!$B$2:$G$5822,4,0),"")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IFERROR(VLOOKUP(B1342,Enero!$B$2:$G$5822,4,0),"")</f>
        <v>APAPET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IFERROR(VLOOKUP(B1343,Enero!$B$2:$G$5822,4,0),"")</f>
        <v>ACTPETS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IFERROR(VLOOKUP(B1344,Enero!$B$2:$G$5822,4,0),"")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IFERROR(VLOOKUP(B1345,Enero!$B$2:$G$5822,4,0),"")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IFERROR(VLOOKUP(B1346,Enero!$B$2:$G$5822,4,0),"")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IFERROR(VLOOKUP(B1347,Enero!$B$2:$G$5822,4,0),"")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IFERROR(VLOOKUP(B1348,Enero!$B$2:$G$5822,4,0),"")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IFERROR(VLOOKUP(B1349,Enero!$B$2:$G$5822,4,0),"")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IFERROR(VLOOKUP(B1350,Enero!$B$2:$G$5822,4,0),"")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IFERROR(VLOOKUP(B1351,Enero!$B$2:$G$5822,4,0),"")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IFERROR(VLOOKUP(B1352,Enero!$B$2:$G$5822,4,0),"")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IFERROR(VLOOKUP(B1353,Enero!$B$2:$G$5822,4,0),"")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IFERROR(VLOOKUP(B1354,Enero!$B$2:$G$5822,4,0),"")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IFERROR(VLOOKUP(B1355,Enero!$B$2:$G$5822,4,0),"")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IFERROR(VLOOKUP(B1356,Enero!$B$2:$G$5822,4,0),"")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IFERROR(VLOOKUP(B1357,Enero!$B$2:$G$5822,4,0),"")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IFERROR(VLOOKUP(B1358,Enero!$B$2:$G$5822,4,0),"")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IFERROR(VLOOKUP(B1359,Enero!$B$2:$G$5822,4,0),"")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IFERROR(VLOOKUP(B1360,Enero!$B$2:$G$5822,4,0),"")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IFERROR(VLOOKUP(B1361,Enero!$B$2:$G$5822,4,0),"")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IFERROR(VLOOKUP(B1362,Enero!$B$2:$G$5822,4,0),"")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IFERROR(VLOOKUP(B1363,Enero!$B$2:$G$5822,4,0),"")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IFERROR(VLOOKUP(B1364,Enero!$B$2:$G$5822,4,0),"")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IFERROR(VLOOKUP(B1365,Enero!$B$2:$G$5822,4,0),"")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IFERROR(VLOOKUP(B1366,Enero!$B$2:$G$5822,4,0),"")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IFERROR(VLOOKUP(B1367,Enero!$B$2:$G$5822,4,0),"")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IFERROR(VLOOKUP(B1368,Enero!$B$2:$G$5822,4,0),"")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IFERROR(VLOOKUP(B1369,Enero!$B$2:$G$5822,4,0),"")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IFERROR(VLOOKUP(B1370,Enero!$B$2:$G$5822,4,0),"")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IFERROR(VLOOKUP(B1371,Enero!$B$2:$G$5822,4,0),"")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IFERROR(VLOOKUP(B1372,Enero!$B$2:$G$5822,4,0),"")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IFERROR(VLOOKUP(B1373,Enero!$B$2:$G$5822,4,0),"")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IFERROR(VLOOKUP(B1374,Enero!$B$2:$G$5822,4,0),"")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IFERROR(VLOOKUP(B1375,Enero!$B$2:$G$5822,4,0),"")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IFERROR(VLOOKUP(B1376,Enero!$B$2:$G$5822,4,0),"")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IFERROR(VLOOKUP(B1377,Enero!$B$2:$G$5822,4,0),"")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IFERROR(VLOOKUP(B1378,Enero!$B$2:$G$5822,4,0),"")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IFERROR(VLOOKUP(B1379,Enero!$B$2:$G$5822,4,0),"")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IFERROR(VLOOKUP(B1380,Enero!$B$2:$G$5822,4,0),"")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IFERROR(VLOOKUP(B1381,Enero!$B$2:$G$5822,4,0),"")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IFERROR(VLOOKUP(B1382,Enero!$B$2:$G$5822,4,0),"")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IFERROR(VLOOKUP(B1383,Enero!$B$2:$G$5822,4,0),"")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IFERROR(VLOOKUP(B1384,Enero!$B$2:$G$5822,4,0),"")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IFERROR(VLOOKUP(B1385,Enero!$B$2:$G$5822,4,0),"")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IFERROR(VLOOKUP(B1386,Enero!$B$2:$G$5822,4,0),"")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IFERROR(VLOOKUP(B1387,Enero!$B$2:$G$5822,4,0),"")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IFERROR(VLOOKUP(B1388,Enero!$B$2:$G$5822,4,0),"")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IFERROR(VLOOKUP(B1389,Enero!$B$2:$G$5822,4,0),"")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IFERROR(VLOOKUP(B1390,Enero!$B$2:$G$5822,4,0),"")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IFERROR(VLOOKUP(B1391,Enero!$B$2:$G$5822,4,0),"")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IFERROR(VLOOKUP(B1392,Enero!$B$2:$G$5822,4,0),"")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IFERROR(VLOOKUP(B1393,Enero!$B$2:$G$5822,4,0),"")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IFERROR(VLOOKUP(B1394,Enero!$B$2:$G$5822,4,0),"")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IFERROR(VLOOKUP(B1395,Enero!$B$2:$G$5822,4,0),"")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IFERROR(VLOOKUP(B1396,Enero!$B$2:$G$5822,4,0),"")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IFERROR(VLOOKUP(B1397,Enero!$B$2:$G$5822,4,0),"")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IFERROR(VLOOKUP(B1398,Enero!$B$2:$G$5822,4,0),"")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IFERROR(VLOOKUP(B1399,Enero!$B$2:$G$5822,4,0),"")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IFERROR(VLOOKUP(B1400,Enero!$B$2:$G$5822,4,0),"")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IFERROR(VLOOKUP(B1401,Enero!$B$2:$G$5822,4,0),"")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IFERROR(VLOOKUP(B1402,Enero!$B$2:$G$5822,4,0),"")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IFERROR(VLOOKUP(B1403,Enero!$B$2:$G$5822,4,0),"")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IFERROR(VLOOKUP(B1404,Enero!$B$2:$G$5822,4,0),"")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IFERROR(VLOOKUP(B1405,Enero!$B$2:$G$5822,4,0),"")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IFERROR(VLOOKUP(B1406,Enero!$B$2:$G$5822,4,0),"")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IFERROR(VLOOKUP(B1407,Enero!$B$2:$G$5822,4,0),"")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IFERROR(VLOOKUP(B1408,Enero!$B$2:$G$5822,4,0),"")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IFERROR(VLOOKUP(B1409,Enero!$B$2:$G$5822,4,0),"")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IFERROR(VLOOKUP(B1410,Enero!$B$2:$G$5822,4,0),"")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IFERROR(VLOOKUP(B1411,Enero!$B$2:$G$5822,4,0),"")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IFERROR(VLOOKUP(B1412,Enero!$B$2:$G$5822,4,0),"")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IFERROR(VLOOKUP(B1413,Enero!$B$2:$G$5822,4,0),"")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IFERROR(VLOOKUP(B1414,Enero!$B$2:$G$5822,4,0),"")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IFERROR(VLOOKUP(B1415,Enero!$B$2:$G$5822,4,0),"")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IFERROR(VLOOKUP(B1416,Enero!$B$2:$G$5822,4,0),"")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IFERROR(VLOOKUP(B1417,Enero!$B$2:$G$5822,4,0),"")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IFERROR(VLOOKUP(B1418,Enero!$B$2:$G$5822,4,0),"")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IFERROR(VLOOKUP(B1419,Enero!$B$2:$G$5822,4,0),"")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IFERROR(VLOOKUP(B1420,Enero!$B$2:$G$5822,4,0),"")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IFERROR(VLOOKUP(B1421,Enero!$B$2:$G$5822,4,0),"")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IFERROR(VLOOKUP(B1422,Enero!$B$2:$G$5822,4,0),"")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IFERROR(VLOOKUP(B1423,Enero!$B$2:$G$5822,4,0),"")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IFERROR(VLOOKUP(B1424,Enero!$B$2:$G$5822,4,0),"")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IFERROR(VLOOKUP(B1425,Enero!$B$2:$G$5822,4,0),"")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IFERROR(VLOOKUP(B1426,Enero!$B$2:$G$5822,4,0),"")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IFERROR(VLOOKUP(B1427,Enero!$B$2:$G$5822,4,0),"")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IFERROR(VLOOKUP(B1428,Enero!$B$2:$G$5822,4,0),"")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IFERROR(VLOOKUP(B1429,Enero!$B$2:$G$5822,4,0),"")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IFERROR(VLOOKUP(B1430,Enero!$B$2:$G$5822,4,0),"")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IFERROR(VLOOKUP(B1431,Enero!$B$2:$G$5822,4,0),"")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IFERROR(VLOOKUP(B1432,Enero!$B$2:$G$5822,4,0),"")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IFERROR(VLOOKUP(B1433,Enero!$B$2:$G$5822,4,0),"")</f>
        <v>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IFERROR(VLOOKUP(B1434,Enero!$B$2:$G$5822,4,0),"")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IFERROR(VLOOKUP(B1435,Enero!$B$2:$G$5822,4,0),"")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IFERROR(VLOOKUP(B1436,Enero!$B$2:$G$5822,4,0),"")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IFERROR(VLOOKUP(B1437,Enero!$B$2:$G$5822,4,0),"")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IFERROR(VLOOKUP(B1438,Enero!$B$2:$G$5822,4,0),"")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IFERROR(VLOOKUP(B1439,Enero!$B$2:$G$5822,4,0),"")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IFERROR(VLOOKUP(B1440,Enero!$B$2:$G$5822,4,0),"")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IFERROR(VLOOKUP(B1441,Enero!$B$2:$G$5822,4,0),"")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IFERROR(VLOOKUP(B1442,Enero!$B$2:$G$5822,4,0),"")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IFERROR(VLOOKUP(B1443,Enero!$B$2:$G$5822,4,0),"")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IFERROR(VLOOKUP(B1444,Enero!$B$2:$G$5822,4,0),"")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IFERROR(VLOOKUP(B1445,Enero!$B$2:$G$5822,4,0),"")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IFERROR(VLOOKUP(B1446,Enero!$B$2:$G$5822,4,0),"")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IFERROR(VLOOKUP(B1447,Enero!$B$2:$G$5822,4,0),"")</f>
        <v>INACTBM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IFERROR(VLOOKUP(B1448,Enero!$B$2:$G$5822,4,0),"")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IFERROR(VLOOKUP(B1449,Enero!$B$2:$G$5822,4,0),"")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IFERROR(VLOOKUP(B1450,Enero!$B$2:$G$5822,4,0),"")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IFERROR(VLOOKUP(B1451,Enero!$B$2:$G$5822,4,0),"")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IFERROR(VLOOKUP(B1452,Enero!$B$2:$G$5822,4,0),"")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IFERROR(VLOOKUP(B1453,Enero!$B$2:$G$5822,4,0),"")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IFERROR(VLOOKUP(B1454,Enero!$B$2:$G$5822,4,0),"")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IFERROR(VLOOKUP(B1455,Enero!$B$2:$G$5822,4,0),"")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IFERROR(VLOOKUP(B1456,Enero!$B$2:$G$5822,4,0),"")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IFERROR(VLOOKUP(B1457,Enero!$B$2:$G$5822,4,0),"")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IFERROR(VLOOKUP(B1458,Enero!$B$2:$G$5822,4,0),"")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IFERROR(VLOOKUP(B1459,Enero!$B$2:$G$5822,4,0),"")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IFERROR(VLOOKUP(B1460,Enero!$B$2:$G$5822,4,0),"")</f>
        <v>APAPET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IFERROR(VLOOKUP(B1461,Enero!$B$2:$G$5822,4,0),"")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IFERROR(VLOOKUP(B1462,Enero!$B$2:$G$5822,4,0),"")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IFERROR(VLOOKUP(B1463,Enero!$B$2:$G$5822,4,0),"")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IFERROR(VLOOKUP(B1464,Enero!$B$2:$G$5822,4,0),"")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IFERROR(VLOOKUP(B1465,Enero!$B$2:$G$5822,4,0),"")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IFERROR(VLOOKUP(B1466,Enero!$B$2:$G$5822,4,0),"")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IFERROR(VLOOKUP(B1467,Enero!$B$2:$G$5822,4,0),"")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IFERROR(VLOOKUP(B1468,Enero!$B$2:$G$5822,4,0),"")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IFERROR(VLOOKUP(B1469,Enero!$B$2:$G$5822,4,0),"")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IFERROR(VLOOKUP(B1470,Enero!$B$2:$G$5822,4,0),"")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IFERROR(VLOOKUP(B1471,Enero!$B$2:$G$5822,4,0),"")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IFERROR(VLOOKUP(B1472,Enero!$B$2:$G$5822,4,0),"")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IFERROR(VLOOKUP(B1473,Enero!$B$2:$G$5822,4,0),"")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IFERROR(VLOOKUP(B1474,Enero!$B$2:$G$5822,4,0),"")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IFERROR(VLOOKUP(B1475,Enero!$B$2:$G$5822,4,0),"")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IFERROR(VLOOKUP(B1476,Enero!$B$2:$G$5822,4,0),"")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IFERROR(VLOOKUP(B1477,Enero!$B$2:$G$5822,4,0),"")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IFERROR(VLOOKUP(B1478,Enero!$B$2:$G$5822,4,0),"")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IFERROR(VLOOKUP(B1479,Enero!$B$2:$G$5822,4,0),"")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IFERROR(VLOOKUP(B1480,Enero!$B$2:$G$5822,4,0),"")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IFERROR(VLOOKUP(B1481,Enero!$B$2:$G$5822,4,0),"")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IFERROR(VLOOKUP(B1482,Enero!$B$2:$G$5822,4,0),"")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IFERROR(VLOOKUP(B1483,Enero!$B$2:$G$5822,4,0),"")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IFERROR(VLOOKUP(B1484,Enero!$B$2:$G$5822,4,0),"")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IFERROR(VLOOKUP(B1485,Enero!$B$2:$G$5822,4,0),"")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IFERROR(VLOOKUP(B1486,Enero!$B$2:$G$5822,4,0),"")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IFERROR(VLOOKUP(B1487,Enero!$B$2:$G$5822,4,0),"")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IFERROR(VLOOKUP(B1488,Enero!$B$2:$G$5822,4,0),"")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IFERROR(VLOOKUP(B1489,Enero!$B$2:$G$5822,4,0),"")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IFERROR(VLOOKUP(B1490,Enero!$B$2:$G$5822,4,0),"")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IFERROR(VLOOKUP(B1491,Enero!$B$2:$G$5822,4,0),"")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IFERROR(VLOOKUP(B1492,Enero!$B$2:$G$5822,4,0),"")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IFERROR(VLOOKUP(B1493,Enero!$B$2:$G$5822,4,0),"")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IFERROR(VLOOKUP(B1494,Enero!$B$2:$G$5822,4,0),"")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IFERROR(VLOOKUP(B1495,Enero!$B$2:$G$5822,4,0),"")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IFERROR(VLOOKUP(B1496,Enero!$B$2:$G$5822,4,0),"")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IFERROR(VLOOKUP(B1497,Enero!$B$2:$G$5822,4,0),"")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IFERROR(VLOOKUP(B1498,Enero!$B$2:$G$5822,4,0),"")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IFERROR(VLOOKUP(B1499,Enero!$B$2:$G$5822,4,0),"")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IFERROR(VLOOKUP(B1500,Enero!$B$2:$G$5822,4,0),"")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IFERROR(VLOOKUP(B1501,Enero!$B$2:$G$5822,4,0),"")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IFERROR(VLOOKUP(B1502,Enero!$B$2:$G$5822,4,0),"")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IFERROR(VLOOKUP(B1503,Enero!$B$2:$G$5822,4,0),"")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IFERROR(VLOOKUP(B1504,Enero!$B$2:$G$5822,4,0),"")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IFERROR(VLOOKUP(B1505,Enero!$B$2:$G$5822,4,0),"")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IFERROR(VLOOKUP(B1506,Enero!$B$2:$G$5822,4,0),"")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IFERROR(VLOOKUP(B1507,Enero!$B$2:$G$5822,4,0),"")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IFERROR(VLOOKUP(B1508,Enero!$B$2:$G$5822,4,0),"")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IFERROR(VLOOKUP(B1509,Enero!$B$2:$G$5822,4,0),"")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IFERROR(VLOOKUP(B1510,Enero!$B$2:$G$5822,4,0),"")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IFERROR(VLOOKUP(B1511,Enero!$B$2:$G$5822,4,0),"")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IFERROR(VLOOKUP(B1512,Enero!$B$2:$G$5822,4,0),"")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IFERROR(VLOOKUP(B1513,Enero!$B$2:$G$5822,4,0),"")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IFERROR(VLOOKUP(B1514,Enero!$B$2:$G$5822,4,0),"")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IFERROR(VLOOKUP(B1515,Enero!$B$2:$G$5822,4,0),"")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IFERROR(VLOOKUP(B1516,Enero!$B$2:$G$5822,4,0),"")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IFERROR(VLOOKUP(B1517,Enero!$B$2:$G$5822,4,0),"")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IFERROR(VLOOKUP(B1518,Enero!$B$2:$G$5822,4,0),"")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IFERROR(VLOOKUP(B1519,Enero!$B$2:$G$5822,4,0),"")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IFERROR(VLOOKUP(B1520,Enero!$B$2:$G$5822,4,0),"")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IFERROR(VLOOKUP(B1521,Enero!$B$2:$G$5822,4,0),"")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IFERROR(VLOOKUP(B1522,Enero!$B$2:$G$5822,4,0),"")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IFERROR(VLOOKUP(B1523,Enero!$B$2:$G$5822,4,0),"")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IFERROR(VLOOKUP(B1524,Enero!$B$2:$G$5822,4,0),"")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IFERROR(VLOOKUP(B1525,Enero!$B$2:$G$5822,4,0),"")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IFERROR(VLOOKUP(B1526,Enero!$B$2:$G$5822,4,0),"")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IFERROR(VLOOKUP(B1527,Enero!$B$2:$G$5822,4,0),"")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IFERROR(VLOOKUP(B1528,Enero!$B$2:$G$5822,4,0),"")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IFERROR(VLOOKUP(B1529,Enero!$B$2:$G$5822,4,0),"")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IFERROR(VLOOKUP(B1530,Enero!$B$2:$G$5822,4,0),"")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IFERROR(VLOOKUP(B1531,Enero!$B$2:$G$5822,4,0),"")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IFERROR(VLOOKUP(B1532,Enero!$B$2:$G$5822,4,0),"")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IFERROR(VLOOKUP(B1533,Enero!$B$2:$G$5822,4,0),"")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IFERROR(VLOOKUP(B1534,Enero!$B$2:$G$5822,4,0),"")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IFERROR(VLOOKUP(B1535,Enero!$B$2:$G$5822,4,0),"")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IFERROR(VLOOKUP(B1536,Enero!$B$2:$G$5822,4,0),"")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IFERROR(VLOOKUP(B1537,Enero!$B$2:$G$5822,4,0),"")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IFERROR(VLOOKUP(B1538,Enero!$B$2:$G$5822,4,0),"")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IFERROR(VLOOKUP(B1539,Enero!$B$2:$G$5822,4,0),"")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IFERROR(VLOOKUP(B1540,Enero!$B$2:$G$5822,4,0),"")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IFERROR(VLOOKUP(B1541,Enero!$B$2:$G$5822,4,0),"")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IFERROR(VLOOKUP(B1542,Enero!$B$2:$G$5822,4,0),"")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IFERROR(VLOOKUP(B1543,Enero!$B$2:$G$5822,4,0),"")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IFERROR(VLOOKUP(B1544,Enero!$B$2:$G$5822,4,0),"")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IFERROR(VLOOKUP(B1545,Enero!$B$2:$G$5822,4,0),"")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IFERROR(VLOOKUP(B1546,Enero!$B$2:$G$5822,4,0),"")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IFERROR(VLOOKUP(B1547,Enero!$B$2:$G$5822,4,0),"")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IFERROR(VLOOKUP(B1548,Enero!$B$2:$G$5822,4,0),"")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IFERROR(VLOOKUP(B1549,Enero!$B$2:$G$5822,4,0),"")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IFERROR(VLOOKUP(B1550,Enero!$B$2:$G$5822,4,0),"")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IFERROR(VLOOKUP(B1551,Enero!$B$2:$G$5822,4,0),"")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IFERROR(VLOOKUP(B1552,Enero!$B$2:$G$5822,4,0),"")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IFERROR(VLOOKUP(B1553,Enero!$B$2:$G$5822,4,0),"")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IFERROR(VLOOKUP(B1554,Enero!$B$2:$G$5822,4,0),"")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IFERROR(VLOOKUP(B1555,Enero!$B$2:$G$5822,4,0),"")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IFERROR(VLOOKUP(B1556,Enero!$B$2:$G$5822,4,0),"")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IFERROR(VLOOKUP(B1557,Enero!$B$2:$G$5822,4,0),"")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IFERROR(VLOOKUP(B1558,Enero!$B$2:$G$5822,4,0),"")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IFERROR(VLOOKUP(B1559,Enero!$B$2:$G$5822,4,0),"")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IFERROR(VLOOKUP(B1560,Enero!$B$2:$G$5822,4,0),"")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IFERROR(VLOOKUP(B1561,Enero!$B$2:$G$5822,4,0),"")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IFERROR(VLOOKUP(B1562,Enero!$B$2:$G$5822,4,0),"")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IFERROR(VLOOKUP(B1563,Enero!$B$2:$G$5822,4,0),"")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IFERROR(VLOOKUP(B1564,Enero!$B$2:$G$5822,4,0),"")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IFERROR(VLOOKUP(B1565,Enero!$B$2:$G$5822,4,0),"")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IFERROR(VLOOKUP(B1566,Enero!$B$2:$G$5822,4,0),"")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IFERROR(VLOOKUP(B1567,Enero!$B$2:$G$5822,4,0),"")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IFERROR(VLOOKUP(B1568,Enero!$B$2:$G$5822,4,0),"")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IFERROR(VLOOKUP(B1569,Enero!$B$2:$G$5822,4,0),"")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IFERROR(VLOOKUP(B1570,Enero!$B$2:$G$5822,4,0),"")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IFERROR(VLOOKUP(B1571,Enero!$B$2:$G$5822,4,0),"")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IFERROR(VLOOKUP(B1572,Enero!$B$2:$G$5822,4,0),"")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IFERROR(VLOOKUP(B1573,Enero!$B$2:$G$5822,4,0),"")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IFERROR(VLOOKUP(B1574,Enero!$B$2:$G$5822,4,0),"")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IFERROR(VLOOKUP(B1575,Enero!$B$2:$G$5822,4,0),"")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IFERROR(VLOOKUP(B1576,Enero!$B$2:$G$5822,4,0),"")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IFERROR(VLOOKUP(B1577,Enero!$B$2:$G$5822,4,0),"")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IFERROR(VLOOKUP(B1578,Enero!$B$2:$G$5822,4,0),"")</f>
        <v>APAPET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IFERROR(VLOOKUP(B1579,Enero!$B$2:$G$5822,4,0),"")</f>
        <v>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IFERROR(VLOOKUP(B1580,Enero!$B$2:$G$5822,4,0),"")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IFERROR(VLOOKUP(B1581,Enero!$B$2:$G$5822,4,0),"")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IFERROR(VLOOKUP(B1582,Enero!$B$2:$G$5822,4,0),"")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IFERROR(VLOOKUP(B1583,Enero!$B$2:$G$5822,4,0),"")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IFERROR(VLOOKUP(B1584,Enero!$B$2:$G$5822,4,0),"")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IFERROR(VLOOKUP(B1585,Enero!$B$2:$G$5822,4,0),"")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IFERROR(VLOOKUP(B1586,Enero!$B$2:$G$5822,4,0),"")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IFERROR(VLOOKUP(B1587,Enero!$B$2:$G$5822,4,0),"")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IFERROR(VLOOKUP(B1588,Enero!$B$2:$G$5822,4,0),"")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IFERROR(VLOOKUP(B1589,Enero!$B$2:$G$5822,4,0),"")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IFERROR(VLOOKUP(B1590,Enero!$B$2:$G$5822,4,0),"")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IFERROR(VLOOKUP(B1591,Enero!$B$2:$G$5822,4,0),"")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IFERROR(VLOOKUP(B1592,Enero!$B$2:$G$5822,4,0),"")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IFERROR(VLOOKUP(B1593,Enero!$B$2:$G$5822,4,0),"")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IFERROR(VLOOKUP(B1594,Enero!$B$2:$G$5822,4,0),"")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IFERROR(VLOOKUP(B1595,Enero!$B$2:$G$5822,4,0),"")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IFERROR(VLOOKUP(B1596,Enero!$B$2:$G$5822,4,0),"")</f>
        <v>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IFERROR(VLOOKUP(B1597,Enero!$B$2:$G$5822,4,0),"")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IFERROR(VLOOKUP(B1598,Enero!$B$2:$G$5822,4,0),"")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IFERROR(VLOOKUP(B1599,Enero!$B$2:$G$5822,4,0),"")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IFERROR(VLOOKUP(B1600,Enero!$B$2:$G$5822,4,0),"")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IFERROR(VLOOKUP(B1601,Enero!$B$2:$G$5822,4,0),"")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IFERROR(VLOOKUP(B1602,Enero!$B$2:$G$5822,4,0),"")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IFERROR(VLOOKUP(B1603,Enero!$B$2:$G$5822,4,0),"")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IFERROR(VLOOKUP(B1604,Enero!$B$2:$G$5822,4,0),"")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IFERROR(VLOOKUP(B1605,Enero!$B$2:$G$5822,4,0),"")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IFERROR(VLOOKUP(B1606,Enero!$B$2:$G$5822,4,0),"")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IFERROR(VLOOKUP(B1607,Enero!$B$2:$G$5822,4,0),"")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IFERROR(VLOOKUP(B1608,Enero!$B$2:$G$5822,4,0),"")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IFERROR(VLOOKUP(B1609,Enero!$B$2:$G$5822,4,0),"")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IFERROR(VLOOKUP(B1610,Enero!$B$2:$G$5822,4,0),"")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IFERROR(VLOOKUP(B1611,Enero!$B$2:$G$5822,4,0),"")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IFERROR(VLOOKUP(B1612,Enero!$B$2:$G$5822,4,0),"")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IFERROR(VLOOKUP(B1613,Enero!$B$2:$G$5822,4,0),"")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IFERROR(VLOOKUP(B1614,Enero!$B$2:$G$5822,4,0),"")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IFERROR(VLOOKUP(B1615,Enero!$B$2:$G$5822,4,0),"")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IFERROR(VLOOKUP(B1616,Enero!$B$2:$G$5822,4,0),"")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IFERROR(VLOOKUP(B1617,Enero!$B$2:$G$5822,4,0),"")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IFERROR(VLOOKUP(B1618,Enero!$B$2:$G$5822,4,0),"")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IFERROR(VLOOKUP(B1619,Enero!$B$2:$G$5822,4,0),"")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IFERROR(VLOOKUP(B1620,Enero!$B$2:$G$5822,4,0),"")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IFERROR(VLOOKUP(B1621,Enero!$B$2:$G$5822,4,0),"")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IFERROR(VLOOKUP(B1622,Enero!$B$2:$G$5822,4,0),"")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IFERROR(VLOOKUP(B1623,Enero!$B$2:$G$5822,4,0),"")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IFERROR(VLOOKUP(B1624,Enero!$B$2:$G$5822,4,0),"")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IFERROR(VLOOKUP(B1625,Enero!$B$2:$G$5822,4,0),"")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IFERROR(VLOOKUP(B1626,Enero!$B$2:$G$5822,4,0),"")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IFERROR(VLOOKUP(B1627,Enero!$B$2:$G$5822,4,0),"")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IFERROR(VLOOKUP(B1628,Enero!$B$2:$G$5822,4,0),"")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IFERROR(VLOOKUP(B1629,Enero!$B$2:$G$5822,4,0),"")</f>
        <v>APA_PC</v>
      </c>
    </row>
    <row r="1630" spans="1:7" x14ac:dyDescent="0.25">
      <c r="A1630" s="11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tr">
        <f>IFERROR(VLOOKUP(B1630,Enero!$B$2:$G$5822,4,0),"")</f>
        <v>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IFERROR(VLOOKUP(B1631,Enero!$B$2:$G$5822,4,0),"")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IFERROR(VLOOKUP(B1632,Enero!$B$2:$G$5822,4,0),"")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IFERROR(VLOOKUP(B1633,Enero!$B$2:$G$5822,4,0),"")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IFERROR(VLOOKUP(B1634,Enero!$B$2:$G$5822,4,0),"")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IFERROR(VLOOKUP(B1635,Enero!$B$2:$G$5822,4,0),"")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IFERROR(VLOOKUP(B1636,Enero!$B$2:$G$5822,4,0),"")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IFERROR(VLOOKUP(B1637,Enero!$B$2:$G$5822,4,0),"")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IFERROR(VLOOKUP(B1638,Enero!$B$2:$G$5822,4,0),"")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IFERROR(VLOOKUP(B1639,Enero!$B$2:$G$5822,4,0),"")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IFERROR(VLOOKUP(B1640,Enero!$B$2:$G$5822,4,0),"")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IFERROR(VLOOKUP(B1641,Enero!$B$2:$G$5822,4,0),"")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IFERROR(VLOOKUP(B1642,Enero!$B$2:$G$5822,4,0),"")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IFERROR(VLOOKUP(B1643,Enero!$B$2:$G$5822,4,0),"")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IFERROR(VLOOKUP(B1644,Enero!$B$2:$G$5822,4,0),"")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IFERROR(VLOOKUP(B1645,Enero!$B$2:$G$5822,4,0),"")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IFERROR(VLOOKUP(B1646,Enero!$B$2:$G$5822,4,0),"")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IFERROR(VLOOKUP(B1647,Enero!$B$2:$G$5822,4,0),"")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IFERROR(VLOOKUP(B1648,Enero!$B$2:$G$5822,4,0),"")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IFERROR(VLOOKUP(B1649,Enero!$B$2:$G$5822,4,0),"")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IFERROR(VLOOKUP(B1650,Enero!$B$2:$G$5822,4,0),"")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IFERROR(VLOOKUP(B1651,Enero!$B$2:$G$5822,4,0),"")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IFERROR(VLOOKUP(B1652,Enero!$B$2:$G$5822,4,0),"")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IFERROR(VLOOKUP(B1653,Enero!$B$2:$G$5822,4,0),"")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IFERROR(VLOOKUP(B1654,Enero!$B$2:$G$5822,4,0),"")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IFERROR(VLOOKUP(B1655,Enero!$B$2:$G$5822,4,0),"")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IFERROR(VLOOKUP(B1656,Enero!$B$2:$G$5822,4,0),"")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IFERROR(VLOOKUP(B1657,Enero!$B$2:$G$5822,4,0),"")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IFERROR(VLOOKUP(B1658,Enero!$B$2:$G$5822,4,0),"")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IFERROR(VLOOKUP(B1659,Enero!$B$2:$G$5822,4,0),"")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IFERROR(VLOOKUP(B1660,Enero!$B$2:$G$5822,4,0),"")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IFERROR(VLOOKUP(B1661,Enero!$B$2:$G$5822,4,0),"")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IFERROR(VLOOKUP(B1662,Enero!$B$2:$G$5822,4,0),"")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IFERROR(VLOOKUP(B1663,Enero!$B$2:$G$5822,4,0),"")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IFERROR(VLOOKUP(B1664,Enero!$B$2:$G$5822,4,0),"")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IFERROR(VLOOKUP(B1665,Enero!$B$2:$G$5822,4,0),"")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IFERROR(VLOOKUP(B1666,Enero!$B$2:$G$5822,4,0),"")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IFERROR(VLOOKUP(B1667,Enero!$B$2:$G$5822,4,0),"")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IFERROR(VLOOKUP(B1668,Enero!$B$2:$G$5822,4,0),"")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IFERROR(VLOOKUP(B1669,Enero!$B$2:$G$5822,4,0),"")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IFERROR(VLOOKUP(B1670,Enero!$B$2:$G$5822,4,0),"")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IFERROR(VLOOKUP(B1671,Enero!$B$2:$G$5822,4,0),"")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IFERROR(VLOOKUP(B1672,Enero!$B$2:$G$5822,4,0),"")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IFERROR(VLOOKUP(B1673,Enero!$B$2:$G$5822,4,0),"")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IFERROR(VLOOKUP(B1674,Enero!$B$2:$G$5822,4,0),"")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IFERROR(VLOOKUP(B1675,Enero!$B$2:$G$5822,4,0),"")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IFERROR(VLOOKUP(B1676,Enero!$B$2:$G$5822,4,0),"")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IFERROR(VLOOKUP(B1677,Enero!$B$2:$G$5822,4,0),"")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IFERROR(VLOOKUP(B1678,Enero!$B$2:$G$5822,4,0),"")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IFERROR(VLOOKUP(B1679,Enero!$B$2:$G$5822,4,0),"")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IFERROR(VLOOKUP(B1680,Enero!$B$2:$G$5822,4,0),"")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IFERROR(VLOOKUP(B1681,Enero!$B$2:$G$5822,4,0),"")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IFERROR(VLOOKUP(B1682,Enero!$B$2:$G$5822,4,0),"")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IFERROR(VLOOKUP(B1683,Enero!$B$2:$G$5822,4,0),"")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IFERROR(VLOOKUP(B1684,Enero!$B$2:$G$5822,4,0),"")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IFERROR(VLOOKUP(B1685,Enero!$B$2:$G$5822,4,0),"")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IFERROR(VLOOKUP(B1686,Enero!$B$2:$G$5822,4,0),"")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IFERROR(VLOOKUP(B1687,Enero!$B$2:$G$5822,4,0),"")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IFERROR(VLOOKUP(B1688,Enero!$B$2:$G$5822,4,0),"")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IFERROR(VLOOKUP(B1689,Enero!$B$2:$G$5822,4,0),"")</f>
        <v>ACTPETS</v>
      </c>
    </row>
    <row r="1690" spans="1:7" x14ac:dyDescent="0.25">
      <c r="A1690" s="11"/>
      <c r="B1690" s="4" t="s">
        <v>1588</v>
      </c>
      <c r="C1690" s="4" t="s">
        <v>14</v>
      </c>
      <c r="D1690" s="4" t="s">
        <v>15</v>
      </c>
      <c r="E1690" s="4" t="s">
        <v>16</v>
      </c>
      <c r="F1690" s="4" t="s">
        <v>14</v>
      </c>
      <c r="G1690" s="5" t="str">
        <f>IFERROR(VLOOKUP(B1690,Enero!$B$2:$G$5822,4,0),"")</f>
        <v>ATAPET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IFERROR(VLOOKUP(B1691,Enero!$B$2:$G$5822,4,0),"")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IFERROR(VLOOKUP(B1692,Enero!$B$2:$G$5822,4,0),"")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IFERROR(VLOOKUP(B1693,Enero!$B$2:$G$5822,4,0),"")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IFERROR(VLOOKUP(B1694,Enero!$B$2:$G$5822,4,0),"")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IFERROR(VLOOKUP(B1695,Enero!$B$2:$G$5822,4,0),"")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IFERROR(VLOOKUP(B1696,Enero!$B$2:$G$5822,4,0),"")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IFERROR(VLOOKUP(B1697,Enero!$B$2:$G$5822,4,0),"")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IFERROR(VLOOKUP(B1698,Enero!$B$2:$G$5822,4,0),"")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IFERROR(VLOOKUP(B1699,Enero!$B$2:$G$5822,4,0),"")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IFERROR(VLOOKUP(B1700,Enero!$B$2:$G$5822,4,0),"")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IFERROR(VLOOKUP(B1701,Enero!$B$2:$G$5822,4,0),"")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IFERROR(VLOOKUP(B1702,Enero!$B$2:$G$5822,4,0),"")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IFERROR(VLOOKUP(B1703,Enero!$B$2:$G$5822,4,0),"")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IFERROR(VLOOKUP(B1704,Enero!$B$2:$G$5822,4,0),"")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IFERROR(VLOOKUP(B1705,Enero!$B$2:$G$5822,4,0),"")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IFERROR(VLOOKUP(B1706,Enero!$B$2:$G$5822,4,0),"")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IFERROR(VLOOKUP(B1707,Enero!$B$2:$G$5822,4,0),"")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IFERROR(VLOOKUP(B1708,Enero!$B$2:$G$5822,4,0),"")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IFERROR(VLOOKUP(B1709,Enero!$B$2:$G$5822,4,0),"")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IFERROR(VLOOKUP(B1710,Enero!$B$2:$G$5822,4,0),"")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IFERROR(VLOOKUP(B1711,Enero!$B$2:$G$5822,4,0),"")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IFERROR(VLOOKUP(B1712,Enero!$B$2:$G$5822,4,0),"")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IFERROR(VLOOKUP(B1713,Enero!$B$2:$G$5822,4,0),"")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IFERROR(VLOOKUP(B1714,Enero!$B$2:$G$5822,4,0),"")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IFERROR(VLOOKUP(B1715,Enero!$B$2:$G$5822,4,0),"")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IFERROR(VLOOKUP(B1716,Enero!$B$2:$G$5822,4,0),"")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IFERROR(VLOOKUP(B1717,Enero!$B$2:$G$5822,4,0),"")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IFERROR(VLOOKUP(B1718,Enero!$B$2:$G$5822,4,0),"")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IFERROR(VLOOKUP(B1719,Enero!$B$2:$G$5822,4,0),"")</f>
        <v>APA_PC</v>
      </c>
    </row>
    <row r="1720" spans="1:7" x14ac:dyDescent="0.25">
      <c r="A1720" s="11"/>
      <c r="B1720" s="4" t="s">
        <v>1618</v>
      </c>
      <c r="C1720" s="4" t="s">
        <v>14</v>
      </c>
      <c r="D1720" s="4" t="s">
        <v>15</v>
      </c>
      <c r="E1720" s="4" t="s">
        <v>16</v>
      </c>
      <c r="F1720" s="4" t="s">
        <v>14</v>
      </c>
      <c r="G1720" s="5" t="str">
        <f>IFERROR(VLOOKUP(B1720,Enero!$B$2:$G$5822,4,0),"")</f>
        <v>ATAPET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IFERROR(VLOOKUP(B1721,Enero!$B$2:$G$5822,4,0),"")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IFERROR(VLOOKUP(B1722,Enero!$B$2:$G$5822,4,0),"")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IFERROR(VLOOKUP(B1723,Enero!$B$2:$G$5822,4,0),"")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IFERROR(VLOOKUP(B1724,Enero!$B$2:$G$5822,4,0),"")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IFERROR(VLOOKUP(B1725,Enero!$B$2:$G$5822,4,0),"")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IFERROR(VLOOKUP(B1726,Enero!$B$2:$G$5822,4,0),"")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IFERROR(VLOOKUP(B1727,Enero!$B$2:$G$5822,4,0),"")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IFERROR(VLOOKUP(B1728,Enero!$B$2:$G$5822,4,0),"")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IFERROR(VLOOKUP(B1729,Enero!$B$2:$G$5822,4,0),"")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IFERROR(VLOOKUP(B1730,Enero!$B$2:$G$5822,4,0),"")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IFERROR(VLOOKUP(B1731,Enero!$B$2:$G$5822,4,0),"")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IFERROR(VLOOKUP(B1732,Enero!$B$2:$G$5822,4,0),"")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IFERROR(VLOOKUP(B1733,Enero!$B$2:$G$5822,4,0),"")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IFERROR(VLOOKUP(B1734,Enero!$B$2:$G$5822,4,0),"")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IFERROR(VLOOKUP(B1735,Enero!$B$2:$G$5822,4,0),"")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IFERROR(VLOOKUP(B1736,Enero!$B$2:$G$5822,4,0),"")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IFERROR(VLOOKUP(B1737,Enero!$B$2:$G$5822,4,0),"")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IFERROR(VLOOKUP(B1738,Enero!$B$2:$G$5822,4,0),"")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IFERROR(VLOOKUP(B1739,Enero!$B$2:$G$5822,4,0),"")</f>
        <v>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IFERROR(VLOOKUP(B1740,Enero!$B$2:$G$5822,4,0),"")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IFERROR(VLOOKUP(B1741,Enero!$B$2:$G$5822,4,0),"")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IFERROR(VLOOKUP(B1742,Enero!$B$2:$G$5822,4,0),"")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IFERROR(VLOOKUP(B1743,Enero!$B$2:$G$5822,4,0),"")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IFERROR(VLOOKUP(B1744,Enero!$B$2:$G$5822,4,0),"")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IFERROR(VLOOKUP(B1745,Enero!$B$2:$G$5822,4,0),"")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IFERROR(VLOOKUP(B1746,Enero!$B$2:$G$5822,4,0),"")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IFERROR(VLOOKUP(B1747,Enero!$B$2:$G$5822,4,0),"")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IFERROR(VLOOKUP(B1748,Enero!$B$2:$G$5822,4,0),"")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IFERROR(VLOOKUP(B1749,Enero!$B$2:$G$5822,4,0),"")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IFERROR(VLOOKUP(B1750,Enero!$B$2:$G$5822,4,0),"")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IFERROR(VLOOKUP(B1751,Enero!$B$2:$G$5822,4,0),"")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IFERROR(VLOOKUP(B1752,Enero!$B$2:$G$5822,4,0),"")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IFERROR(VLOOKUP(B1753,Enero!$B$2:$G$5822,4,0),"")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IFERROR(VLOOKUP(B1754,Enero!$B$2:$G$5822,4,0),"")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IFERROR(VLOOKUP(B1755,Enero!$B$2:$G$5822,4,0),"")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IFERROR(VLOOKUP(B1756,Enero!$B$2:$G$5822,4,0),"")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IFERROR(VLOOKUP(B1757,Enero!$B$2:$G$5822,4,0),"")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IFERROR(VLOOKUP(B1758,Enero!$B$2:$G$5822,4,0),"")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IFERROR(VLOOKUP(B1759,Enero!$B$2:$G$5822,4,0),"")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IFERROR(VLOOKUP(B1760,Enero!$B$2:$G$5822,4,0),"")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IFERROR(VLOOKUP(B1761,Enero!$B$2:$G$5822,4,0),"")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IFERROR(VLOOKUP(B1762,Enero!$B$2:$G$5822,4,0),"")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IFERROR(VLOOKUP(B1763,Enero!$B$2:$G$5822,4,0),"")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IFERROR(VLOOKUP(B1764,Enero!$B$2:$G$5822,4,0),"")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IFERROR(VLOOKUP(B1765,Enero!$B$2:$G$5822,4,0),"")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IFERROR(VLOOKUP(B1766,Enero!$B$2:$G$5822,4,0),"")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IFERROR(VLOOKUP(B1767,Enero!$B$2:$G$5822,4,0),"")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IFERROR(VLOOKUP(B1768,Enero!$B$2:$G$5822,4,0),"")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IFERROR(VLOOKUP(B1769,Enero!$B$2:$G$5822,4,0),"")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IFERROR(VLOOKUP(B1770,Enero!$B$2:$G$5822,4,0),"")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IFERROR(VLOOKUP(B1771,Enero!$B$2:$G$5822,4,0),"")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IFERROR(VLOOKUP(B1772,Enero!$B$2:$G$5822,4,0),"")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IFERROR(VLOOKUP(B1773,Enero!$B$2:$G$5822,4,0),"")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IFERROR(VLOOKUP(B1774,Enero!$B$2:$G$5822,4,0),"")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IFERROR(VLOOKUP(B1775,Enero!$B$2:$G$5822,4,0),"")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IFERROR(VLOOKUP(B1776,Enero!$B$2:$G$5822,4,0),"")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IFERROR(VLOOKUP(B1777,Enero!$B$2:$G$5822,4,0),"")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IFERROR(VLOOKUP(B1778,Enero!$B$2:$G$5822,4,0),"")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IFERROR(VLOOKUP(B1779,Enero!$B$2:$G$5822,4,0),"")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IFERROR(VLOOKUP(B1780,Enero!$B$2:$G$5822,4,0),"")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IFERROR(VLOOKUP(B1781,Enero!$B$2:$G$5822,4,0),"")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IFERROR(VLOOKUP(B1782,Enero!$B$2:$G$5822,4,0),"")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IFERROR(VLOOKUP(B1783,Enero!$B$2:$G$5822,4,0),"")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IFERROR(VLOOKUP(B1784,Enero!$B$2:$G$5822,4,0),"")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IFERROR(VLOOKUP(B1785,Enero!$B$2:$G$5822,4,0),"")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IFERROR(VLOOKUP(B1786,Enero!$B$2:$G$5822,4,0),"")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IFERROR(VLOOKUP(B1787,Enero!$B$2:$G$5822,4,0),"")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IFERROR(VLOOKUP(B1788,Enero!$B$2:$G$5822,4,0),"")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IFERROR(VLOOKUP(B1789,Enero!$B$2:$G$5822,4,0),"")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IFERROR(VLOOKUP(B1790,Enero!$B$2:$G$5822,4,0),"")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IFERROR(VLOOKUP(B1791,Enero!$B$2:$G$5822,4,0),"")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IFERROR(VLOOKUP(B1792,Enero!$B$2:$G$5822,4,0),"")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IFERROR(VLOOKUP(B1793,Enero!$B$2:$G$5822,4,0),"")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IFERROR(VLOOKUP(B1794,Enero!$B$2:$G$5822,4,0),"")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IFERROR(VLOOKUP(B1795,Enero!$B$2:$G$5822,4,0),"")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IFERROR(VLOOKUP(B1796,Enero!$B$2:$G$5822,4,0),"")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IFERROR(VLOOKUP(B1797,Enero!$B$2:$G$5822,4,0),"")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IFERROR(VLOOKUP(B1798,Enero!$B$2:$G$5822,4,0),"")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IFERROR(VLOOKUP(B1799,Enero!$B$2:$G$5822,4,0),"")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IFERROR(VLOOKUP(B1800,Enero!$B$2:$G$5822,4,0),"")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IFERROR(VLOOKUP(B1801,Enero!$B$2:$G$5822,4,0),"")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IFERROR(VLOOKUP(B1802,Enero!$B$2:$G$5822,4,0),"")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IFERROR(VLOOKUP(B1803,Enero!$B$2:$G$5822,4,0),"")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IFERROR(VLOOKUP(B1804,Enero!$B$2:$G$5822,4,0),"")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IFERROR(VLOOKUP(B1805,Enero!$B$2:$G$5822,4,0),"")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IFERROR(VLOOKUP(B1806,Enero!$B$2:$G$5822,4,0),"")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IFERROR(VLOOKUP(B1807,Enero!$B$2:$G$5822,4,0),"")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IFERROR(VLOOKUP(B1808,Enero!$B$2:$G$5822,4,0),"")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IFERROR(VLOOKUP(B1809,Enero!$B$2:$G$5822,4,0),"")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IFERROR(VLOOKUP(B1810,Enero!$B$2:$G$5822,4,0),"")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IFERROR(VLOOKUP(B1811,Enero!$B$2:$G$5822,4,0),"")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IFERROR(VLOOKUP(B1812,Enero!$B$2:$G$5822,4,0),"")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IFERROR(VLOOKUP(B1813,Enero!$B$2:$G$5822,4,0),"")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IFERROR(VLOOKUP(B1814,Enero!$B$2:$G$5822,4,0),"")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IFERROR(VLOOKUP(B1815,Enero!$B$2:$G$5822,4,0),"")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IFERROR(VLOOKUP(B1816,Enero!$B$2:$G$5822,4,0),"")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IFERROR(VLOOKUP(B1817,Enero!$B$2:$G$5822,4,0),"")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IFERROR(VLOOKUP(B1818,Enero!$B$2:$G$5822,4,0),"")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IFERROR(VLOOKUP(B1819,Enero!$B$2:$G$5822,4,0),"")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IFERROR(VLOOKUP(B1820,Enero!$B$2:$G$5822,4,0),"")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IFERROR(VLOOKUP(B1821,Enero!$B$2:$G$5822,4,0),"")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IFERROR(VLOOKUP(B1822,Enero!$B$2:$G$5822,4,0),"")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IFERROR(VLOOKUP(B1823,Enero!$B$2:$G$5822,4,0),"")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IFERROR(VLOOKUP(B1824,Enero!$B$2:$G$5822,4,0),"")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IFERROR(VLOOKUP(B1825,Enero!$B$2:$G$5822,4,0),"")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IFERROR(VLOOKUP(B1826,Enero!$B$2:$G$5822,4,0),"")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IFERROR(VLOOKUP(B1827,Enero!$B$2:$G$5822,4,0),"")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IFERROR(VLOOKUP(B1828,Enero!$B$2:$G$5822,4,0),"")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IFERROR(VLOOKUP(B1829,Enero!$B$2:$G$5822,4,0),"")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IFERROR(VLOOKUP(B1830,Enero!$B$2:$G$5822,4,0),"")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IFERROR(VLOOKUP(B1831,Enero!$B$2:$G$5822,4,0),"")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IFERROR(VLOOKUP(B1832,Enero!$B$2:$G$5822,4,0),"")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IFERROR(VLOOKUP(B1833,Enero!$B$2:$G$5822,4,0),"")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IFERROR(VLOOKUP(B1834,Enero!$B$2:$G$5822,4,0),"")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IFERROR(VLOOKUP(B1835,Enero!$B$2:$G$5822,4,0),"")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IFERROR(VLOOKUP(B1836,Enero!$B$2:$G$5822,4,0),"")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IFERROR(VLOOKUP(B1837,Enero!$B$2:$G$5822,4,0),"")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IFERROR(VLOOKUP(B1838,Enero!$B$2:$G$5822,4,0),"")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IFERROR(VLOOKUP(B1839,Enero!$B$2:$G$5822,4,0),"")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IFERROR(VLOOKUP(B1840,Enero!$B$2:$G$5822,4,0),"")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IFERROR(VLOOKUP(B1841,Enero!$B$2:$G$5822,4,0),"")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IFERROR(VLOOKUP(B1842,Enero!$B$2:$G$5822,4,0),"")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IFERROR(VLOOKUP(B1843,Enero!$B$2:$G$5822,4,0),"")</f>
        <v>BM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IFERROR(VLOOKUP(B1844,Enero!$B$2:$G$5822,4,0),"")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IFERROR(VLOOKUP(B1845,Enero!$B$2:$G$5822,4,0),"")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IFERROR(VLOOKUP(B1846,Enero!$B$2:$G$5822,4,0),"")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IFERROR(VLOOKUP(B1847,Enero!$B$2:$G$5822,4,0),"")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IFERROR(VLOOKUP(B1848,Enero!$B$2:$G$5822,4,0),"")</f>
        <v>ACTPETS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IFERROR(VLOOKUP(B1849,Enero!$B$2:$G$5822,4,0),"")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IFERROR(VLOOKUP(B1850,Enero!$B$2:$G$5822,4,0),"")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IFERROR(VLOOKUP(B1851,Enero!$B$2:$G$5822,4,0),"")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IFERROR(VLOOKUP(B1852,Enero!$B$2:$G$5822,4,0),"")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IFERROR(VLOOKUP(B1853,Enero!$B$2:$G$5822,4,0),"")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IFERROR(VLOOKUP(B1854,Enero!$B$2:$G$5822,4,0),"")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IFERROR(VLOOKUP(B1855,Enero!$B$2:$G$5822,4,0),"")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IFERROR(VLOOKUP(B1856,Enero!$B$2:$G$5822,4,0),"")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IFERROR(VLOOKUP(B1857,Enero!$B$2:$G$5822,4,0),"")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IFERROR(VLOOKUP(B1858,Enero!$B$2:$G$5822,4,0),"")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IFERROR(VLOOKUP(B1859,Enero!$B$2:$G$5822,4,0),"")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IFERROR(VLOOKUP(B1860,Enero!$B$2:$G$5822,4,0),"")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IFERROR(VLOOKUP(B1861,Enero!$B$2:$G$5822,4,0),"")</f>
        <v>APAPET</v>
      </c>
    </row>
    <row r="1862" spans="1:7" x14ac:dyDescent="0.25">
      <c r="A1862" s="11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IFERROR(VLOOKUP(B1862,Enero!$B$2:$G$5822,4,0),"")</f>
        <v>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IFERROR(VLOOKUP(B1863,Enero!$B$2:$G$5822,4,0),"")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IFERROR(VLOOKUP(B1864,Enero!$B$2:$G$5822,4,0),"")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IFERROR(VLOOKUP(B1865,Enero!$B$2:$G$5822,4,0),"")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IFERROR(VLOOKUP(B1866,Enero!$B$2:$G$5822,4,0),"")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IFERROR(VLOOKUP(B1867,Enero!$B$2:$G$5822,4,0),"")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IFERROR(VLOOKUP(B1868,Enero!$B$2:$G$5822,4,0),"")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IFERROR(VLOOKUP(B1869,Enero!$B$2:$G$5822,4,0),"")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IFERROR(VLOOKUP(B1870,Enero!$B$2:$G$5822,4,0),"")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IFERROR(VLOOKUP(B1871,Enero!$B$2:$G$5822,4,0),"")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IFERROR(VLOOKUP(B1872,Enero!$B$2:$G$5822,4,0),"")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IFERROR(VLOOKUP(B1873,Enero!$B$2:$G$5822,4,0),"")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IFERROR(VLOOKUP(B1874,Enero!$B$2:$G$5822,4,0),"")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IFERROR(VLOOKUP(B1875,Enero!$B$2:$G$5822,4,0),"")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IFERROR(VLOOKUP(B1876,Enero!$B$2:$G$5822,4,0),"")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IFERROR(VLOOKUP(B1877,Enero!$B$2:$G$5822,4,0),"")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IFERROR(VLOOKUP(B1878,Enero!$B$2:$G$5822,4,0),"")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IFERROR(VLOOKUP(B1879,Enero!$B$2:$G$5822,4,0),"")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IFERROR(VLOOKUP(B1880,Enero!$B$2:$G$5822,4,0),"")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IFERROR(VLOOKUP(B1881,Enero!$B$2:$G$5822,4,0),"")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IFERROR(VLOOKUP(B1882,Enero!$B$2:$G$5822,4,0),"")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IFERROR(VLOOKUP(B1883,Enero!$B$2:$G$5822,4,0),"")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IFERROR(VLOOKUP(B1884,Enero!$B$2:$G$5822,4,0),"")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IFERROR(VLOOKUP(B1885,Enero!$B$2:$G$5822,4,0),"")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IFERROR(VLOOKUP(B1886,Enero!$B$2:$G$5822,4,0),"")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IFERROR(VLOOKUP(B1887,Enero!$B$2:$G$5822,4,0),"")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IFERROR(VLOOKUP(B1888,Enero!$B$2:$G$5822,4,0),"")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IFERROR(VLOOKUP(B1889,Enero!$B$2:$G$5822,4,0),"")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IFERROR(VLOOKUP(B1890,Enero!$B$2:$G$5822,4,0),"")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IFERROR(VLOOKUP(B1891,Enero!$B$2:$G$5822,4,0),"")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IFERROR(VLOOKUP(B1892,Enero!$B$2:$G$5822,4,0),"")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IFERROR(VLOOKUP(B1893,Enero!$B$2:$G$5822,4,0),"")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IFERROR(VLOOKUP(B1894,Enero!$B$2:$G$5822,4,0),"")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IFERROR(VLOOKUP(B1895,Enero!$B$2:$G$5822,4,0),"")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IFERROR(VLOOKUP(B1896,Enero!$B$2:$G$5822,4,0),"")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IFERROR(VLOOKUP(B1897,Enero!$B$2:$G$5822,4,0),"")</f>
        <v>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IFERROR(VLOOKUP(B1898,Enero!$B$2:$G$5822,4,0),"")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IFERROR(VLOOKUP(B1899,Enero!$B$2:$G$5822,4,0),"")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IFERROR(VLOOKUP(B1900,Enero!$B$2:$G$5822,4,0),"")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IFERROR(VLOOKUP(B1901,Enero!$B$2:$G$5822,4,0),"")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IFERROR(VLOOKUP(B1902,Enero!$B$2:$G$5822,4,0),"")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IFERROR(VLOOKUP(B1903,Enero!$B$2:$G$5822,4,0),"")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IFERROR(VLOOKUP(B1904,Enero!$B$2:$G$5822,4,0),"")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IFERROR(VLOOKUP(B1905,Enero!$B$2:$G$5822,4,0),"")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IFERROR(VLOOKUP(B1906,Enero!$B$2:$G$5822,4,0),"")</f>
        <v>DPAPET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IFERROR(VLOOKUP(B1907,Enero!$B$2:$G$5822,4,0),"")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IFERROR(VLOOKUP(B1908,Enero!$B$2:$G$5822,4,0),"")</f>
        <v>APA_PC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IFERROR(VLOOKUP(B1909,Enero!$B$2:$G$5822,4,0),"")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IFERROR(VLOOKUP(B1910,Enero!$B$2:$G$5822,4,0),"")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IFERROR(VLOOKUP(B1911,Enero!$B$2:$G$5822,4,0),"")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IFERROR(VLOOKUP(B1912,Enero!$B$2:$G$5822,4,0),"")</f>
        <v>APA_PC</v>
      </c>
    </row>
    <row r="1913" spans="1:7" x14ac:dyDescent="0.25">
      <c r="A1913" s="11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tr">
        <f>IFERROR(VLOOKUP(B1913,Enero!$B$2:$G$5822,4,0),"")</f>
        <v>INACTPETF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IFERROR(VLOOKUP(B1914,Enero!$B$2:$G$5822,4,0),"")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IFERROR(VLOOKUP(B1915,Enero!$B$2:$G$5822,4,0),"")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IFERROR(VLOOKUP(B1916,Enero!$B$2:$G$5822,4,0),"")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IFERROR(VLOOKUP(B1917,Enero!$B$2:$G$5822,4,0),"")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IFERROR(VLOOKUP(B1918,Enero!$B$2:$G$5822,4,0),"")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IFERROR(VLOOKUP(B1919,Enero!$B$2:$G$5822,4,0),"")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IFERROR(VLOOKUP(B1920,Enero!$B$2:$G$5822,4,0),"")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IFERROR(VLOOKUP(B1921,Enero!$B$2:$G$5822,4,0),"")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IFERROR(VLOOKUP(B1922,Enero!$B$2:$G$5822,4,0),"")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IFERROR(VLOOKUP(B1923,Enero!$B$2:$G$5822,4,0),"")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IFERROR(VLOOKUP(B1924,Enero!$B$2:$G$5822,4,0),"")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IFERROR(VLOOKUP(B1925,Enero!$B$2:$G$5822,4,0),"")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IFERROR(VLOOKUP(B1926,Enero!$B$2:$G$5822,4,0),"")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IFERROR(VLOOKUP(B1927,Enero!$B$2:$G$5822,4,0),"")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IFERROR(VLOOKUP(B1928,Enero!$B$2:$G$5822,4,0),"")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IFERROR(VLOOKUP(B1929,Enero!$B$2:$G$5822,4,0),"")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IFERROR(VLOOKUP(B1930,Enero!$B$2:$G$5822,4,0),"")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IFERROR(VLOOKUP(B1931,Enero!$B$2:$G$5822,4,0),"")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IFERROR(VLOOKUP(B1932,Enero!$B$2:$G$5822,4,0),"")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IFERROR(VLOOKUP(B1933,Enero!$B$2:$G$5822,4,0),"")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IFERROR(VLOOKUP(B1934,Enero!$B$2:$G$5822,4,0),"")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IFERROR(VLOOKUP(B1935,Enero!$B$2:$G$5822,4,0),"")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IFERROR(VLOOKUP(B1936,Enero!$B$2:$G$5822,4,0),"")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IFERROR(VLOOKUP(B1937,Enero!$B$2:$G$5822,4,0),"")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IFERROR(VLOOKUP(B1938,Enero!$B$2:$G$5822,4,0),"")</f>
        <v>ACTPETS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IFERROR(VLOOKUP(B1939,Enero!$B$2:$G$5822,4,0),"")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IFERROR(VLOOKUP(B1940,Enero!$B$2:$G$5822,4,0),"")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IFERROR(VLOOKUP(B1941,Enero!$B$2:$G$5822,4,0),"")</f>
        <v>ACTPETF</v>
      </c>
    </row>
    <row r="1942" spans="1:7" x14ac:dyDescent="0.25">
      <c r="A1942" s="11"/>
      <c r="B1942" s="4" t="s">
        <v>1842</v>
      </c>
      <c r="C1942" s="4" t="s">
        <v>35</v>
      </c>
      <c r="D1942" s="4" t="s">
        <v>35</v>
      </c>
      <c r="E1942" s="4" t="s">
        <v>57</v>
      </c>
      <c r="F1942" s="4" t="s">
        <v>1385</v>
      </c>
      <c r="G1942" s="5" t="str">
        <f>IFERROR(VLOOKUP(B1942,Enero!$B$2:$G$5822,4,0),"")</f>
        <v>INACTBM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IFERROR(VLOOKUP(B1943,Enero!$B$2:$G$5822,4,0),"")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IFERROR(VLOOKUP(B1944,Enero!$B$2:$G$5822,4,0),"")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IFERROR(VLOOKUP(B1945,Enero!$B$2:$G$5822,4,0),"")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IFERROR(VLOOKUP(B1946,Enero!$B$2:$G$5822,4,0),"")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IFERROR(VLOOKUP(B1947,Enero!$B$2:$G$5822,4,0),"")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IFERROR(VLOOKUP(B1948,Enero!$B$2:$G$5822,4,0),"")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IFERROR(VLOOKUP(B1949,Enero!$B$2:$G$5822,4,0),"")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IFERROR(VLOOKUP(B1950,Enero!$B$2:$G$5822,4,0),"")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IFERROR(VLOOKUP(B1951,Enero!$B$2:$G$5822,4,0),"")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IFERROR(VLOOKUP(B1952,Enero!$B$2:$G$5822,4,0),"")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IFERROR(VLOOKUP(B1953,Enero!$B$2:$G$5822,4,0),"")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IFERROR(VLOOKUP(B1954,Enero!$B$2:$G$5822,4,0),"")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IFERROR(VLOOKUP(B1955,Enero!$B$2:$G$5822,4,0),"")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IFERROR(VLOOKUP(B1956,Enero!$B$2:$G$5822,4,0),"")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IFERROR(VLOOKUP(B1957,Enero!$B$2:$G$5822,4,0),"")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IFERROR(VLOOKUP(B1958,Enero!$B$2:$G$5822,4,0),"")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IFERROR(VLOOKUP(B1959,Enero!$B$2:$G$5822,4,0),"")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IFERROR(VLOOKUP(B1960,Enero!$B$2:$G$5822,4,0),"")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IFERROR(VLOOKUP(B1961,Enero!$B$2:$G$5822,4,0),"")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IFERROR(VLOOKUP(B1962,Enero!$B$2:$G$5822,4,0),"")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IFERROR(VLOOKUP(B1963,Enero!$B$2:$G$5822,4,0),"")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IFERROR(VLOOKUP(B1964,Enero!$B$2:$G$5822,4,0),"")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IFERROR(VLOOKUP(B1965,Enero!$B$2:$G$5822,4,0),"")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IFERROR(VLOOKUP(B1966,Enero!$B$2:$G$5822,4,0),"")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IFERROR(VLOOKUP(B1967,Enero!$B$2:$G$5822,4,0),"")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IFERROR(VLOOKUP(B1968,Enero!$B$2:$G$5822,4,0),"")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IFERROR(VLOOKUP(B1969,Enero!$B$2:$G$5822,4,0),"")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IFERROR(VLOOKUP(B1970,Enero!$B$2:$G$5822,4,0),"")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IFERROR(VLOOKUP(B1971,Enero!$B$2:$G$5822,4,0),"")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IFERROR(VLOOKUP(B1972,Enero!$B$2:$G$5822,4,0),"")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IFERROR(VLOOKUP(B1973,Enero!$B$2:$G$5822,4,0),"")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IFERROR(VLOOKUP(B1974,Enero!$B$2:$G$5822,4,0),"")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IFERROR(VLOOKUP(B1975,Enero!$B$2:$G$5822,4,0),"")</f>
        <v>APA_PC</v>
      </c>
    </row>
    <row r="1976" spans="1:7" x14ac:dyDescent="0.25">
      <c r="A1976" s="11"/>
      <c r="B1976" s="4" t="s">
        <v>1876</v>
      </c>
      <c r="C1976" s="4" t="s">
        <v>35</v>
      </c>
      <c r="D1976" s="4" t="s">
        <v>35</v>
      </c>
      <c r="E1976" s="4" t="s">
        <v>163</v>
      </c>
      <c r="F1976" s="4" t="s">
        <v>21</v>
      </c>
      <c r="G1976" s="5" t="str">
        <f>IFERROR(VLOOKUP(B1976,Enero!$B$2:$G$5822,4,0),"")</f>
        <v>INACTPETS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IFERROR(VLOOKUP(B1977,Enero!$B$2:$G$5822,4,0),"")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IFERROR(VLOOKUP(B1978,Enero!$B$2:$G$5822,4,0),"")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IFERROR(VLOOKUP(B1979,Enero!$B$2:$G$5822,4,0),"")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IFERROR(VLOOKUP(B1980,Enero!$B$2:$G$5822,4,0),"")</f>
        <v>DPAPET</v>
      </c>
    </row>
    <row r="1981" spans="1:7" x14ac:dyDescent="0.25">
      <c r="A1981" s="11"/>
      <c r="B1981" s="4" t="s">
        <v>1881</v>
      </c>
      <c r="C1981" s="4" t="s">
        <v>11</v>
      </c>
      <c r="D1981" s="4" t="s">
        <v>11</v>
      </c>
      <c r="E1981" s="4" t="s">
        <v>11</v>
      </c>
      <c r="F1981" s="4" t="s">
        <v>137</v>
      </c>
      <c r="G1981" s="5" t="str">
        <f>IFERROR(VLOOKUP(B1981,Enero!$B$2:$G$5822,4,0),"")</f>
        <v>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IFERROR(VLOOKUP(B1982,Enero!$B$2:$G$5822,4,0),"")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IFERROR(VLOOKUP(B1983,Enero!$B$2:$G$5822,4,0),"")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IFERROR(VLOOKUP(B1984,Enero!$B$2:$G$5822,4,0),"")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IFERROR(VLOOKUP(B1985,Enero!$B$2:$G$5822,4,0),"")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IFERROR(VLOOKUP(B1986,Enero!$B$2:$G$5822,4,0),"")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IFERROR(VLOOKUP(B1987,Enero!$B$2:$G$5822,4,0),"")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IFERROR(VLOOKUP(B1988,Enero!$B$2:$G$5822,4,0),"")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IFERROR(VLOOKUP(B1989,Enero!$B$2:$G$5822,4,0),"")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IFERROR(VLOOKUP(B1990,Enero!$B$2:$G$5822,4,0),"")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IFERROR(VLOOKUP(B1991,Enero!$B$2:$G$5822,4,0),"")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IFERROR(VLOOKUP(B1992,Enero!$B$2:$G$5822,4,0),"")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IFERROR(VLOOKUP(B1993,Enero!$B$2:$G$5822,4,0),"")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IFERROR(VLOOKUP(B1994,Enero!$B$2:$G$5822,4,0),"")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IFERROR(VLOOKUP(B1995,Enero!$B$2:$G$5822,4,0),"")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IFERROR(VLOOKUP(B1996,Enero!$B$2:$G$5822,4,0),"")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IFERROR(VLOOKUP(B1997,Enero!$B$2:$G$5822,4,0),"")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IFERROR(VLOOKUP(B1998,Enero!$B$2:$G$5822,4,0),"")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IFERROR(VLOOKUP(B1999,Enero!$B$2:$G$5822,4,0),"")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IFERROR(VLOOKUP(B2000,Enero!$B$2:$G$5822,4,0),"")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IFERROR(VLOOKUP(B2001,Enero!$B$2:$G$5822,4,0),"")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IFERROR(VLOOKUP(B2002,Enero!$B$2:$G$5822,4,0),"")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IFERROR(VLOOKUP(B2003,Enero!$B$2:$G$5822,4,0),"")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IFERROR(VLOOKUP(B2004,Enero!$B$2:$G$5822,4,0),"")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IFERROR(VLOOKUP(B2005,Enero!$B$2:$G$5822,4,0),"")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IFERROR(VLOOKUP(B2006,Enero!$B$2:$G$5822,4,0),"")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IFERROR(VLOOKUP(B2007,Enero!$B$2:$G$5822,4,0),"")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IFERROR(VLOOKUP(B2008,Enero!$B$2:$G$5822,4,0),"")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IFERROR(VLOOKUP(B2009,Enero!$B$2:$G$5822,4,0),"")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IFERROR(VLOOKUP(B2010,Enero!$B$2:$G$5822,4,0),"")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IFERROR(VLOOKUP(B2011,Enero!$B$2:$G$5822,4,0),"")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IFERROR(VLOOKUP(B2012,Enero!$B$2:$G$5822,4,0),"")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IFERROR(VLOOKUP(B2013,Enero!$B$2:$G$5822,4,0),"")</f>
        <v>ATAPET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IFERROR(VLOOKUP(B2014,Enero!$B$2:$G$5822,4,0),"")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IFERROR(VLOOKUP(B2015,Enero!$B$2:$G$5822,4,0),"")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IFERROR(VLOOKUP(B2016,Enero!$B$2:$G$5822,4,0),"")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IFERROR(VLOOKUP(B2017,Enero!$B$2:$G$5822,4,0),"")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IFERROR(VLOOKUP(B2018,Enero!$B$2:$G$5822,4,0),"")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IFERROR(VLOOKUP(B2019,Enero!$B$2:$G$5822,4,0),"")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IFERROR(VLOOKUP(B2020,Enero!$B$2:$G$5822,4,0),"")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IFERROR(VLOOKUP(B2021,Enero!$B$2:$G$5822,4,0),"")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IFERROR(VLOOKUP(B2022,Enero!$B$2:$G$5822,4,0),"")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IFERROR(VLOOKUP(B2023,Enero!$B$2:$G$5822,4,0),"")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IFERROR(VLOOKUP(B2024,Enero!$B$2:$G$5822,4,0),"")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IFERROR(VLOOKUP(B2025,Enero!$B$2:$G$5822,4,0),"")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IFERROR(VLOOKUP(B2026,Enero!$B$2:$G$5822,4,0),"")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IFERROR(VLOOKUP(B2027,Enero!$B$2:$G$5822,4,0),"")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IFERROR(VLOOKUP(B2028,Enero!$B$2:$G$5822,4,0),"")</f>
        <v>DPAPET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IFERROR(VLOOKUP(B2029,Enero!$B$2:$G$5822,4,0),"")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IFERROR(VLOOKUP(B2030,Enero!$B$2:$G$5822,4,0),"")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IFERROR(VLOOKUP(B2031,Enero!$B$2:$G$5822,4,0),"")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IFERROR(VLOOKUP(B2032,Enero!$B$2:$G$5822,4,0),"")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IFERROR(VLOOKUP(B2033,Enero!$B$2:$G$5822,4,0),"")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IFERROR(VLOOKUP(B2034,Enero!$B$2:$G$5822,4,0),"")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IFERROR(VLOOKUP(B2035,Enero!$B$2:$G$5822,4,0),"")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IFERROR(VLOOKUP(B2036,Enero!$B$2:$G$5822,4,0),"")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IFERROR(VLOOKUP(B2037,Enero!$B$2:$G$5822,4,0),"")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IFERROR(VLOOKUP(B2038,Enero!$B$2:$G$5822,4,0),"")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IFERROR(VLOOKUP(B2039,Enero!$B$2:$G$5822,4,0),"")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IFERROR(VLOOKUP(B2040,Enero!$B$2:$G$5822,4,0),"")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IFERROR(VLOOKUP(B2041,Enero!$B$2:$G$5822,4,0),"")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IFERROR(VLOOKUP(B2042,Enero!$B$2:$G$5822,4,0),"")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IFERROR(VLOOKUP(B2043,Enero!$B$2:$G$5822,4,0),"")</f>
        <v>ATAPET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IFERROR(VLOOKUP(B2044,Enero!$B$2:$G$5822,4,0),"")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IFERROR(VLOOKUP(B2045,Enero!$B$2:$G$5822,4,0),"")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IFERROR(VLOOKUP(B2046,Enero!$B$2:$G$5822,4,0),"")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IFERROR(VLOOKUP(B2047,Enero!$B$2:$G$5822,4,0),"")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IFERROR(VLOOKUP(B2048,Enero!$B$2:$G$5822,4,0),"")</f>
        <v>DPAPET</v>
      </c>
    </row>
    <row r="2049" spans="1:7" x14ac:dyDescent="0.25">
      <c r="A2049" s="11"/>
      <c r="B2049" s="4" t="s">
        <v>1951</v>
      </c>
      <c r="C2049" s="4" t="s">
        <v>14</v>
      </c>
      <c r="D2049" s="4" t="s">
        <v>15</v>
      </c>
      <c r="E2049" s="4" t="s">
        <v>16</v>
      </c>
      <c r="F2049" s="4" t="s">
        <v>14</v>
      </c>
      <c r="G2049" s="5" t="str">
        <f>IFERROR(VLOOKUP(B2049,Enero!$B$2:$G$5822,4,0),"")</f>
        <v>ATAPET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IFERROR(VLOOKUP(B2050,Enero!$B$2:$G$5822,4,0),"")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IFERROR(VLOOKUP(B2051,Enero!$B$2:$G$5822,4,0),"")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IFERROR(VLOOKUP(B2052,Enero!$B$2:$G$5822,4,0),"")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IFERROR(VLOOKUP(B2053,Enero!$B$2:$G$5822,4,0),"")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IFERROR(VLOOKUP(B2054,Enero!$B$2:$G$5822,4,0),"")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IFERROR(VLOOKUP(B2055,Enero!$B$2:$G$5822,4,0),"")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IFERROR(VLOOKUP(B2056,Enero!$B$2:$G$5822,4,0),"")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IFERROR(VLOOKUP(B2057,Enero!$B$2:$G$5822,4,0),"")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IFERROR(VLOOKUP(B2058,Enero!$B$2:$G$5822,4,0),"")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IFERROR(VLOOKUP(B2059,Enero!$B$2:$G$5822,4,0),"")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IFERROR(VLOOKUP(B2060,Enero!$B$2:$G$5822,4,0),"")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IFERROR(VLOOKUP(B2061,Enero!$B$2:$G$5822,4,0),"")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IFERROR(VLOOKUP(B2062,Enero!$B$2:$G$5822,4,0),"")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IFERROR(VLOOKUP(B2063,Enero!$B$2:$G$5822,4,0),"")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IFERROR(VLOOKUP(B2064,Enero!$B$2:$G$5822,4,0),"")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IFERROR(VLOOKUP(B2065,Enero!$B$2:$G$5822,4,0),"")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IFERROR(VLOOKUP(B2066,Enero!$B$2:$G$5822,4,0),"")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IFERROR(VLOOKUP(B2067,Enero!$B$2:$G$5822,4,0),"")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IFERROR(VLOOKUP(B2068,Enero!$B$2:$G$5822,4,0),"")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IFERROR(VLOOKUP(B2069,Enero!$B$2:$G$5822,4,0),"")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IFERROR(VLOOKUP(B2070,Enero!$B$2:$G$5822,4,0),"")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IFERROR(VLOOKUP(B2071,Enero!$B$2:$G$5822,4,0),"")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IFERROR(VLOOKUP(B2072,Enero!$B$2:$G$5822,4,0),"")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IFERROR(VLOOKUP(B2073,Enero!$B$2:$G$5822,4,0),"")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IFERROR(VLOOKUP(B2074,Enero!$B$2:$G$5822,4,0),"")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IFERROR(VLOOKUP(B2075,Enero!$B$2:$G$5822,4,0),"")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IFERROR(VLOOKUP(B2076,Enero!$B$2:$G$5822,4,0),"")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IFERROR(VLOOKUP(B2077,Enero!$B$2:$G$5822,4,0),"")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IFERROR(VLOOKUP(B2078,Enero!$B$2:$G$5822,4,0),"")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IFERROR(VLOOKUP(B2079,Enero!$B$2:$G$5822,4,0),"")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IFERROR(VLOOKUP(B2080,Enero!$B$2:$G$5822,4,0),"")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IFERROR(VLOOKUP(B2081,Enero!$B$2:$G$5822,4,0),"")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IFERROR(VLOOKUP(B2082,Enero!$B$2:$G$5822,4,0),"")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IFERROR(VLOOKUP(B2083,Enero!$B$2:$G$5822,4,0),"")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IFERROR(VLOOKUP(B2084,Enero!$B$2:$G$5822,4,0),"")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IFERROR(VLOOKUP(B2085,Enero!$B$2:$G$5822,4,0),"")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IFERROR(VLOOKUP(B2086,Enero!$B$2:$G$5822,4,0),"")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IFERROR(VLOOKUP(B2087,Enero!$B$2:$G$5822,4,0),"")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IFERROR(VLOOKUP(B2088,Enero!$B$2:$G$5822,4,0),"")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IFERROR(VLOOKUP(B2089,Enero!$B$2:$G$5822,4,0),"")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IFERROR(VLOOKUP(B2090,Enero!$B$2:$G$5822,4,0),"")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IFERROR(VLOOKUP(B2091,Enero!$B$2:$G$5822,4,0),"")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IFERROR(VLOOKUP(B2092,Enero!$B$2:$G$5822,4,0),"")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IFERROR(VLOOKUP(B2093,Enero!$B$2:$G$5822,4,0),"")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IFERROR(VLOOKUP(B2094,Enero!$B$2:$G$5822,4,0),"")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IFERROR(VLOOKUP(B2095,Enero!$B$2:$G$5822,4,0),"")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IFERROR(VLOOKUP(B2096,Enero!$B$2:$G$5822,4,0),"")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IFERROR(VLOOKUP(B2097,Enero!$B$2:$G$5822,4,0),"")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IFERROR(VLOOKUP(B2098,Enero!$B$2:$G$5822,4,0),"")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IFERROR(VLOOKUP(B2099,Enero!$B$2:$G$5822,4,0),"")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IFERROR(VLOOKUP(B2100,Enero!$B$2:$G$5822,4,0),"")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IFERROR(VLOOKUP(B2101,Enero!$B$2:$G$5822,4,0),"")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IFERROR(VLOOKUP(B2102,Enero!$B$2:$G$5822,4,0),"")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IFERROR(VLOOKUP(B2103,Enero!$B$2:$G$5822,4,0),"")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IFERROR(VLOOKUP(B2104,Enero!$B$2:$G$5822,4,0),"")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IFERROR(VLOOKUP(B2105,Enero!$B$2:$G$5822,4,0),"")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IFERROR(VLOOKUP(B2106,Enero!$B$2:$G$5822,4,0),"")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IFERROR(VLOOKUP(B2107,Enero!$B$2:$G$5822,4,0),"")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IFERROR(VLOOKUP(B2108,Enero!$B$2:$G$5822,4,0),"")</f>
        <v>ACTPETS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IFERROR(VLOOKUP(B2109,Enero!$B$2:$G$5822,4,0),"")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IFERROR(VLOOKUP(B2110,Enero!$B$2:$G$5822,4,0),"")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IFERROR(VLOOKUP(B2111,Enero!$B$2:$G$5822,4,0),"")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IFERROR(VLOOKUP(B2112,Enero!$B$2:$G$5822,4,0),"")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IFERROR(VLOOKUP(B2113,Enero!$B$2:$G$5822,4,0),"")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IFERROR(VLOOKUP(B2114,Enero!$B$2:$G$5822,4,0),"")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IFERROR(VLOOKUP(B2115,Enero!$B$2:$G$5822,4,0),"")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IFERROR(VLOOKUP(B2116,Enero!$B$2:$G$5822,4,0),"")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IFERROR(VLOOKUP(B2117,Enero!$B$2:$G$5822,4,0),"")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IFERROR(VLOOKUP(B2118,Enero!$B$2:$G$5822,4,0),"")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IFERROR(VLOOKUP(B2119,Enero!$B$2:$G$5822,4,0),"")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IFERROR(VLOOKUP(B2120,Enero!$B$2:$G$5822,4,0),"")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IFERROR(VLOOKUP(B2121,Enero!$B$2:$G$5822,4,0),"")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IFERROR(VLOOKUP(B2122,Enero!$B$2:$G$5822,4,0),"")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IFERROR(VLOOKUP(B2123,Enero!$B$2:$G$5822,4,0),"")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IFERROR(VLOOKUP(B2124,Enero!$B$2:$G$5822,4,0),"")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IFERROR(VLOOKUP(B2125,Enero!$B$2:$G$5822,4,0),"")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IFERROR(VLOOKUP(B2126,Enero!$B$2:$G$5822,4,0),"")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IFERROR(VLOOKUP(B2127,Enero!$B$2:$G$5822,4,0),"")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IFERROR(VLOOKUP(B2128,Enero!$B$2:$G$5822,4,0),"")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IFERROR(VLOOKUP(B2129,Enero!$B$2:$G$5822,4,0),"")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IFERROR(VLOOKUP(B2130,Enero!$B$2:$G$5822,4,0),"")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IFERROR(VLOOKUP(B2131,Enero!$B$2:$G$5822,4,0),"")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IFERROR(VLOOKUP(B2132,Enero!$B$2:$G$5822,4,0),"")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IFERROR(VLOOKUP(B2133,Enero!$B$2:$G$5822,4,0),"")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IFERROR(VLOOKUP(B2134,Enero!$B$2:$G$5822,4,0),"")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IFERROR(VLOOKUP(B2135,Enero!$B$2:$G$5822,4,0),"")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IFERROR(VLOOKUP(B2136,Enero!$B$2:$G$5822,4,0),"")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IFERROR(VLOOKUP(B2137,Enero!$B$2:$G$5822,4,0),"")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IFERROR(VLOOKUP(B2138,Enero!$B$2:$G$5822,4,0),"")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IFERROR(VLOOKUP(B2139,Enero!$B$2:$G$5822,4,0),"")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IFERROR(VLOOKUP(B2140,Enero!$B$2:$G$5822,4,0),"")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IFERROR(VLOOKUP(B2141,Enero!$B$2:$G$5822,4,0),"")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IFERROR(VLOOKUP(B2142,Enero!$B$2:$G$5822,4,0),"")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IFERROR(VLOOKUP(B2143,Enero!$B$2:$G$5822,4,0),"")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IFERROR(VLOOKUP(B2144,Enero!$B$2:$G$5822,4,0),"")</f>
        <v>BM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IFERROR(VLOOKUP(B2145,Enero!$B$2:$G$5822,4,0),"")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IFERROR(VLOOKUP(B2146,Enero!$B$2:$G$5822,4,0),"")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IFERROR(VLOOKUP(B2147,Enero!$B$2:$G$5822,4,0),"")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IFERROR(VLOOKUP(B2148,Enero!$B$2:$G$5822,4,0),"")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IFERROR(VLOOKUP(B2149,Enero!$B$2:$G$5822,4,0),"")</f>
        <v>APA_PC</v>
      </c>
    </row>
    <row r="2150" spans="1:7" x14ac:dyDescent="0.25">
      <c r="A2150" s="11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tr">
        <f>IFERROR(VLOOKUP(B2150,Enero!$B$2:$G$5822,4,0),"")</f>
        <v>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IFERROR(VLOOKUP(B2151,Enero!$B$2:$G$5822,4,0),"")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IFERROR(VLOOKUP(B2152,Enero!$B$2:$G$5822,4,0),"")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IFERROR(VLOOKUP(B2153,Enero!$B$2:$G$5822,4,0),"")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IFERROR(VLOOKUP(B2154,Enero!$B$2:$G$5822,4,0),"")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IFERROR(VLOOKUP(B2155,Enero!$B$2:$G$5822,4,0),"")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IFERROR(VLOOKUP(B2156,Enero!$B$2:$G$5822,4,0),"")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IFERROR(VLOOKUP(B2157,Enero!$B$2:$G$5822,4,0),"")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IFERROR(VLOOKUP(B2158,Enero!$B$2:$G$5822,4,0),"")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IFERROR(VLOOKUP(B2159,Enero!$B$2:$G$5822,4,0),"")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IFERROR(VLOOKUP(B2160,Enero!$B$2:$G$5822,4,0),"")</f>
        <v>APA_PC</v>
      </c>
    </row>
    <row r="2161" spans="1:7" x14ac:dyDescent="0.25">
      <c r="A2161" s="11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IFERROR(VLOOKUP(B2161,Enero!$B$2:$G$5822,4,0),"")</f>
        <v>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IFERROR(VLOOKUP(B2162,Enero!$B$2:$G$5822,4,0),"")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IFERROR(VLOOKUP(B2163,Enero!$B$2:$G$5822,4,0),"")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IFERROR(VLOOKUP(B2164,Enero!$B$2:$G$5822,4,0),"")</f>
        <v>DPAPET</v>
      </c>
    </row>
    <row r="2165" spans="1:7" x14ac:dyDescent="0.25">
      <c r="A2165" s="11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IFERROR(VLOOKUP(B2165,Enero!$B$2:$G$5822,4,0),"")</f>
        <v>INACTPETF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IFERROR(VLOOKUP(B2166,Enero!$B$2:$G$5822,4,0),"")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IFERROR(VLOOKUP(B2167,Enero!$B$2:$G$5822,4,0),"")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IFERROR(VLOOKUP(B2168,Enero!$B$2:$G$5822,4,0),"")</f>
        <v>ATAPET</v>
      </c>
    </row>
    <row r="2169" spans="1:7" x14ac:dyDescent="0.25">
      <c r="A2169" s="11"/>
      <c r="B2169" s="4" t="s">
        <v>2073</v>
      </c>
      <c r="C2169" s="4" t="s">
        <v>18</v>
      </c>
      <c r="D2169" s="4" t="s">
        <v>19</v>
      </c>
      <c r="E2169" s="4" t="s">
        <v>20</v>
      </c>
      <c r="F2169" s="4" t="s">
        <v>21</v>
      </c>
      <c r="G2169" s="5" t="str">
        <f>IFERROR(VLOOKUP(B2169,Enero!$B$2:$G$5822,4,0),"")</f>
        <v>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IFERROR(VLOOKUP(B2170,Enero!$B$2:$G$5822,4,0),"")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IFERROR(VLOOKUP(B2171,Enero!$B$2:$G$5822,4,0),"")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IFERROR(VLOOKUP(B2172,Enero!$B$2:$G$5822,4,0),"")</f>
        <v>ATAPET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IFERROR(VLOOKUP(B2173,Enero!$B$2:$G$5822,4,0),"")</f>
        <v>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IFERROR(VLOOKUP(B2174,Enero!$B$2:$G$5822,4,0),"")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IFERROR(VLOOKUP(B2175,Enero!$B$2:$G$5822,4,0),"")</f>
        <v>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IFERROR(VLOOKUP(B2176,Enero!$B$2:$G$5822,4,0),"")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IFERROR(VLOOKUP(B2177,Enero!$B$2:$G$5822,4,0),"")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IFERROR(VLOOKUP(B2178,Enero!$B$2:$G$5822,4,0),"")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IFERROR(VLOOKUP(B2179,Enero!$B$2:$G$5822,4,0),"")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IFERROR(VLOOKUP(B2180,Enero!$B$2:$G$5822,4,0),"")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IFERROR(VLOOKUP(B2181,Enero!$B$2:$G$5822,4,0),"")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IFERROR(VLOOKUP(B2182,Enero!$B$2:$G$5822,4,0),"")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IFERROR(VLOOKUP(B2183,Enero!$B$2:$G$5822,4,0),"")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IFERROR(VLOOKUP(B2184,Enero!$B$2:$G$5822,4,0),"")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IFERROR(VLOOKUP(B2185,Enero!$B$2:$G$5822,4,0),"")</f>
        <v>INACTPETF</v>
      </c>
    </row>
    <row r="2186" spans="1:7" x14ac:dyDescent="0.25">
      <c r="A2186" s="11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tr">
        <f>IFERROR(VLOOKUP(B2186,Enero!$B$2:$G$5822,4,0),"")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IFERROR(VLOOKUP(B2187,Enero!$B$2:$G$5822,4,0),"")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IFERROR(VLOOKUP(B2188,Enero!$B$2:$G$5822,4,0),"")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IFERROR(VLOOKUP(B2189,Enero!$B$2:$G$5822,4,0),"")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IFERROR(VLOOKUP(B2190,Enero!$B$2:$G$5822,4,0),"")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IFERROR(VLOOKUP(B2191,Enero!$B$2:$G$5822,4,0),"")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IFERROR(VLOOKUP(B2192,Enero!$B$2:$G$5822,4,0),"")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IFERROR(VLOOKUP(B2193,Enero!$B$2:$G$5822,4,0),"")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IFERROR(VLOOKUP(B2194,Enero!$B$2:$G$5822,4,0),"")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IFERROR(VLOOKUP(B2195,Enero!$B$2:$G$5822,4,0),"")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IFERROR(VLOOKUP(B2196,Enero!$B$2:$G$5822,4,0),"")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IFERROR(VLOOKUP(B2197,Enero!$B$2:$G$5822,4,0),"")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IFERROR(VLOOKUP(B2198,Enero!$B$2:$G$5822,4,0),"")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IFERROR(VLOOKUP(B2199,Enero!$B$2:$G$5822,4,0),"")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IFERROR(VLOOKUP(B2200,Enero!$B$2:$G$5822,4,0),"")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IFERROR(VLOOKUP(B2201,Enero!$B$2:$G$5822,4,0),"")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IFERROR(VLOOKUP(B2202,Enero!$B$2:$G$5822,4,0),"")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IFERROR(VLOOKUP(B2203,Enero!$B$2:$G$5822,4,0),"")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IFERROR(VLOOKUP(B2204,Enero!$B$2:$G$5822,4,0),"")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IFERROR(VLOOKUP(B2205,Enero!$B$2:$G$5822,4,0),"")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IFERROR(VLOOKUP(B2206,Enero!$B$2:$G$5822,4,0),"")</f>
        <v>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IFERROR(VLOOKUP(B2207,Enero!$B$2:$G$5822,4,0),"")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IFERROR(VLOOKUP(B2208,Enero!$B$2:$G$5822,4,0),"")</f>
        <v>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IFERROR(VLOOKUP(B2209,Enero!$B$2:$G$5822,4,0),"")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IFERROR(VLOOKUP(B2210,Enero!$B$2:$G$5822,4,0),"")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IFERROR(VLOOKUP(B2211,Enero!$B$2:$G$5822,4,0),"")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IFERROR(VLOOKUP(B2212,Enero!$B$2:$G$5822,4,0),"")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IFERROR(VLOOKUP(B2213,Enero!$B$2:$G$5822,4,0),"")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IFERROR(VLOOKUP(B2214,Enero!$B$2:$G$5822,4,0),"")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IFERROR(VLOOKUP(B2215,Enero!$B$2:$G$5822,4,0),"")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IFERROR(VLOOKUP(B2216,Enero!$B$2:$G$5822,4,0),"")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IFERROR(VLOOKUP(B2217,Enero!$B$2:$G$5822,4,0),"")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IFERROR(VLOOKUP(B2218,Enero!$B$2:$G$5822,4,0),"")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IFERROR(VLOOKUP(B2219,Enero!$B$2:$G$5822,4,0),"")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IFERROR(VLOOKUP(B2220,Enero!$B$2:$G$5822,4,0),"")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IFERROR(VLOOKUP(B2221,Enero!$B$2:$G$5822,4,0),"")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IFERROR(VLOOKUP(B2222,Enero!$B$2:$G$5822,4,0),"")</f>
        <v>BM</v>
      </c>
    </row>
    <row r="2223" spans="1:7" x14ac:dyDescent="0.25">
      <c r="A2223" s="11"/>
      <c r="B2223" s="4" t="s">
        <v>2127</v>
      </c>
      <c r="C2223" s="4" t="s">
        <v>35</v>
      </c>
      <c r="D2223" s="4" t="s">
        <v>35</v>
      </c>
      <c r="E2223" s="4" t="s">
        <v>57</v>
      </c>
      <c r="F2223" s="4" t="s">
        <v>1653</v>
      </c>
      <c r="G2223" s="5" t="str">
        <f>IFERROR(VLOOKUP(B2223,Enero!$B$2:$G$5822,4,0),"")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IFERROR(VLOOKUP(B2224,Enero!$B$2:$G$5822,4,0),"")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IFERROR(VLOOKUP(B2225,Enero!$B$2:$G$5822,4,0),"")</f>
        <v>ATAPET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IFERROR(VLOOKUP(B2226,Enero!$B$2:$G$5822,4,0),"")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IFERROR(VLOOKUP(B2227,Enero!$B$2:$G$5822,4,0),"")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IFERROR(VLOOKUP(B2228,Enero!$B$2:$G$5822,4,0),"")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IFERROR(VLOOKUP(B2229,Enero!$B$2:$G$5822,4,0),"")</f>
        <v>ATAPET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IFERROR(VLOOKUP(B2230,Enero!$B$2:$G$5822,4,0),"")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IFERROR(VLOOKUP(B2231,Enero!$B$2:$G$5822,4,0),"")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IFERROR(VLOOKUP(B2232,Enero!$B$2:$G$5822,4,0),"")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IFERROR(VLOOKUP(B2233,Enero!$B$2:$G$5822,4,0),"")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IFERROR(VLOOKUP(B2234,Enero!$B$2:$G$5822,4,0),"")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IFERROR(VLOOKUP(B2235,Enero!$B$2:$G$5822,4,0),"")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IFERROR(VLOOKUP(B2236,Enero!$B$2:$G$5822,4,0),"")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IFERROR(VLOOKUP(B2237,Enero!$B$2:$G$5822,4,0),"")</f>
        <v>ATAPET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IFERROR(VLOOKUP(B2238,Enero!$B$2:$G$5822,4,0),"")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IFERROR(VLOOKUP(B2239,Enero!$B$2:$G$5822,4,0),"")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IFERROR(VLOOKUP(B2240,Enero!$B$2:$G$5822,4,0),"")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IFERROR(VLOOKUP(B2241,Enero!$B$2:$G$5822,4,0),"")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IFERROR(VLOOKUP(B2242,Enero!$B$2:$G$5822,4,0),"")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IFERROR(VLOOKUP(B2243,Enero!$B$2:$G$5822,4,0),"")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IFERROR(VLOOKUP(B2244,Enero!$B$2:$G$5822,4,0),"")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IFERROR(VLOOKUP(B2245,Enero!$B$2:$G$5822,4,0),"")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IFERROR(VLOOKUP(B2246,Enero!$B$2:$G$5822,4,0),"")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IFERROR(VLOOKUP(B2247,Enero!$B$2:$G$5822,4,0),"")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IFERROR(VLOOKUP(B2248,Enero!$B$2:$G$5822,4,0),"")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IFERROR(VLOOKUP(B2249,Enero!$B$2:$G$5822,4,0),"")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IFERROR(VLOOKUP(B2250,Enero!$B$2:$G$5822,4,0),"")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IFERROR(VLOOKUP(B2251,Enero!$B$2:$G$5822,4,0),"")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IFERROR(VLOOKUP(B2252,Enero!$B$2:$G$5822,4,0),"")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IFERROR(VLOOKUP(B2253,Enero!$B$2:$G$5822,4,0),"")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IFERROR(VLOOKUP(B2254,Enero!$B$2:$G$5822,4,0),"")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IFERROR(VLOOKUP(B2255,Enero!$B$2:$G$5822,4,0),"")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IFERROR(VLOOKUP(B2256,Enero!$B$2:$G$5822,4,0),"")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IFERROR(VLOOKUP(B2257,Enero!$B$2:$G$5822,4,0),"")</f>
        <v>BM</v>
      </c>
    </row>
    <row r="2258" spans="1:7" x14ac:dyDescent="0.25">
      <c r="A2258" s="11"/>
      <c r="B2258" s="4" t="s">
        <v>2163</v>
      </c>
      <c r="C2258" s="4" t="s">
        <v>14</v>
      </c>
      <c r="D2258" s="4" t="s">
        <v>15</v>
      </c>
      <c r="E2258" s="4" t="s">
        <v>16</v>
      </c>
      <c r="F2258" s="4" t="s">
        <v>14</v>
      </c>
      <c r="G2258" s="5" t="str">
        <f>IFERROR(VLOOKUP(B2258,Enero!$B$2:$G$5822,4,0),"")</f>
        <v>ATAPET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IFERROR(VLOOKUP(B2259,Enero!$B$2:$G$5822,4,0),"")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IFERROR(VLOOKUP(B2260,Enero!$B$2:$G$5822,4,0),"")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IFERROR(VLOOKUP(B2261,Enero!$B$2:$G$5822,4,0),"")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IFERROR(VLOOKUP(B2262,Enero!$B$2:$G$5822,4,0),"")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IFERROR(VLOOKUP(B2263,Enero!$B$2:$G$5822,4,0),"")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IFERROR(VLOOKUP(B2264,Enero!$B$2:$G$5822,4,0),"")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IFERROR(VLOOKUP(B2265,Enero!$B$2:$G$5822,4,0),"")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IFERROR(VLOOKUP(B2266,Enero!$B$2:$G$5822,4,0),"")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IFERROR(VLOOKUP(B2267,Enero!$B$2:$G$5822,4,0),"")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IFERROR(VLOOKUP(B2268,Enero!$B$2:$G$5822,4,0),"")</f>
        <v>BM</v>
      </c>
    </row>
    <row r="2269" spans="1:7" x14ac:dyDescent="0.25">
      <c r="A2269" s="11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IFERROR(VLOOKUP(B2269,Enero!$B$2:$G$5822,4,0),"")</f>
        <v>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IFERROR(VLOOKUP(B2270,Enero!$B$2:$G$5822,4,0),"")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IFERROR(VLOOKUP(B2271,Enero!$B$2:$G$5822,4,0),"")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IFERROR(VLOOKUP(B2272,Enero!$B$2:$G$5822,4,0),"")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IFERROR(VLOOKUP(B2273,Enero!$B$2:$G$5822,4,0),"")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IFERROR(VLOOKUP(B2274,Enero!$B$2:$G$5822,4,0),"")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IFERROR(VLOOKUP(B2275,Enero!$B$2:$G$5822,4,0),"")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IFERROR(VLOOKUP(B2276,Enero!$B$2:$G$5822,4,0),"")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IFERROR(VLOOKUP(B2277,Enero!$B$2:$G$5822,4,0),"")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IFERROR(VLOOKUP(B2278,Enero!$B$2:$G$5822,4,0),"")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IFERROR(VLOOKUP(B2279,Enero!$B$2:$G$5822,4,0),"")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IFERROR(VLOOKUP(B2280,Enero!$B$2:$G$5822,4,0),"")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IFERROR(VLOOKUP(B2281,Enero!$B$2:$G$5822,4,0),"")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IFERROR(VLOOKUP(B2282,Enero!$B$2:$G$5822,4,0),"")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IFERROR(VLOOKUP(B2283,Enero!$B$2:$G$5822,4,0),"")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IFERROR(VLOOKUP(B2284,Enero!$B$2:$G$5822,4,0),"")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IFERROR(VLOOKUP(B2285,Enero!$B$2:$G$5822,4,0),"")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IFERROR(VLOOKUP(B2286,Enero!$B$2:$G$5822,4,0),"")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IFERROR(VLOOKUP(B2287,Enero!$B$2:$G$5822,4,0),"")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IFERROR(VLOOKUP(B2288,Enero!$B$2:$G$5822,4,0),"")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IFERROR(VLOOKUP(B2289,Enero!$B$2:$G$5822,4,0),"")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IFERROR(VLOOKUP(B2290,Enero!$B$2:$G$5822,4,0),"")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IFERROR(VLOOKUP(B2291,Enero!$B$2:$G$5822,4,0),"")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IFERROR(VLOOKUP(B2292,Enero!$B$2:$G$5822,4,0),"")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IFERROR(VLOOKUP(B2293,Enero!$B$2:$G$5822,4,0),"")</f>
        <v>INACTPETS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IFERROR(VLOOKUP(B2294,Enero!$B$2:$G$5822,4,0),"")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IFERROR(VLOOKUP(B2295,Enero!$B$2:$G$5822,4,0),"")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IFERROR(VLOOKUP(B2296,Enero!$B$2:$G$5822,4,0),"")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IFERROR(VLOOKUP(B2297,Enero!$B$2:$G$5822,4,0),"")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IFERROR(VLOOKUP(B2298,Enero!$B$2:$G$5822,4,0),"")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IFERROR(VLOOKUP(B2299,Enero!$B$2:$G$5822,4,0),"")</f>
        <v>BM</v>
      </c>
    </row>
    <row r="2300" spans="1:7" x14ac:dyDescent="0.25">
      <c r="A2300" s="11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IFERROR(VLOOKUP(B2300,Enero!$B$2:$G$5822,4,0),"")</f>
        <v>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IFERROR(VLOOKUP(B2301,Enero!$B$2:$G$5822,4,0),"")</f>
        <v>BM</v>
      </c>
    </row>
    <row r="2302" spans="1:7" x14ac:dyDescent="0.25">
      <c r="A2302" s="11"/>
      <c r="B2302" s="4" t="s">
        <v>2208</v>
      </c>
      <c r="C2302" s="4" t="s">
        <v>35</v>
      </c>
      <c r="D2302" s="4" t="s">
        <v>35</v>
      </c>
      <c r="E2302" s="4" t="s">
        <v>163</v>
      </c>
      <c r="F2302" s="4" t="s">
        <v>21</v>
      </c>
      <c r="G2302" s="5" t="str">
        <f>IFERROR(VLOOKUP(B2302,Enero!$B$2:$G$5822,4,0),"")</f>
        <v>INACTPETS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IFERROR(VLOOKUP(B2303,Enero!$B$2:$G$5822,4,0),"")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IFERROR(VLOOKUP(B2304,Enero!$B$2:$G$5822,4,0),"")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IFERROR(VLOOKUP(B2305,Enero!$B$2:$G$5822,4,0),"")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IFERROR(VLOOKUP(B2306,Enero!$B$2:$G$5822,4,0),"")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IFERROR(VLOOKUP(B2307,Enero!$B$2:$G$5822,4,0),"")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IFERROR(VLOOKUP(B2308,Enero!$B$2:$G$5822,4,0),"")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IFERROR(VLOOKUP(B2309,Enero!$B$2:$G$5822,4,0),"")</f>
        <v>ATAPET</v>
      </c>
    </row>
    <row r="2310" spans="1:7" x14ac:dyDescent="0.25">
      <c r="A2310" s="11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IFERROR(VLOOKUP(B2310,Enero!$B$2:$G$5822,4,0),"")</f>
        <v>INACTPETF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IFERROR(VLOOKUP(B2311,Enero!$B$2:$G$5822,4,0),"")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IFERROR(VLOOKUP(B2312,Enero!$B$2:$G$5822,4,0),"")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IFERROR(VLOOKUP(B2313,Enero!$B$2:$G$5822,4,0),"")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IFERROR(VLOOKUP(B2314,Enero!$B$2:$G$5822,4,0),"")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IFERROR(VLOOKUP(B2315,Enero!$B$2:$G$5822,4,0),"")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IFERROR(VLOOKUP(B2316,Enero!$B$2:$G$5822,4,0),"")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IFERROR(VLOOKUP(B2317,Enero!$B$2:$G$5822,4,0),"")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IFERROR(VLOOKUP(B2318,Enero!$B$2:$G$5822,4,0),"")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IFERROR(VLOOKUP(B2319,Enero!$B$2:$G$5822,4,0),"")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IFERROR(VLOOKUP(B2320,Enero!$B$2:$G$5822,4,0),"")</f>
        <v>BM</v>
      </c>
    </row>
    <row r="2321" spans="1:7" x14ac:dyDescent="0.25">
      <c r="A2321" s="11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tr">
        <f>IFERROR(VLOOKUP(B2321,Enero!$B$2:$G$5822,4,0),"")</f>
        <v>INACTBM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IFERROR(VLOOKUP(B2322,Enero!$B$2:$G$5822,4,0),"")</f>
        <v>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IFERROR(VLOOKUP(B2323,Enero!$B$2:$G$5822,4,0),"")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IFERROR(VLOOKUP(B2324,Enero!$B$2:$G$5822,4,0),"")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IFERROR(VLOOKUP(B2325,Enero!$B$2:$G$5822,4,0),"")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IFERROR(VLOOKUP(B2326,Enero!$B$2:$G$5822,4,0),"")</f>
        <v>APA_PC</v>
      </c>
    </row>
    <row r="2327" spans="1:7" x14ac:dyDescent="0.25">
      <c r="A2327" s="11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IFERROR(VLOOKUP(B2327,Enero!$B$2:$G$5822,4,0),"")</f>
        <v>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IFERROR(VLOOKUP(B2328,Enero!$B$2:$G$5822,4,0),"")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IFERROR(VLOOKUP(B2329,Enero!$B$2:$G$5822,4,0),"")</f>
        <v>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IFERROR(VLOOKUP(B2330,Enero!$B$2:$G$5822,4,0),"")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IFERROR(VLOOKUP(B2331,Enero!$B$2:$G$5822,4,0),"")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IFERROR(VLOOKUP(B2332,Enero!$B$2:$G$5822,4,0),"")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IFERROR(VLOOKUP(B2333,Enero!$B$2:$G$5822,4,0),"")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IFERROR(VLOOKUP(B2334,Enero!$B$2:$G$5822,4,0),"")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IFERROR(VLOOKUP(B2335,Enero!$B$2:$G$5822,4,0),"")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IFERROR(VLOOKUP(B2336,Enero!$B$2:$G$5822,4,0),"")</f>
        <v>BM</v>
      </c>
    </row>
    <row r="2337" spans="1:7" x14ac:dyDescent="0.25">
      <c r="A2337" s="11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IFERROR(VLOOKUP(B2337,Enero!$B$2:$G$5822,4,0),"")</f>
        <v>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IFERROR(VLOOKUP(B2338,Enero!$B$2:$G$5822,4,0),"")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IFERROR(VLOOKUP(B2339,Enero!$B$2:$G$5822,4,0),"")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IFERROR(VLOOKUP(B2340,Enero!$B$2:$G$5822,4,0),"")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IFERROR(VLOOKUP(B2341,Enero!$B$2:$G$5822,4,0),"")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IFERROR(VLOOKUP(B2342,Enero!$B$2:$G$5822,4,0),"")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IFERROR(VLOOKUP(B2343,Enero!$B$2:$G$5822,4,0),"")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IFERROR(VLOOKUP(B2344,Enero!$B$2:$G$5822,4,0),"")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IFERROR(VLOOKUP(B2345,Enero!$B$2:$G$5822,4,0),"")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IFERROR(VLOOKUP(B2346,Enero!$B$2:$G$5822,4,0),"")</f>
        <v>APA_CNPC</v>
      </c>
    </row>
    <row r="2347" spans="1:7" x14ac:dyDescent="0.25">
      <c r="A2347" s="11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IFERROR(VLOOKUP(B2347,Enero!$B$2:$G$5822,4,0),"")</f>
        <v>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IFERROR(VLOOKUP(B2348,Enero!$B$2:$G$5822,4,0),"")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IFERROR(VLOOKUP(B2349,Enero!$B$2:$G$5822,4,0),"")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IFERROR(VLOOKUP(B2350,Enero!$B$2:$G$5822,4,0),"")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IFERROR(VLOOKUP(B2351,Enero!$B$2:$G$5822,4,0),"")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IFERROR(VLOOKUP(B2352,Enero!$B$2:$G$5822,4,0),"")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IFERROR(VLOOKUP(B2353,Enero!$B$2:$G$5822,4,0),"")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IFERROR(VLOOKUP(B2354,Enero!$B$2:$G$5822,4,0),"")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IFERROR(VLOOKUP(B2355,Enero!$B$2:$G$5822,4,0),"")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IFERROR(VLOOKUP(B2356,Enero!$B$2:$G$5822,4,0),"")</f>
        <v>APA_PC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IFERROR(VLOOKUP(B2357,Enero!$B$2:$G$5822,4,0),"")</f>
        <v>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IFERROR(VLOOKUP(B2358,Enero!$B$2:$G$5822,4,0),"")</f>
        <v>ATAPET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IFERROR(VLOOKUP(B2359,Enero!$B$2:$G$5822,4,0),"")</f>
        <v>INACTPETS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IFERROR(VLOOKUP(B2360,Enero!$B$2:$G$5822,4,0),"")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IFERROR(VLOOKUP(B2361,Enero!$B$2:$G$5822,4,0),"")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IFERROR(VLOOKUP(B2362,Enero!$B$2:$G$5822,4,0),"")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IFERROR(VLOOKUP(B2363,Enero!$B$2:$G$5822,4,0),"")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IFERROR(VLOOKUP(B2364,Enero!$B$2:$G$5822,4,0),"")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IFERROR(VLOOKUP(B2365,Enero!$B$2:$G$5822,4,0),"")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IFERROR(VLOOKUP(B2366,Enero!$B$2:$G$5822,4,0),"")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IFERROR(VLOOKUP(B2367,Enero!$B$2:$G$5822,4,0),"")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IFERROR(VLOOKUP(B2368,Enero!$B$2:$G$5822,4,0),"")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IFERROR(VLOOKUP(B2369,Enero!$B$2:$G$5822,4,0),"")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IFERROR(VLOOKUP(B2370,Enero!$B$2:$G$5822,4,0),"")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IFERROR(VLOOKUP(B2371,Enero!$B$2:$G$5822,4,0),"")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IFERROR(VLOOKUP(B2372,Enero!$B$2:$G$5822,4,0),"")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IFERROR(VLOOKUP(B2373,Enero!$B$2:$G$5822,4,0),"")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IFERROR(VLOOKUP(B2374,Enero!$B$2:$G$5822,4,0),"")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IFERROR(VLOOKUP(B2375,Enero!$B$2:$G$5822,4,0),"")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IFERROR(VLOOKUP(B2376,Enero!$B$2:$G$5822,4,0),"")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IFERROR(VLOOKUP(B2377,Enero!$B$2:$G$5822,4,0),"")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IFERROR(VLOOKUP(B2378,Enero!$B$2:$G$5822,4,0),"")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IFERROR(VLOOKUP(B2379,Enero!$B$2:$G$5822,4,0),"")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IFERROR(VLOOKUP(B2380,Enero!$B$2:$G$5822,4,0),"")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IFERROR(VLOOKUP(B2381,Enero!$B$2:$G$5822,4,0),"")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IFERROR(VLOOKUP(B2382,Enero!$B$2:$G$5822,4,0),"")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IFERROR(VLOOKUP(B2383,Enero!$B$2:$G$5822,4,0),"")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IFERROR(VLOOKUP(B2384,Enero!$B$2:$G$5822,4,0),"")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IFERROR(VLOOKUP(B2385,Enero!$B$2:$G$5822,4,0),"")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IFERROR(VLOOKUP(B2386,Enero!$B$2:$G$5822,4,0),"")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IFERROR(VLOOKUP(B2387,Enero!$B$2:$G$5822,4,0),"")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IFERROR(VLOOKUP(B2388,Enero!$B$2:$G$5822,4,0),"")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IFERROR(VLOOKUP(B2389,Enero!$B$2:$G$5822,4,0),"")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IFERROR(VLOOKUP(B2390,Enero!$B$2:$G$5822,4,0),"")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IFERROR(VLOOKUP(B2391,Enero!$B$2:$G$5822,4,0),"")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IFERROR(VLOOKUP(B2392,Enero!$B$2:$G$5822,4,0),"")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IFERROR(VLOOKUP(B2393,Enero!$B$2:$G$5822,4,0),"")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IFERROR(VLOOKUP(B2394,Enero!$B$2:$G$5822,4,0),"")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IFERROR(VLOOKUP(B2395,Enero!$B$2:$G$5822,4,0),"")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IFERROR(VLOOKUP(B2396,Enero!$B$2:$G$5822,4,0),"")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IFERROR(VLOOKUP(B2397,Enero!$B$2:$G$5822,4,0),"")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IFERROR(VLOOKUP(B2398,Enero!$B$2:$G$5822,4,0),"")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IFERROR(VLOOKUP(B2399,Enero!$B$2:$G$5822,4,0),"")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IFERROR(VLOOKUP(B2400,Enero!$B$2:$G$5822,4,0),"")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IFERROR(VLOOKUP(B2401,Enero!$B$2:$G$5822,4,0),"")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IFERROR(VLOOKUP(B2402,Enero!$B$2:$G$5822,4,0),"")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IFERROR(VLOOKUP(B2403,Enero!$B$2:$G$5822,4,0),"")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IFERROR(VLOOKUP(B2404,Enero!$B$2:$G$5822,4,0),"")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IFERROR(VLOOKUP(B2405,Enero!$B$2:$G$5822,4,0),"")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IFERROR(VLOOKUP(B2406,Enero!$B$2:$G$5822,4,0),"")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IFERROR(VLOOKUP(B2407,Enero!$B$2:$G$5822,4,0),"")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IFERROR(VLOOKUP(B2408,Enero!$B$2:$G$5822,4,0),"")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IFERROR(VLOOKUP(B2409,Enero!$B$2:$G$5822,4,0),"")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IFERROR(VLOOKUP(B2410,Enero!$B$2:$G$5822,4,0),"")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IFERROR(VLOOKUP(B2411,Enero!$B$2:$G$5822,4,0),"")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IFERROR(VLOOKUP(B2412,Enero!$B$2:$G$5822,4,0),"")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IFERROR(VLOOKUP(B2413,Enero!$B$2:$G$5822,4,0),"")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IFERROR(VLOOKUP(B2414,Enero!$B$2:$G$5822,4,0),"")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IFERROR(VLOOKUP(B2415,Enero!$B$2:$G$5822,4,0),"")</f>
        <v>BM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IFERROR(VLOOKUP(B2416,Enero!$B$2:$G$5822,4,0),"")</f>
        <v>ACTPETS</v>
      </c>
    </row>
    <row r="2417" spans="1:7" x14ac:dyDescent="0.25">
      <c r="A2417" s="11"/>
      <c r="B2417" s="4" t="s">
        <v>2325</v>
      </c>
      <c r="C2417" s="4" t="s">
        <v>18</v>
      </c>
      <c r="D2417" s="4" t="s">
        <v>19</v>
      </c>
      <c r="E2417" s="4" t="s">
        <v>20</v>
      </c>
      <c r="F2417" s="4" t="s">
        <v>21</v>
      </c>
      <c r="G2417" s="5" t="str">
        <f>IFERROR(VLOOKUP(B2417,Enero!$B$2:$G$5822,4,0),"")</f>
        <v>INACTPETS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IFERROR(VLOOKUP(B2418,Enero!$B$2:$G$5822,4,0),"")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IFERROR(VLOOKUP(B2419,Enero!$B$2:$G$5822,4,0),"")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IFERROR(VLOOKUP(B2420,Enero!$B$2:$G$5822,4,0),"")</f>
        <v>ATAPET</v>
      </c>
    </row>
    <row r="2421" spans="1:7" x14ac:dyDescent="0.25">
      <c r="A2421" s="11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IFERROR(VLOOKUP(B2421,Enero!$B$2:$G$5822,4,0),"")</f>
        <v>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IFERROR(VLOOKUP(B2422,Enero!$B$2:$G$5822,4,0),"")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IFERROR(VLOOKUP(B2423,Enero!$B$2:$G$5822,4,0),"")</f>
        <v>BM</v>
      </c>
    </row>
    <row r="2424" spans="1:7" x14ac:dyDescent="0.25">
      <c r="A2424" s="11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IFERROR(VLOOKUP(B2424,Enero!$B$2:$G$5822,4,0),"")</f>
        <v>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IFERROR(VLOOKUP(B2425,Enero!$B$2:$G$5822,4,0),"")</f>
        <v>BM</v>
      </c>
    </row>
    <row r="2426" spans="1:7" x14ac:dyDescent="0.25">
      <c r="A2426" s="11"/>
      <c r="B2426" s="4" t="s">
        <v>2334</v>
      </c>
      <c r="C2426" s="4" t="s">
        <v>11</v>
      </c>
      <c r="D2426" s="4" t="s">
        <v>11</v>
      </c>
      <c r="E2426" s="4" t="s">
        <v>11</v>
      </c>
      <c r="F2426" s="4" t="s">
        <v>1270</v>
      </c>
      <c r="G2426" s="5" t="str">
        <f>IFERROR(VLOOKUP(B2426,Enero!$B$2:$G$5822,4,0),"")</f>
        <v>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IFERROR(VLOOKUP(B2427,Enero!$B$2:$G$5822,4,0),"")</f>
        <v>BM</v>
      </c>
    </row>
    <row r="2428" spans="1:7" x14ac:dyDescent="0.25">
      <c r="A2428" s="11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IFERROR(VLOOKUP(B2428,Enero!$B$2:$G$5822,4,0),"")</f>
        <v>BM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IFERROR(VLOOKUP(B2429,Enero!$B$2:$G$5822,4,0),"")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IFERROR(VLOOKUP(B2430,Enero!$B$2:$G$5822,4,0),"")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IFERROR(VLOOKUP(B2431,Enero!$B$2:$G$5822,4,0),"")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IFERROR(VLOOKUP(B2432,Enero!$B$2:$G$5822,4,0),"")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IFERROR(VLOOKUP(B2433,Enero!$B$2:$G$5822,4,0),"")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IFERROR(VLOOKUP(B2434,Enero!$B$2:$G$5822,4,0),"")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IFERROR(VLOOKUP(B2435,Enero!$B$2:$G$5822,4,0),"")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IFERROR(VLOOKUP(B2436,Enero!$B$2:$G$5822,4,0),"")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IFERROR(VLOOKUP(B2437,Enero!$B$2:$G$5822,4,0),"")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IFERROR(VLOOKUP(B2438,Enero!$B$2:$G$5822,4,0),"")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IFERROR(VLOOKUP(B2439,Enero!$B$2:$G$5822,4,0),"")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IFERROR(VLOOKUP(B2440,Enero!$B$2:$G$5822,4,0),"")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IFERROR(VLOOKUP(B2441,Enero!$B$2:$G$5822,4,0),"")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IFERROR(VLOOKUP(B2442,Enero!$B$2:$G$5822,4,0),"")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IFERROR(VLOOKUP(B2443,Enero!$B$2:$G$5822,4,0),"")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IFERROR(VLOOKUP(B2444,Enero!$B$2:$G$5822,4,0),"")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IFERROR(VLOOKUP(B2445,Enero!$B$2:$G$5822,4,0),"")</f>
        <v>BM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IFERROR(VLOOKUP(B2446,Enero!$B$2:$G$5822,4,0),"")</f>
        <v>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IFERROR(VLOOKUP(B2447,Enero!$B$2:$G$5822,4,0),"")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IFERROR(VLOOKUP(B2448,Enero!$B$2:$G$5822,4,0),"")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IFERROR(VLOOKUP(B2449,Enero!$B$2:$G$5822,4,0),"")</f>
        <v>INACTBM</v>
      </c>
    </row>
    <row r="2450" spans="1:7" x14ac:dyDescent="0.25">
      <c r="A2450" s="11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IFERROR(VLOOKUP(B2450,Enero!$B$2:$G$5822,4,0),"")</f>
        <v>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IFERROR(VLOOKUP(B2451,Enero!$B$2:$G$5822,4,0),"")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IFERROR(VLOOKUP(B2452,Enero!$B$2:$G$5822,4,0),"")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IFERROR(VLOOKUP(B2453,Enero!$B$2:$G$5822,4,0),"")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IFERROR(VLOOKUP(B2454,Enero!$B$2:$G$5822,4,0),"")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IFERROR(VLOOKUP(B2455,Enero!$B$2:$G$5822,4,0),"")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IFERROR(VLOOKUP(B2456,Enero!$B$2:$G$5822,4,0),"")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IFERROR(VLOOKUP(B2457,Enero!$B$2:$G$5822,4,0),"")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IFERROR(VLOOKUP(B2458,Enero!$B$2:$G$5822,4,0),"")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IFERROR(VLOOKUP(B2459,Enero!$B$2:$G$5822,4,0),"")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IFERROR(VLOOKUP(B2460,Enero!$B$2:$G$5822,4,0),"")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IFERROR(VLOOKUP(B2461,Enero!$B$2:$G$5822,4,0),"")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IFERROR(VLOOKUP(B2462,Enero!$B$2:$G$5822,4,0),"")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IFERROR(VLOOKUP(B2463,Enero!$B$2:$G$5822,4,0),"")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IFERROR(VLOOKUP(B2464,Enero!$B$2:$G$5822,4,0),"")</f>
        <v>APAPET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IFERROR(VLOOKUP(B2465,Enero!$B$2:$G$5822,4,0),"")</f>
        <v>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IFERROR(VLOOKUP(B2466,Enero!$B$2:$G$5822,4,0),"")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IFERROR(VLOOKUP(B2467,Enero!$B$2:$G$5822,4,0),"")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IFERROR(VLOOKUP(B2468,Enero!$B$2:$G$5822,4,0),"")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IFERROR(VLOOKUP(B2469,Enero!$B$2:$G$5822,4,0),"")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IFERROR(VLOOKUP(B2470,Enero!$B$2:$G$5822,4,0),"")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IFERROR(VLOOKUP(B2471,Enero!$B$2:$G$5822,4,0),"")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IFERROR(VLOOKUP(B2472,Enero!$B$2:$G$5822,4,0),"")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IFERROR(VLOOKUP(B2473,Enero!$B$2:$G$5822,4,0),"")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IFERROR(VLOOKUP(B2474,Enero!$B$2:$G$5822,4,0),"")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IFERROR(VLOOKUP(B2475,Enero!$B$2:$G$5822,4,0),"")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IFERROR(VLOOKUP(B2476,Enero!$B$2:$G$5822,4,0),"")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IFERROR(VLOOKUP(B2477,Enero!$B$2:$G$5822,4,0),"")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IFERROR(VLOOKUP(B2478,Enero!$B$2:$G$5822,4,0),"")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IFERROR(VLOOKUP(B2479,Enero!$B$2:$G$5822,4,0),"")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IFERROR(VLOOKUP(B2480,Enero!$B$2:$G$5822,4,0),"")</f>
        <v>INACTPETF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IFERROR(VLOOKUP(B2481,Enero!$B$2:$G$5822,4,0),"")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IFERROR(VLOOKUP(B2482,Enero!$B$2:$G$5822,4,0),"")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IFERROR(VLOOKUP(B2483,Enero!$B$2:$G$5822,4,0),"")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IFERROR(VLOOKUP(B2484,Enero!$B$2:$G$5822,4,0),"")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IFERROR(VLOOKUP(B2485,Enero!$B$2:$G$5822,4,0),"")</f>
        <v>BM</v>
      </c>
    </row>
    <row r="2486" spans="1:7" x14ac:dyDescent="0.25">
      <c r="A2486" s="11"/>
      <c r="B2486" s="4" t="s">
        <v>2395</v>
      </c>
      <c r="C2486" s="4" t="s">
        <v>14</v>
      </c>
      <c r="D2486" s="4" t="s">
        <v>15</v>
      </c>
      <c r="E2486" s="4" t="s">
        <v>16</v>
      </c>
      <c r="F2486" s="4" t="s">
        <v>14</v>
      </c>
      <c r="G2486" s="5" t="str">
        <f>IFERROR(VLOOKUP(B2486,Enero!$B$2:$G$5822,4,0),"")</f>
        <v>ATAPET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IFERROR(VLOOKUP(B2487,Enero!$B$2:$G$5822,4,0),"")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IFERROR(VLOOKUP(B2488,Enero!$B$2:$G$5822,4,0),"")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IFERROR(VLOOKUP(B2489,Enero!$B$2:$G$5822,4,0),"")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IFERROR(VLOOKUP(B2490,Enero!$B$2:$G$5822,4,0),"")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IFERROR(VLOOKUP(B2491,Enero!$B$2:$G$5822,4,0),"")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IFERROR(VLOOKUP(B2492,Enero!$B$2:$G$5822,4,0),"")</f>
        <v>APA_PC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IFERROR(VLOOKUP(B2493,Enero!$B$2:$G$5822,4,0),"")</f>
        <v>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IFERROR(VLOOKUP(B2494,Enero!$B$2:$G$5822,4,0),"")</f>
        <v>BM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IFERROR(VLOOKUP(B2495,Enero!$B$2:$G$5822,4,0),"")</f>
        <v>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IFERROR(VLOOKUP(B2496,Enero!$B$2:$G$5822,4,0),"")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IFERROR(VLOOKUP(B2497,Enero!$B$2:$G$5822,4,0),"")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IFERROR(VLOOKUP(B2498,Enero!$B$2:$G$5822,4,0),"")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IFERROR(VLOOKUP(B2499,Enero!$B$2:$G$5822,4,0),"")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IFERROR(VLOOKUP(B2500,Enero!$B$2:$G$5822,4,0),"")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IFERROR(VLOOKUP(B2501,Enero!$B$2:$G$5822,4,0),"")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IFERROR(VLOOKUP(B2502,Enero!$B$2:$G$5822,4,0),"")</f>
        <v>DPAPET</v>
      </c>
    </row>
    <row r="2503" spans="1:7" x14ac:dyDescent="0.25">
      <c r="A2503" s="11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IFERROR(VLOOKUP(B2503,Enero!$B$2:$G$5822,4,0),"")</f>
        <v>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IFERROR(VLOOKUP(B2504,Enero!$B$2:$G$5822,4,0),"")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IFERROR(VLOOKUP(B2505,Enero!$B$2:$G$5822,4,0),"")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IFERROR(VLOOKUP(B2506,Enero!$B$2:$G$5822,4,0),"")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IFERROR(VLOOKUP(B2507,Enero!$B$2:$G$5822,4,0),"")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IFERROR(VLOOKUP(B2508,Enero!$B$2:$G$5822,4,0),"")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IFERROR(VLOOKUP(B2509,Enero!$B$2:$G$5822,4,0),"")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IFERROR(VLOOKUP(B2510,Enero!$B$2:$G$5822,4,0),"")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IFERROR(VLOOKUP(B2511,Enero!$B$2:$G$5822,4,0),"")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IFERROR(VLOOKUP(B2512,Enero!$B$2:$G$5822,4,0),"")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IFERROR(VLOOKUP(B2513,Enero!$B$2:$G$5822,4,0),"")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IFERROR(VLOOKUP(B2514,Enero!$B$2:$G$5822,4,0),"")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IFERROR(VLOOKUP(B2515,Enero!$B$2:$G$5822,4,0),"")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IFERROR(VLOOKUP(B2516,Enero!$B$2:$G$5822,4,0),"")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IFERROR(VLOOKUP(B2517,Enero!$B$2:$G$5822,4,0),"")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IFERROR(VLOOKUP(B2518,Enero!$B$2:$G$5822,4,0),"")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IFERROR(VLOOKUP(B2519,Enero!$B$2:$G$5822,4,0),"")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IFERROR(VLOOKUP(B2520,Enero!$B$2:$G$5822,4,0),"")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IFERROR(VLOOKUP(B2521,Enero!$B$2:$G$5822,4,0),"")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IFERROR(VLOOKUP(B2522,Enero!$B$2:$G$5822,4,0),"")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IFERROR(VLOOKUP(B2523,Enero!$B$2:$G$5822,4,0),"")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IFERROR(VLOOKUP(B2524,Enero!$B$2:$G$5822,4,0),"")</f>
        <v>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IFERROR(VLOOKUP(B2525,Enero!$B$2:$G$5822,4,0),"")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IFERROR(VLOOKUP(B2526,Enero!$B$2:$G$5822,4,0),"")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IFERROR(VLOOKUP(B2527,Enero!$B$2:$G$5822,4,0),"")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IFERROR(VLOOKUP(B2528,Enero!$B$2:$G$5822,4,0),"")</f>
        <v>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IFERROR(VLOOKUP(B2529,Enero!$B$2:$G$5822,4,0),"")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IFERROR(VLOOKUP(B2530,Enero!$B$2:$G$5822,4,0),"")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IFERROR(VLOOKUP(B2531,Enero!$B$2:$G$5822,4,0),"")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IFERROR(VLOOKUP(B2532,Enero!$B$2:$G$5822,4,0),"")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IFERROR(VLOOKUP(B2533,Enero!$B$2:$G$5822,4,0),"")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IFERROR(VLOOKUP(B2534,Enero!$B$2:$G$5822,4,0),"")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IFERROR(VLOOKUP(B2535,Enero!$B$2:$G$5822,4,0),"")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IFERROR(VLOOKUP(B2536,Enero!$B$2:$G$5822,4,0),"")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IFERROR(VLOOKUP(B2537,Enero!$B$2:$G$5822,4,0),"")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IFERROR(VLOOKUP(B2538,Enero!$B$2:$G$5822,4,0),"")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IFERROR(VLOOKUP(B2539,Enero!$B$2:$G$5822,4,0),"")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IFERROR(VLOOKUP(B2540,Enero!$B$2:$G$5822,4,0),"")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IFERROR(VLOOKUP(B2541,Enero!$B$2:$G$5822,4,0),"")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IFERROR(VLOOKUP(B2542,Enero!$B$2:$G$5822,4,0),"")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IFERROR(VLOOKUP(B2543,Enero!$B$2:$G$5822,4,0),"")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IFERROR(VLOOKUP(B2544,Enero!$B$2:$G$5822,4,0),"")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IFERROR(VLOOKUP(B2545,Enero!$B$2:$G$5822,4,0),"")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IFERROR(VLOOKUP(B2546,Enero!$B$2:$G$5822,4,0),"")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IFERROR(VLOOKUP(B2547,Enero!$B$2:$G$5822,4,0),"")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IFERROR(VLOOKUP(B2548,Enero!$B$2:$G$5822,4,0),"")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IFERROR(VLOOKUP(B2549,Enero!$B$2:$G$5822,4,0),"")</f>
        <v>APA_PC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IFERROR(VLOOKUP(B2550,Enero!$B$2:$G$5822,4,0),"")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IFERROR(VLOOKUP(B2551,Enero!$B$2:$G$5822,4,0),"")</f>
        <v>INACTPL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IFERROR(VLOOKUP(B2552,Enero!$B$2:$G$5822,4,0),"")</f>
        <v>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IFERROR(VLOOKUP(B2553,Enero!$B$2:$G$5822,4,0),"")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IFERROR(VLOOKUP(B2554,Enero!$B$2:$G$5822,4,0),"")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IFERROR(VLOOKUP(B2555,Enero!$B$2:$G$5822,4,0),"")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IFERROR(VLOOKUP(B2556,Enero!$B$2:$G$5822,4,0),"")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IFERROR(VLOOKUP(B2557,Enero!$B$2:$G$5822,4,0),"")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IFERROR(VLOOKUP(B2558,Enero!$B$2:$G$5822,4,0),"")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IFERROR(VLOOKUP(B2559,Enero!$B$2:$G$5822,4,0),"")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IFERROR(VLOOKUP(B2560,Enero!$B$2:$G$5822,4,0),"")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IFERROR(VLOOKUP(B2561,Enero!$B$2:$G$5822,4,0),"")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IFERROR(VLOOKUP(B2562,Enero!$B$2:$G$5822,4,0),"")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IFERROR(VLOOKUP(B2563,Enero!$B$2:$G$5822,4,0),"")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IFERROR(VLOOKUP(B2564,Enero!$B$2:$G$5822,4,0),"")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IFERROR(VLOOKUP(B2565,Enero!$B$2:$G$5822,4,0),"")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IFERROR(VLOOKUP(B2566,Enero!$B$2:$G$5822,4,0),"")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IFERROR(VLOOKUP(B2567,Enero!$B$2:$G$5822,4,0),"")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IFERROR(VLOOKUP(B2568,Enero!$B$2:$G$5822,4,0),"")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IFERROR(VLOOKUP(B2569,Enero!$B$2:$G$5822,4,0),"")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IFERROR(VLOOKUP(B2570,Enero!$B$2:$G$5822,4,0),"")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IFERROR(VLOOKUP(B2571,Enero!$B$2:$G$5822,4,0),"")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IFERROR(VLOOKUP(B2572,Enero!$B$2:$G$5822,4,0),"")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IFERROR(VLOOKUP(B2573,Enero!$B$2:$G$5822,4,0),"")</f>
        <v>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IFERROR(VLOOKUP(B2574,Enero!$B$2:$G$5822,4,0),"")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IFERROR(VLOOKUP(B2575,Enero!$B$2:$G$5822,4,0),"")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IFERROR(VLOOKUP(B2576,Enero!$B$2:$G$5822,4,0),"")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IFERROR(VLOOKUP(B2577,Enero!$B$2:$G$5822,4,0),"")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IFERROR(VLOOKUP(B2578,Enero!$B$2:$G$5822,4,0),"")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IFERROR(VLOOKUP(B2579,Enero!$B$2:$G$5822,4,0),"")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IFERROR(VLOOKUP(B2580,Enero!$B$2:$G$5822,4,0),"")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IFERROR(VLOOKUP(B2581,Enero!$B$2:$G$5822,4,0),"")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IFERROR(VLOOKUP(B2582,Enero!$B$2:$G$5822,4,0),"")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IFERROR(VLOOKUP(B2583,Enero!$B$2:$G$5822,4,0),"")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IFERROR(VLOOKUP(B2584,Enero!$B$2:$G$5822,4,0),"")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IFERROR(VLOOKUP(B2585,Enero!$B$2:$G$5822,4,0),"")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IFERROR(VLOOKUP(B2586,Enero!$B$2:$G$5822,4,0),"")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IFERROR(VLOOKUP(B2587,Enero!$B$2:$G$5822,4,0),"")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IFERROR(VLOOKUP(B2588,Enero!$B$2:$G$5822,4,0),"")</f>
        <v>ACTPETS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IFERROR(VLOOKUP(B2589,Enero!$B$2:$G$5822,4,0),"")</f>
        <v>ACTPETF</v>
      </c>
    </row>
    <row r="2590" spans="1:7" x14ac:dyDescent="0.25">
      <c r="A2590" s="11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IFERROR(VLOOKUP(B2590,Enero!$B$2:$G$5822,4,0),"")</f>
        <v>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IFERROR(VLOOKUP(B2591,Enero!$B$2:$G$5822,4,0),"")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IFERROR(VLOOKUP(B2592,Enero!$B$2:$G$5822,4,0),"")</f>
        <v>ATAPET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IFERROR(VLOOKUP(B2593,Enero!$B$2:$G$5822,4,0),"")</f>
        <v>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IFERROR(VLOOKUP(B2594,Enero!$B$2:$G$5822,4,0),"")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IFERROR(VLOOKUP(B2595,Enero!$B$2:$G$5822,4,0),"")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IFERROR(VLOOKUP(B2596,Enero!$B$2:$G$5822,4,0),"")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IFERROR(VLOOKUP(B2597,Enero!$B$2:$G$5822,4,0),"")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IFERROR(VLOOKUP(B2598,Enero!$B$2:$G$5822,4,0),"")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IFERROR(VLOOKUP(B2599,Enero!$B$2:$G$5822,4,0),"")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IFERROR(VLOOKUP(B2600,Enero!$B$2:$G$5822,4,0),"")</f>
        <v>APA_PC</v>
      </c>
    </row>
    <row r="2601" spans="1:7" x14ac:dyDescent="0.25">
      <c r="A2601" s="11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IFERROR(VLOOKUP(B2601,Enero!$B$2:$G$5822,4,0),"")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IFERROR(VLOOKUP(B2602,Enero!$B$2:$G$5822,4,0),"")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IFERROR(VLOOKUP(B2603,Enero!$B$2:$G$5822,4,0),"")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IFERROR(VLOOKUP(B2604,Enero!$B$2:$G$5822,4,0),"")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IFERROR(VLOOKUP(B2605,Enero!$B$2:$G$5822,4,0),"")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IFERROR(VLOOKUP(B2606,Enero!$B$2:$G$5822,4,0),"")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IFERROR(VLOOKUP(B2607,Enero!$B$2:$G$5822,4,0),"")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IFERROR(VLOOKUP(B2608,Enero!$B$2:$G$5822,4,0),"")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IFERROR(VLOOKUP(B2609,Enero!$B$2:$G$5822,4,0),"")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IFERROR(VLOOKUP(B2610,Enero!$B$2:$G$5822,4,0),"")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IFERROR(VLOOKUP(B2611,Enero!$B$2:$G$5822,4,0),"")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IFERROR(VLOOKUP(B2612,Enero!$B$2:$G$5822,4,0),"")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IFERROR(VLOOKUP(B2613,Enero!$B$2:$G$5822,4,0),"")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IFERROR(VLOOKUP(B2614,Enero!$B$2:$G$5822,4,0),"")</f>
        <v>ACTPETF</v>
      </c>
    </row>
    <row r="2615" spans="1:7" x14ac:dyDescent="0.25">
      <c r="A2615" s="11"/>
      <c r="B2615" s="4" t="s">
        <v>2525</v>
      </c>
      <c r="C2615" s="4" t="s">
        <v>549</v>
      </c>
      <c r="D2615" s="4" t="s">
        <v>549</v>
      </c>
      <c r="E2615" s="4" t="s">
        <v>549</v>
      </c>
      <c r="F2615" s="4" t="s">
        <v>1090</v>
      </c>
      <c r="G2615" s="5" t="str">
        <f>IFERROR(VLOOKUP(B2615,Enero!$B$2:$G$5822,4,0),"")</f>
        <v>PL</v>
      </c>
    </row>
    <row r="2616" spans="1:7" x14ac:dyDescent="0.25">
      <c r="A2616" s="11"/>
      <c r="B2616" s="4" t="s">
        <v>2526</v>
      </c>
      <c r="C2616" s="4" t="s">
        <v>14</v>
      </c>
      <c r="D2616" s="4" t="s">
        <v>15</v>
      </c>
      <c r="E2616" s="4" t="s">
        <v>16</v>
      </c>
      <c r="F2616" s="4" t="s">
        <v>14</v>
      </c>
      <c r="G2616" s="5" t="str">
        <f>IFERROR(VLOOKUP(B2616,Enero!$B$2:$G$5822,4,0),"")</f>
        <v>ATAPET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IFERROR(VLOOKUP(B2617,Enero!$B$2:$G$5822,4,0),"")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IFERROR(VLOOKUP(B2618,Enero!$B$2:$G$5822,4,0),"")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IFERROR(VLOOKUP(B2619,Enero!$B$2:$G$5822,4,0),"")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IFERROR(VLOOKUP(B2620,Enero!$B$2:$G$5822,4,0),"")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IFERROR(VLOOKUP(B2621,Enero!$B$2:$G$5822,4,0),"")</f>
        <v>INACTBM</v>
      </c>
    </row>
    <row r="2622" spans="1:7" x14ac:dyDescent="0.25">
      <c r="A2622" s="11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IFERROR(VLOOKUP(B2622,Enero!$B$2:$G$5822,4,0),"")</f>
        <v>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IFERROR(VLOOKUP(B2623,Enero!$B$2:$G$5822,4,0),"")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IFERROR(VLOOKUP(B2624,Enero!$B$2:$G$5822,4,0),"")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IFERROR(VLOOKUP(B2625,Enero!$B$2:$G$5822,4,0),"")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IFERROR(VLOOKUP(B2626,Enero!$B$2:$G$5822,4,0),"")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IFERROR(VLOOKUP(B2627,Enero!$B$2:$G$5822,4,0),"")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IFERROR(VLOOKUP(B2628,Enero!$B$2:$G$5822,4,0),"")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IFERROR(VLOOKUP(B2629,Enero!$B$2:$G$5822,4,0),"")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IFERROR(VLOOKUP(B2630,Enero!$B$2:$G$5822,4,0),"")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IFERROR(VLOOKUP(B2631,Enero!$B$2:$G$5822,4,0),"")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IFERROR(VLOOKUP(B2632,Enero!$B$2:$G$5822,4,0),"")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IFERROR(VLOOKUP(B2633,Enero!$B$2:$G$5822,4,0),"")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IFERROR(VLOOKUP(B2634,Enero!$B$2:$G$5822,4,0),"")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IFERROR(VLOOKUP(B2635,Enero!$B$2:$G$5822,4,0),"")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IFERROR(VLOOKUP(B2636,Enero!$B$2:$G$5822,4,0),"")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IFERROR(VLOOKUP(B2637,Enero!$B$2:$G$5822,4,0),"")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IFERROR(VLOOKUP(B2638,Enero!$B$2:$G$5822,4,0),"")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IFERROR(VLOOKUP(B2639,Enero!$B$2:$G$5822,4,0),"")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IFERROR(VLOOKUP(B2640,Enero!$B$2:$G$5822,4,0),"")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IFERROR(VLOOKUP(B2641,Enero!$B$2:$G$5822,4,0),"")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IFERROR(VLOOKUP(B2642,Enero!$B$2:$G$5822,4,0),"")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IFERROR(VLOOKUP(B2643,Enero!$B$2:$G$5822,4,0),"")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IFERROR(VLOOKUP(B2644,Enero!$B$2:$G$5822,4,0),"")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IFERROR(VLOOKUP(B2645,Enero!$B$2:$G$5822,4,0),"")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IFERROR(VLOOKUP(B2646,Enero!$B$2:$G$5822,4,0),"")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IFERROR(VLOOKUP(B2647,Enero!$B$2:$G$5822,4,0),"")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IFERROR(VLOOKUP(B2648,Enero!$B$2:$G$5822,4,0),"")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IFERROR(VLOOKUP(B2649,Enero!$B$2:$G$5822,4,0),"")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IFERROR(VLOOKUP(B2650,Enero!$B$2:$G$5822,4,0),"")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IFERROR(VLOOKUP(B2651,Enero!$B$2:$G$5822,4,0),"")</f>
        <v>INACTPETF</v>
      </c>
    </row>
    <row r="2652" spans="1:7" x14ac:dyDescent="0.25">
      <c r="A2652" s="11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IFERROR(VLOOKUP(B2652,Enero!$B$2:$G$5822,4,0),"")</f>
        <v>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IFERROR(VLOOKUP(B2653,Enero!$B$2:$G$5822,4,0),"")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IFERROR(VLOOKUP(B2654,Enero!$B$2:$G$5822,4,0),"")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IFERROR(VLOOKUP(B2655,Enero!$B$2:$G$5822,4,0),"")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IFERROR(VLOOKUP(B2656,Enero!$B$2:$G$5822,4,0),"")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IFERROR(VLOOKUP(B2657,Enero!$B$2:$G$5822,4,0),"")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IFERROR(VLOOKUP(B2658,Enero!$B$2:$G$5822,4,0),"")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IFERROR(VLOOKUP(B2659,Enero!$B$2:$G$5822,4,0),"")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IFERROR(VLOOKUP(B2660,Enero!$B$2:$G$5822,4,0),"")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IFERROR(VLOOKUP(B2661,Enero!$B$2:$G$5822,4,0),"")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IFERROR(VLOOKUP(B2662,Enero!$B$2:$G$5822,4,0),"")</f>
        <v>ACTPETS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IFERROR(VLOOKUP(B2663,Enero!$B$2:$G$5822,4,0),"")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IFERROR(VLOOKUP(B2664,Enero!$B$2:$G$5822,4,0),"")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IFERROR(VLOOKUP(B2665,Enero!$B$2:$G$5822,4,0),"")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IFERROR(VLOOKUP(B2666,Enero!$B$2:$G$5822,4,0),"")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IFERROR(VLOOKUP(B2667,Enero!$B$2:$G$5822,4,0),"")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IFERROR(VLOOKUP(B2668,Enero!$B$2:$G$5822,4,0),"")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IFERROR(VLOOKUP(B2669,Enero!$B$2:$G$5822,4,0),"")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IFERROR(VLOOKUP(B2670,Enero!$B$2:$G$5822,4,0),"")</f>
        <v>ACTINYA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IFERROR(VLOOKUP(B2671,Enero!$B$2:$G$5822,4,0),"")</f>
        <v>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IFERROR(VLOOKUP(B2672,Enero!$B$2:$G$5822,4,0),"")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IFERROR(VLOOKUP(B2673,Enero!$B$2:$G$5822,4,0),"")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IFERROR(VLOOKUP(B2674,Enero!$B$2:$G$5822,4,0),"")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IFERROR(VLOOKUP(B2675,Enero!$B$2:$G$5822,4,0),"")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IFERROR(VLOOKUP(B2676,Enero!$B$2:$G$5822,4,0),"")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IFERROR(VLOOKUP(B2677,Enero!$B$2:$G$5822,4,0),"")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IFERROR(VLOOKUP(B2678,Enero!$B$2:$G$5822,4,0),"")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IFERROR(VLOOKUP(B2679,Enero!$B$2:$G$5822,4,0),"")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IFERROR(VLOOKUP(B2680,Enero!$B$2:$G$5822,4,0),"")</f>
        <v>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IFERROR(VLOOKUP(B2681,Enero!$B$2:$G$5822,4,0),"")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IFERROR(VLOOKUP(B2682,Enero!$B$2:$G$5822,4,0),"")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IFERROR(VLOOKUP(B2683,Enero!$B$2:$G$5822,4,0),"")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IFERROR(VLOOKUP(B2684,Enero!$B$2:$G$5822,4,0),"")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IFERROR(VLOOKUP(B2685,Enero!$B$2:$G$5822,4,0),"")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IFERROR(VLOOKUP(B2686,Enero!$B$2:$G$5822,4,0),"")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IFERROR(VLOOKUP(B2687,Enero!$B$2:$G$5822,4,0),"")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IFERROR(VLOOKUP(B2688,Enero!$B$2:$G$5822,4,0),"")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IFERROR(VLOOKUP(B2689,Enero!$B$2:$G$5822,4,0),"")</f>
        <v>DPAPET</v>
      </c>
    </row>
    <row r="2690" spans="1:7" x14ac:dyDescent="0.25">
      <c r="A2690" s="11"/>
      <c r="B2690" s="4" t="s">
        <v>2600</v>
      </c>
      <c r="C2690" s="4" t="s">
        <v>11</v>
      </c>
      <c r="D2690" s="4" t="s">
        <v>11</v>
      </c>
      <c r="E2690" s="4" t="s">
        <v>11</v>
      </c>
      <c r="F2690" s="4" t="s">
        <v>2049</v>
      </c>
      <c r="G2690" s="5" t="str">
        <f>IFERROR(VLOOKUP(B2690,Enero!$B$2:$G$5822,4,0),"")</f>
        <v>BM</v>
      </c>
    </row>
    <row r="2691" spans="1:7" x14ac:dyDescent="0.25">
      <c r="A2691" s="11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IFERROR(VLOOKUP(B2691,Enero!$B$2:$G$5822,4,0),"")</f>
        <v>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IFERROR(VLOOKUP(B2692,Enero!$B$2:$G$5822,4,0),"")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IFERROR(VLOOKUP(B2693,Enero!$B$2:$G$5822,4,0),"")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IFERROR(VLOOKUP(B2694,Enero!$B$2:$G$5822,4,0),"")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IFERROR(VLOOKUP(B2695,Enero!$B$2:$G$5822,4,0),"")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IFERROR(VLOOKUP(B2696,Enero!$B$2:$G$5822,4,0),"")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IFERROR(VLOOKUP(B2697,Enero!$B$2:$G$5822,4,0),"")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IFERROR(VLOOKUP(B2698,Enero!$B$2:$G$5822,4,0),"")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IFERROR(VLOOKUP(B2699,Enero!$B$2:$G$5822,4,0),"")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IFERROR(VLOOKUP(B2700,Enero!$B$2:$G$5822,4,0),"")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IFERROR(VLOOKUP(B2701,Enero!$B$2:$G$5822,4,0),"")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IFERROR(VLOOKUP(B2702,Enero!$B$2:$G$5822,4,0),"")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IFERROR(VLOOKUP(B2703,Enero!$B$2:$G$5822,4,0),"")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IFERROR(VLOOKUP(B2704,Enero!$B$2:$G$5822,4,0),"")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IFERROR(VLOOKUP(B2705,Enero!$B$2:$G$5822,4,0),"")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IFERROR(VLOOKUP(B2706,Enero!$B$2:$G$5822,4,0),"")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IFERROR(VLOOKUP(B2707,Enero!$B$2:$G$5822,4,0),"")</f>
        <v>INACTPETS</v>
      </c>
    </row>
    <row r="2708" spans="1:7" x14ac:dyDescent="0.25">
      <c r="A2708" s="11"/>
      <c r="B2708" s="4" t="s">
        <v>2618</v>
      </c>
      <c r="C2708" s="4" t="s">
        <v>35</v>
      </c>
      <c r="D2708" s="4" t="s">
        <v>35</v>
      </c>
      <c r="E2708" s="4" t="s">
        <v>36</v>
      </c>
      <c r="F2708" s="4" t="s">
        <v>21</v>
      </c>
      <c r="G2708" s="5" t="str">
        <f>IFERROR(VLOOKUP(B2708,Enero!$B$2:$G$5822,4,0),"")</f>
        <v>INACTPETF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IFERROR(VLOOKUP(B2709,Enero!$B$2:$G$5822,4,0),"")</f>
        <v>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IFERROR(VLOOKUP(B2710,Enero!$B$2:$G$5822,4,0),"")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IFERROR(VLOOKUP(B2711,Enero!$B$2:$G$5822,4,0),"")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IFERROR(VLOOKUP(B2712,Enero!$B$2:$G$5822,4,0),"")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IFERROR(VLOOKUP(B2713,Enero!$B$2:$G$5822,4,0),"")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IFERROR(VLOOKUP(B2714,Enero!$B$2:$G$5822,4,0),"")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IFERROR(VLOOKUP(B2715,Enero!$B$2:$G$5822,4,0),"")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IFERROR(VLOOKUP(B2716,Enero!$B$2:$G$5822,4,0),"")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IFERROR(VLOOKUP(B2717,Enero!$B$2:$G$5822,4,0),"")</f>
        <v>DPAPET</v>
      </c>
    </row>
    <row r="2718" spans="1:7" x14ac:dyDescent="0.25">
      <c r="A2718" s="11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IFERROR(VLOOKUP(B2718,Enero!$B$2:$G$5822,4,0),"")</f>
        <v>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IFERROR(VLOOKUP(B2719,Enero!$B$2:$G$5822,4,0),"")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IFERROR(VLOOKUP(B2720,Enero!$B$2:$G$5822,4,0),"")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IFERROR(VLOOKUP(B2721,Enero!$B$2:$G$5822,4,0),"")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IFERROR(VLOOKUP(B2722,Enero!$B$2:$G$5822,4,0),"")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IFERROR(VLOOKUP(B2723,Enero!$B$2:$G$5822,4,0),"")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IFERROR(VLOOKUP(B2724,Enero!$B$2:$G$5822,4,0),"")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IFERROR(VLOOKUP(B2725,Enero!$B$2:$G$5822,4,0),"")</f>
        <v>ATAPET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IFERROR(VLOOKUP(B2726,Enero!$B$2:$G$5822,4,0),"")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IFERROR(VLOOKUP(B2727,Enero!$B$2:$G$5822,4,0),"")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IFERROR(VLOOKUP(B2728,Enero!$B$2:$G$5822,4,0),"")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IFERROR(VLOOKUP(B2729,Enero!$B$2:$G$5822,4,0),"")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IFERROR(VLOOKUP(B2730,Enero!$B$2:$G$5822,4,0),"")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IFERROR(VLOOKUP(B2731,Enero!$B$2:$G$5822,4,0),"")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IFERROR(VLOOKUP(B2732,Enero!$B$2:$G$5822,4,0),"")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IFERROR(VLOOKUP(B2733,Enero!$B$2:$G$5822,4,0),"")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IFERROR(VLOOKUP(B2734,Enero!$B$2:$G$5822,4,0),"")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IFERROR(VLOOKUP(B2735,Enero!$B$2:$G$5822,4,0),"")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IFERROR(VLOOKUP(B2736,Enero!$B$2:$G$5822,4,0),"")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IFERROR(VLOOKUP(B2737,Enero!$B$2:$G$5822,4,0),"")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IFERROR(VLOOKUP(B2738,Enero!$B$2:$G$5822,4,0),"")</f>
        <v>ATAPET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IFERROR(VLOOKUP(B2739,Enero!$B$2:$G$5822,4,0),"")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IFERROR(VLOOKUP(B2740,Enero!$B$2:$G$5822,4,0),"")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IFERROR(VLOOKUP(B2741,Enero!$B$2:$G$5822,4,0),"")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IFERROR(VLOOKUP(B2742,Enero!$B$2:$G$5822,4,0),"")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IFERROR(VLOOKUP(B2743,Enero!$B$2:$G$5822,4,0),"")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IFERROR(VLOOKUP(B2744,Enero!$B$2:$G$5822,4,0),"")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IFERROR(VLOOKUP(B2745,Enero!$B$2:$G$5822,4,0),"")</f>
        <v>INACTBM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IFERROR(VLOOKUP(B2746,Enero!$B$2:$G$5822,4,0),"")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IFERROR(VLOOKUP(B2747,Enero!$B$2:$G$5822,4,0),"")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IFERROR(VLOOKUP(B2748,Enero!$B$2:$G$5822,4,0),"")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IFERROR(VLOOKUP(B2749,Enero!$B$2:$G$5822,4,0),"")</f>
        <v>INACTBM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IFERROR(VLOOKUP(B2750,Enero!$B$2:$G$5822,4,0),"")</f>
        <v>INACTPETF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IFERROR(VLOOKUP(B2751,Enero!$B$2:$G$5822,4,0),"")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IFERROR(VLOOKUP(B2752,Enero!$B$2:$G$5822,4,0),"")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IFERROR(VLOOKUP(B2753,Enero!$B$2:$G$5822,4,0),"")</f>
        <v>APA_PC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IFERROR(VLOOKUP(B2754,Enero!$B$2:$G$5822,4,0),"")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IFERROR(VLOOKUP(B2755,Enero!$B$2:$G$5822,4,0),"")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IFERROR(VLOOKUP(B2756,Enero!$B$2:$G$5822,4,0),"")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IFERROR(VLOOKUP(B2757,Enero!$B$2:$G$5822,4,0),"")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IFERROR(VLOOKUP(B2758,Enero!$B$2:$G$5822,4,0),"")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IFERROR(VLOOKUP(B2759,Enero!$B$2:$G$5822,4,0),"")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IFERROR(VLOOKUP(B2760,Enero!$B$2:$G$5822,4,0),"")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IFERROR(VLOOKUP(B2761,Enero!$B$2:$G$5822,4,0),"")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IFERROR(VLOOKUP(B2762,Enero!$B$2:$G$5822,4,0),"")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IFERROR(VLOOKUP(B2763,Enero!$B$2:$G$5822,4,0),"")</f>
        <v>INACTBM</v>
      </c>
    </row>
    <row r="2764" spans="1:7" x14ac:dyDescent="0.25">
      <c r="A2764" s="11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IFERROR(VLOOKUP(B2764,Enero!$B$2:$G$5822,4,0),"")</f>
        <v>INACTPETF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IFERROR(VLOOKUP(B2765,Enero!$B$2:$G$5822,4,0),"")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IFERROR(VLOOKUP(B2766,Enero!$B$2:$G$5822,4,0),"")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IFERROR(VLOOKUP(B2767,Enero!$B$2:$G$5822,4,0),"")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IFERROR(VLOOKUP(B2768,Enero!$B$2:$G$5822,4,0),"")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IFERROR(VLOOKUP(B2769,Enero!$B$2:$G$5822,4,0),"")</f>
        <v>INACTPETF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IFERROR(VLOOKUP(B2770,Enero!$B$2:$G$5822,4,0),"")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IFERROR(VLOOKUP(B2771,Enero!$B$2:$G$5822,4,0),"")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IFERROR(VLOOKUP(B2772,Enero!$B$2:$G$5822,4,0),"")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IFERROR(VLOOKUP(B2773,Enero!$B$2:$G$5822,4,0),"")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IFERROR(VLOOKUP(B2774,Enero!$B$2:$G$5822,4,0),"")</f>
        <v>ATAPET</v>
      </c>
    </row>
    <row r="2775" spans="1:7" x14ac:dyDescent="0.25">
      <c r="A2775" s="11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IFERROR(VLOOKUP(B2775,Enero!$B$2:$G$5822,4,0),"")</f>
        <v>INACTPETS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IFERROR(VLOOKUP(B2776,Enero!$B$2:$G$5822,4,0),"")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IFERROR(VLOOKUP(B2777,Enero!$B$2:$G$5822,4,0),"")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IFERROR(VLOOKUP(B2778,Enero!$B$2:$G$5822,4,0),"")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IFERROR(VLOOKUP(B2779,Enero!$B$2:$G$5822,4,0),"")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IFERROR(VLOOKUP(B2780,Enero!$B$2:$G$5822,4,0),"")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IFERROR(VLOOKUP(B2781,Enero!$B$2:$G$5822,4,0),"")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IFERROR(VLOOKUP(B2782,Enero!$B$2:$G$5822,4,0),"")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IFERROR(VLOOKUP(B2783,Enero!$B$2:$G$5822,4,0),"")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IFERROR(VLOOKUP(B2784,Enero!$B$2:$G$5822,4,0),"")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IFERROR(VLOOKUP(B2785,Enero!$B$2:$G$5822,4,0),"")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IFERROR(VLOOKUP(B2786,Enero!$B$2:$G$5822,4,0),"")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IFERROR(VLOOKUP(B2787,Enero!$B$2:$G$5822,4,0),"")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IFERROR(VLOOKUP(B2788,Enero!$B$2:$G$5822,4,0),"")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IFERROR(VLOOKUP(B2789,Enero!$B$2:$G$5822,4,0),"")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IFERROR(VLOOKUP(B2790,Enero!$B$2:$G$5822,4,0),"")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IFERROR(VLOOKUP(B2791,Enero!$B$2:$G$5822,4,0),"")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IFERROR(VLOOKUP(B2792,Enero!$B$2:$G$5822,4,0),"")</f>
        <v>BM</v>
      </c>
    </row>
    <row r="2793" spans="1:7" x14ac:dyDescent="0.25">
      <c r="A2793" s="11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IFERROR(VLOOKUP(B2793,Enero!$B$2:$G$5822,4,0),"")</f>
        <v>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IFERROR(VLOOKUP(B2794,Enero!$B$2:$G$5822,4,0),"")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IFERROR(VLOOKUP(B2795,Enero!$B$2:$G$5822,4,0),"")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IFERROR(VLOOKUP(B2796,Enero!$B$2:$G$5822,4,0),"")</f>
        <v>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IFERROR(VLOOKUP(B2797,Enero!$B$2:$G$5822,4,0),"")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IFERROR(VLOOKUP(B2798,Enero!$B$2:$G$5822,4,0),"")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IFERROR(VLOOKUP(B2799,Enero!$B$2:$G$5822,4,0),"")</f>
        <v>APA_PC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IFERROR(VLOOKUP(B2800,Enero!$B$2:$G$5822,4,0),"")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IFERROR(VLOOKUP(B2801,Enero!$B$2:$G$5822,4,0),"")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IFERROR(VLOOKUP(B2802,Enero!$B$2:$G$5822,4,0),"")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IFERROR(VLOOKUP(B2803,Enero!$B$2:$G$5822,4,0),"")</f>
        <v>ATAPET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tr">
        <f>IFERROR(VLOOKUP(B2804,Enero!$B$2:$G$5822,4,0),"")</f>
        <v>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IFERROR(VLOOKUP(B2805,Enero!$B$2:$G$5822,4,0),"")</f>
        <v>INACTBM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IFERROR(VLOOKUP(B2806,Enero!$B$2:$G$5822,4,0),"")</f>
        <v>BM</v>
      </c>
    </row>
    <row r="2807" spans="1:7" x14ac:dyDescent="0.25">
      <c r="A2807" s="11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IFERROR(VLOOKUP(B2807,Enero!$B$2:$G$5822,4,0),"")</f>
        <v>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IFERROR(VLOOKUP(B2808,Enero!$B$2:$G$5822,4,0),"")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IFERROR(VLOOKUP(B2809,Enero!$B$2:$G$5822,4,0),"")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IFERROR(VLOOKUP(B2810,Enero!$B$2:$G$5822,4,0),"")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IFERROR(VLOOKUP(B2811,Enero!$B$2:$G$5822,4,0),"")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IFERROR(VLOOKUP(B2812,Enero!$B$2:$G$5822,4,0),"")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IFERROR(VLOOKUP(B2813,Enero!$B$2:$G$5822,4,0),"")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IFERROR(VLOOKUP(B2814,Enero!$B$2:$G$5822,4,0),"")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IFERROR(VLOOKUP(B2815,Enero!$B$2:$G$5822,4,0),"")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IFERROR(VLOOKUP(B2816,Enero!$B$2:$G$5822,4,0),"")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IFERROR(VLOOKUP(B2817,Enero!$B$2:$G$5822,4,0),"")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IFERROR(VLOOKUP(B2818,Enero!$B$2:$G$5822,4,0),"")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IFERROR(VLOOKUP(B2819,Enero!$B$2:$G$5822,4,0),"")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IFERROR(VLOOKUP(B2820,Enero!$B$2:$G$5822,4,0),"")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IFERROR(VLOOKUP(B2821,Enero!$B$2:$G$5822,4,0),"")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IFERROR(VLOOKUP(B2822,Enero!$B$2:$G$5822,4,0),"")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IFERROR(VLOOKUP(B2823,Enero!$B$2:$G$5822,4,0),"")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IFERROR(VLOOKUP(B2824,Enero!$B$2:$G$5822,4,0),"")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IFERROR(VLOOKUP(B2825,Enero!$B$2:$G$5822,4,0),"")</f>
        <v>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IFERROR(VLOOKUP(B2826,Enero!$B$2:$G$5822,4,0),"")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IFERROR(VLOOKUP(B2827,Enero!$B$2:$G$5822,4,0),"")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IFERROR(VLOOKUP(B2828,Enero!$B$2:$G$5822,4,0),"")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IFERROR(VLOOKUP(B2829,Enero!$B$2:$G$5822,4,0),"")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IFERROR(VLOOKUP(B2830,Enero!$B$2:$G$5822,4,0),"")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IFERROR(VLOOKUP(B2831,Enero!$B$2:$G$5822,4,0),"")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IFERROR(VLOOKUP(B2832,Enero!$B$2:$G$5822,4,0),"")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IFERROR(VLOOKUP(B2833,Enero!$B$2:$G$5822,4,0),"")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IFERROR(VLOOKUP(B2834,Enero!$B$2:$G$5822,4,0),"")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IFERROR(VLOOKUP(B2835,Enero!$B$2:$G$5822,4,0),"")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IFERROR(VLOOKUP(B2836,Enero!$B$2:$G$5822,4,0),"")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IFERROR(VLOOKUP(B2837,Enero!$B$2:$G$5822,4,0),"")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IFERROR(VLOOKUP(B2838,Enero!$B$2:$G$5822,4,0),"")</f>
        <v>APA_PC</v>
      </c>
    </row>
    <row r="2839" spans="1:7" x14ac:dyDescent="0.25">
      <c r="A2839" s="11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IFERROR(VLOOKUP(B2839,Enero!$B$2:$G$5822,4,0),"")</f>
        <v>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IFERROR(VLOOKUP(B2840,Enero!$B$2:$G$5822,4,0),"")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IFERROR(VLOOKUP(B2841,Enero!$B$2:$G$5822,4,0),"")</f>
        <v>DPAPET</v>
      </c>
    </row>
    <row r="2842" spans="1:7" x14ac:dyDescent="0.25">
      <c r="A2842" s="11"/>
      <c r="B2842" s="4" t="s">
        <v>2753</v>
      </c>
      <c r="C2842" s="4" t="s">
        <v>11</v>
      </c>
      <c r="D2842" s="4" t="s">
        <v>11</v>
      </c>
      <c r="E2842" s="4" t="s">
        <v>11</v>
      </c>
      <c r="F2842" s="4" t="s">
        <v>973</v>
      </c>
      <c r="G2842" s="5" t="str">
        <f>IFERROR(VLOOKUP(B2842,Enero!$B$2:$G$5822,4,0),"")</f>
        <v>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IFERROR(VLOOKUP(B2843,Enero!$B$2:$G$5822,4,0),"")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IFERROR(VLOOKUP(B2844,Enero!$B$2:$G$5822,4,0),"")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IFERROR(VLOOKUP(B2845,Enero!$B$2:$G$5822,4,0),"")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IFERROR(VLOOKUP(B2846,Enero!$B$2:$G$5822,4,0),"")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IFERROR(VLOOKUP(B2847,Enero!$B$2:$G$5822,4,0),"")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IFERROR(VLOOKUP(B2848,Enero!$B$2:$G$5822,4,0),"")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IFERROR(VLOOKUP(B2849,Enero!$B$2:$G$5822,4,0),"")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IFERROR(VLOOKUP(B2850,Enero!$B$2:$G$5822,4,0),"")</f>
        <v>INACTPETS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IFERROR(VLOOKUP(B2851,Enero!$B$2:$G$5822,4,0),"")</f>
        <v>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IFERROR(VLOOKUP(B2852,Enero!$B$2:$G$5822,4,0),"")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IFERROR(VLOOKUP(B2853,Enero!$B$2:$G$5822,4,0),"")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IFERROR(VLOOKUP(B2854,Enero!$B$2:$G$5822,4,0),"")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IFERROR(VLOOKUP(B2855,Enero!$B$2:$G$5822,4,0),"")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IFERROR(VLOOKUP(B2856,Enero!$B$2:$G$5822,4,0),"")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IFERROR(VLOOKUP(B2857,Enero!$B$2:$G$5822,4,0),"")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IFERROR(VLOOKUP(B2858,Enero!$B$2:$G$5822,4,0),"")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IFERROR(VLOOKUP(B2859,Enero!$B$2:$G$5822,4,0),"")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IFERROR(VLOOKUP(B2860,Enero!$B$2:$G$5822,4,0),"")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IFERROR(VLOOKUP(B2861,Enero!$B$2:$G$5822,4,0),"")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IFERROR(VLOOKUP(B2862,Enero!$B$2:$G$5822,4,0),"")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IFERROR(VLOOKUP(B2863,Enero!$B$2:$G$5822,4,0),"")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IFERROR(VLOOKUP(B2864,Enero!$B$2:$G$5822,4,0),"")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IFERROR(VLOOKUP(B2865,Enero!$B$2:$G$5822,4,0),"")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IFERROR(VLOOKUP(B2866,Enero!$B$2:$G$5822,4,0),"")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IFERROR(VLOOKUP(B2867,Enero!$B$2:$G$5822,4,0),"")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IFERROR(VLOOKUP(B2868,Enero!$B$2:$G$5822,4,0),"")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IFERROR(VLOOKUP(B2869,Enero!$B$2:$G$5822,4,0),"")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IFERROR(VLOOKUP(B2870,Enero!$B$2:$G$5822,4,0),"")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IFERROR(VLOOKUP(B2871,Enero!$B$2:$G$5822,4,0),"")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IFERROR(VLOOKUP(B2872,Enero!$B$2:$G$5822,4,0),"")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IFERROR(VLOOKUP(B2873,Enero!$B$2:$G$5822,4,0),"")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IFERROR(VLOOKUP(B2874,Enero!$B$2:$G$5822,4,0),"")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IFERROR(VLOOKUP(B2875,Enero!$B$2:$G$5822,4,0),"")</f>
        <v>APA_PC</v>
      </c>
    </row>
    <row r="2876" spans="1:7" x14ac:dyDescent="0.25">
      <c r="A2876" s="11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IFERROR(VLOOKUP(B2876,Enero!$B$2:$G$5822,4,0),"")</f>
        <v>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IFERROR(VLOOKUP(B2877,Enero!$B$2:$G$5822,4,0),"")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IFERROR(VLOOKUP(B2878,Enero!$B$2:$G$5822,4,0),"")</f>
        <v>BM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IFERROR(VLOOKUP(B2879,Enero!$B$2:$G$5822,4,0),"")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IFERROR(VLOOKUP(B2880,Enero!$B$2:$G$5822,4,0),"")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IFERROR(VLOOKUP(B2881,Enero!$B$2:$G$5822,4,0),"")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IFERROR(VLOOKUP(B2882,Enero!$B$2:$G$5822,4,0),"")</f>
        <v>BM</v>
      </c>
    </row>
    <row r="2883" spans="1:7" x14ac:dyDescent="0.25">
      <c r="A2883" s="11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IFERROR(VLOOKUP(B2883,Enero!$B$2:$G$5822,4,0),"")</f>
        <v>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IFERROR(VLOOKUP(B2884,Enero!$B$2:$G$5822,4,0),"")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IFERROR(VLOOKUP(B2885,Enero!$B$2:$G$5822,4,0),"")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IFERROR(VLOOKUP(B2886,Enero!$B$2:$G$5822,4,0),"")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IFERROR(VLOOKUP(B2887,Enero!$B$2:$G$5822,4,0),"")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IFERROR(VLOOKUP(B2888,Enero!$B$2:$G$5822,4,0),"")</f>
        <v>INACTBM</v>
      </c>
    </row>
    <row r="2889" spans="1:7" x14ac:dyDescent="0.25">
      <c r="A2889" s="11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tr">
        <f>IFERROR(VLOOKUP(B2889,Enero!$B$2:$G$5822,4,0),"")</f>
        <v>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IFERROR(VLOOKUP(B2890,Enero!$B$2:$G$5822,4,0),"")</f>
        <v>BM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IFERROR(VLOOKUP(B2891,Enero!$B$2:$G$5822,4,0),"")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IFERROR(VLOOKUP(B2892,Enero!$B$2:$G$5822,4,0),"")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IFERROR(VLOOKUP(B2893,Enero!$B$2:$G$5822,4,0),"")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IFERROR(VLOOKUP(B2894,Enero!$B$2:$G$5822,4,0),"")</f>
        <v>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IFERROR(VLOOKUP(B2895,Enero!$B$2:$G$5822,4,0),"")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IFERROR(VLOOKUP(B2896,Enero!$B$2:$G$5822,4,0),"")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IFERROR(VLOOKUP(B2897,Enero!$B$2:$G$5822,4,0),"")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IFERROR(VLOOKUP(B2898,Enero!$B$2:$G$5822,4,0),"")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IFERROR(VLOOKUP(B2899,Enero!$B$2:$G$5822,4,0),"")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IFERROR(VLOOKUP(B2900,Enero!$B$2:$G$5822,4,0),"")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IFERROR(VLOOKUP(B2901,Enero!$B$2:$G$5822,4,0),"")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IFERROR(VLOOKUP(B2902,Enero!$B$2:$G$5822,4,0),"")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IFERROR(VLOOKUP(B2903,Enero!$B$2:$G$5822,4,0),"")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IFERROR(VLOOKUP(B2904,Enero!$B$2:$G$5822,4,0),"")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IFERROR(VLOOKUP(B2905,Enero!$B$2:$G$5822,4,0),"")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IFERROR(VLOOKUP(B2906,Enero!$B$2:$G$5822,4,0),"")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IFERROR(VLOOKUP(B2907,Enero!$B$2:$G$5822,4,0),"")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IFERROR(VLOOKUP(B2908,Enero!$B$2:$G$5822,4,0),"")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IFERROR(VLOOKUP(B2909,Enero!$B$2:$G$5822,4,0),"")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IFERROR(VLOOKUP(B2910,Enero!$B$2:$G$5822,4,0),"")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IFERROR(VLOOKUP(B2911,Enero!$B$2:$G$5822,4,0),"")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IFERROR(VLOOKUP(B2912,Enero!$B$2:$G$5822,4,0),"")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IFERROR(VLOOKUP(B2913,Enero!$B$2:$G$5822,4,0),"")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IFERROR(VLOOKUP(B2914,Enero!$B$2:$G$5822,4,0),"")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IFERROR(VLOOKUP(B2915,Enero!$B$2:$G$5822,4,0),"")</f>
        <v>INACTPETF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IFERROR(VLOOKUP(B2916,Enero!$B$2:$G$5822,4,0),"")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IFERROR(VLOOKUP(B2917,Enero!$B$2:$G$5822,4,0),"")</f>
        <v>BM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tr">
        <f>IFERROR(VLOOKUP(B2918,Enero!$B$2:$G$5822,4,0),"")</f>
        <v>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IFERROR(VLOOKUP(B2919,Enero!$B$2:$G$5822,4,0),"")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IFERROR(VLOOKUP(B2920,Enero!$B$2:$G$5822,4,0),"")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IFERROR(VLOOKUP(B2921,Enero!$B$2:$G$5822,4,0),"")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IFERROR(VLOOKUP(B2922,Enero!$B$2:$G$5822,4,0),"")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IFERROR(VLOOKUP(B2923,Enero!$B$2:$G$5822,4,0),"")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IFERROR(VLOOKUP(B2924,Enero!$B$2:$G$5822,4,0),"")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IFERROR(VLOOKUP(B2925,Enero!$B$2:$G$5822,4,0),"")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IFERROR(VLOOKUP(B2926,Enero!$B$2:$G$5822,4,0),"")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IFERROR(VLOOKUP(B2927,Enero!$B$2:$G$5822,4,0),"")</f>
        <v>INACTPETS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tr">
        <f>IFERROR(VLOOKUP(B2928,Enero!$B$2:$G$5822,4,0),"")</f>
        <v>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IFERROR(VLOOKUP(B2929,Enero!$B$2:$G$5822,4,0),"")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IFERROR(VLOOKUP(B2930,Enero!$B$2:$G$5822,4,0),"")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IFERROR(VLOOKUP(B2931,Enero!$B$2:$G$5822,4,0),"")</f>
        <v>BM</v>
      </c>
    </row>
    <row r="2932" spans="1:7" x14ac:dyDescent="0.25">
      <c r="A2932" s="11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IFERROR(VLOOKUP(B2932,Enero!$B$2:$G$5822,4,0),"")</f>
        <v>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IFERROR(VLOOKUP(B2933,Enero!$B$2:$G$5822,4,0),"")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IFERROR(VLOOKUP(B2934,Enero!$B$2:$G$5822,4,0),"")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IFERROR(VLOOKUP(B2935,Enero!$B$2:$G$5822,4,0),"")</f>
        <v>ATAPET</v>
      </c>
    </row>
    <row r="2936" spans="1:7" x14ac:dyDescent="0.25">
      <c r="A2936" s="11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IFERROR(VLOOKUP(B2936,Enero!$B$2:$G$5822,4,0),"")</f>
        <v>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IFERROR(VLOOKUP(B2937,Enero!$B$2:$G$5822,4,0),"")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IFERROR(VLOOKUP(B2938,Enero!$B$2:$G$5822,4,0),"")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IFERROR(VLOOKUP(B2939,Enero!$B$2:$G$5822,4,0),"")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IFERROR(VLOOKUP(B2940,Enero!$B$2:$G$5822,4,0),"")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IFERROR(VLOOKUP(B2941,Enero!$B$2:$G$5822,4,0),"")</f>
        <v>ACTPETF</v>
      </c>
    </row>
    <row r="2942" spans="1:7" x14ac:dyDescent="0.25">
      <c r="A2942" s="11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IFERROR(VLOOKUP(B2942,Enero!$B$2:$G$5822,4,0),"")</f>
        <v>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IFERROR(VLOOKUP(B2943,Enero!$B$2:$G$5822,4,0),"")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IFERROR(VLOOKUP(B2944,Enero!$B$2:$G$5822,4,0),"")</f>
        <v>ACTPETS</v>
      </c>
    </row>
    <row r="2945" spans="1:7" x14ac:dyDescent="0.25">
      <c r="A2945" s="11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tr">
        <f>IFERROR(VLOOKUP(B2945,Enero!$B$2:$G$5822,4,0),"")</f>
        <v>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IFERROR(VLOOKUP(B2946,Enero!$B$2:$G$5822,4,0),"")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IFERROR(VLOOKUP(B2947,Enero!$B$2:$G$5822,4,0),"")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IFERROR(VLOOKUP(B2948,Enero!$B$2:$G$5822,4,0),"")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IFERROR(VLOOKUP(B2949,Enero!$B$2:$G$5822,4,0),"")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IFERROR(VLOOKUP(B2950,Enero!$B$2:$G$5822,4,0),"")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IFERROR(VLOOKUP(B2951,Enero!$B$2:$G$5822,4,0),"")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IFERROR(VLOOKUP(B2952,Enero!$B$2:$G$5822,4,0),"")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IFERROR(VLOOKUP(B2953,Enero!$B$2:$G$5822,4,0),"")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IFERROR(VLOOKUP(B2954,Enero!$B$2:$G$5822,4,0),"")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IFERROR(VLOOKUP(B2955,Enero!$B$2:$G$5822,4,0),"")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IFERROR(VLOOKUP(B2956,Enero!$B$2:$G$5822,4,0),"")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IFERROR(VLOOKUP(B2957,Enero!$B$2:$G$5822,4,0),"")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IFERROR(VLOOKUP(B2958,Enero!$B$2:$G$5822,4,0),"")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IFERROR(VLOOKUP(B2959,Enero!$B$2:$G$5822,4,0),"")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IFERROR(VLOOKUP(B2960,Enero!$B$2:$G$5822,4,0),"")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IFERROR(VLOOKUP(B2961,Enero!$B$2:$G$5822,4,0),"")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IFERROR(VLOOKUP(B2962,Enero!$B$2:$G$5822,4,0),"")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IFERROR(VLOOKUP(B2963,Enero!$B$2:$G$5822,4,0),"")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IFERROR(VLOOKUP(B2964,Enero!$B$2:$G$5822,4,0),"")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IFERROR(VLOOKUP(B2965,Enero!$B$2:$G$5822,4,0),"")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IFERROR(VLOOKUP(B2966,Enero!$B$2:$G$5822,4,0),"")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IFERROR(VLOOKUP(B2967,Enero!$B$2:$G$5822,4,0),"")</f>
        <v>ACTPETS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IFERROR(VLOOKUP(B2968,Enero!$B$2:$G$5822,4,0),"")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IFERROR(VLOOKUP(B2969,Enero!$B$2:$G$5822,4,0),"")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IFERROR(VLOOKUP(B2970,Enero!$B$2:$G$5822,4,0),"")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IFERROR(VLOOKUP(B2971,Enero!$B$2:$G$5822,4,0),"")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IFERROR(VLOOKUP(B2972,Enero!$B$2:$G$5822,4,0),"")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IFERROR(VLOOKUP(B2973,Enero!$B$2:$G$5822,4,0),"")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IFERROR(VLOOKUP(B2974,Enero!$B$2:$G$5822,4,0),"")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IFERROR(VLOOKUP(B2975,Enero!$B$2:$G$5822,4,0),"")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IFERROR(VLOOKUP(B2976,Enero!$B$2:$G$5822,4,0),"")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IFERROR(VLOOKUP(B2977,Enero!$B$2:$G$5822,4,0),"")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IFERROR(VLOOKUP(B2978,Enero!$B$2:$G$5822,4,0),"")</f>
        <v>ATAPET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IFERROR(VLOOKUP(B2979,Enero!$B$2:$G$5822,4,0),"")</f>
        <v>BM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IFERROR(VLOOKUP(B2980,Enero!$B$2:$G$5822,4,0),"")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IFERROR(VLOOKUP(B2981,Enero!$B$2:$G$5822,4,0),"")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IFERROR(VLOOKUP(B2982,Enero!$B$2:$G$5822,4,0),"")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IFERROR(VLOOKUP(B2983,Enero!$B$2:$G$5822,4,0),"")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IFERROR(VLOOKUP(B2984,Enero!$B$2:$G$5822,4,0),"")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IFERROR(VLOOKUP(B2985,Enero!$B$2:$G$5822,4,0),"")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IFERROR(VLOOKUP(B2986,Enero!$B$2:$G$5822,4,0),"")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IFERROR(VLOOKUP(B2987,Enero!$B$2:$G$5822,4,0),"")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IFERROR(VLOOKUP(B2988,Enero!$B$2:$G$5822,4,0),"")</f>
        <v>DPAPET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tr">
        <f>IFERROR(VLOOKUP(B2989,Enero!$B$2:$G$5822,4,0),"")</f>
        <v>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IFERROR(VLOOKUP(B2990,Enero!$B$2:$G$5822,4,0),"")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IFERROR(VLOOKUP(B2991,Enero!$B$2:$G$5822,4,0),"")</f>
        <v>BM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IFERROR(VLOOKUP(B2992,Enero!$B$2:$G$5822,4,0),"")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IFERROR(VLOOKUP(B2993,Enero!$B$2:$G$5822,4,0),"")</f>
        <v>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IFERROR(VLOOKUP(B2994,Enero!$B$2:$G$5822,4,0),"")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IFERROR(VLOOKUP(B2995,Enero!$B$2:$G$5822,4,0),"")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IFERROR(VLOOKUP(B2996,Enero!$B$2:$G$5822,4,0),"")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IFERROR(VLOOKUP(B2997,Enero!$B$2:$G$5822,4,0),"")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IFERROR(VLOOKUP(B2998,Enero!$B$2:$G$5822,4,0),"")</f>
        <v>INACTGL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IFERROR(VLOOKUP(B2999,Enero!$B$2:$G$5822,4,0),"")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IFERROR(VLOOKUP(B3000,Enero!$B$2:$G$5822,4,0),"")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IFERROR(VLOOKUP(B3001,Enero!$B$2:$G$5822,4,0),"")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IFERROR(VLOOKUP(B3002,Enero!$B$2:$G$5822,4,0),"")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IFERROR(VLOOKUP(B3003,Enero!$B$2:$G$5822,4,0),"")</f>
        <v>ACTPETF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IFERROR(VLOOKUP(B3004,Enero!$B$2:$G$5822,4,0),"")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IFERROR(VLOOKUP(B3005,Enero!$B$2:$G$5822,4,0),"")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IFERROR(VLOOKUP(B3006,Enero!$B$2:$G$5822,4,0),"")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IFERROR(VLOOKUP(B3007,Enero!$B$2:$G$5822,4,0),"")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IFERROR(VLOOKUP(B3008,Enero!$B$2:$G$5822,4,0),"")</f>
        <v>BM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IFERROR(VLOOKUP(B3009,Enero!$B$2:$G$5822,4,0),"")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IFERROR(VLOOKUP(B3010,Enero!$B$2:$G$5822,4,0),"")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IFERROR(VLOOKUP(B3011,Enero!$B$2:$G$5822,4,0),"")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IFERROR(VLOOKUP(B3012,Enero!$B$2:$G$5822,4,0),"")</f>
        <v>BM</v>
      </c>
    </row>
    <row r="3013" spans="1:7" x14ac:dyDescent="0.25">
      <c r="A3013" s="11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IFERROR(VLOOKUP(B3013,Enero!$B$2:$G$5822,4,0),"")</f>
        <v>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IFERROR(VLOOKUP(B3014,Enero!$B$2:$G$5822,4,0),"")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IFERROR(VLOOKUP(B3015,Enero!$B$2:$G$5822,4,0),"")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IFERROR(VLOOKUP(B3016,Enero!$B$2:$G$5822,4,0),"")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IFERROR(VLOOKUP(B3017,Enero!$B$2:$G$5822,4,0),"")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IFERROR(VLOOKUP(B3018,Enero!$B$2:$G$5822,4,0),"")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IFERROR(VLOOKUP(B3019,Enero!$B$2:$G$5822,4,0),"")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IFERROR(VLOOKUP(B3020,Enero!$B$2:$G$5822,4,0),"")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IFERROR(VLOOKUP(B3021,Enero!$B$2:$G$5822,4,0),"")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IFERROR(VLOOKUP(B3022,Enero!$B$2:$G$5822,4,0),"")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IFERROR(VLOOKUP(B3023,Enero!$B$2:$G$5822,4,0),"")</f>
        <v>BM</v>
      </c>
    </row>
    <row r="3024" spans="1:7" x14ac:dyDescent="0.25">
      <c r="A3024" s="11"/>
      <c r="B3024" s="4" t="s">
        <v>2936</v>
      </c>
      <c r="C3024" s="4" t="s">
        <v>35</v>
      </c>
      <c r="D3024" s="4" t="s">
        <v>35</v>
      </c>
      <c r="E3024" s="4" t="s">
        <v>163</v>
      </c>
      <c r="F3024" s="4" t="s">
        <v>21</v>
      </c>
      <c r="G3024" s="5" t="str">
        <f>IFERROR(VLOOKUP(B3024,Enero!$B$2:$G$5822,4,0),"")</f>
        <v>INACTPETS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IFERROR(VLOOKUP(B3025,Enero!$B$2:$G$5822,4,0),"")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IFERROR(VLOOKUP(B3026,Enero!$B$2:$G$5822,4,0),"")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IFERROR(VLOOKUP(B3027,Enero!$B$2:$G$5822,4,0),"")</f>
        <v>BM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IFERROR(VLOOKUP(B3028,Enero!$B$2:$G$5822,4,0),"")</f>
        <v>INACTPETS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IFERROR(VLOOKUP(B3029,Enero!$B$2:$G$5822,4,0),"")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IFERROR(VLOOKUP(B3030,Enero!$B$2:$G$5822,4,0),"")</f>
        <v>BM</v>
      </c>
    </row>
    <row r="3031" spans="1:7" x14ac:dyDescent="0.25">
      <c r="A3031" s="11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IFERROR(VLOOKUP(B3031,Enero!$B$2:$G$5822,4,0),"")</f>
        <v>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IFERROR(VLOOKUP(B3032,Enero!$B$2:$G$5822,4,0),"")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IFERROR(VLOOKUP(B3033,Enero!$B$2:$G$5822,4,0),"")</f>
        <v>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IFERROR(VLOOKUP(B3034,Enero!$B$2:$G$5822,4,0),"")</f>
        <v>BM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IFERROR(VLOOKUP(B3035,Enero!$B$2:$G$5822,4,0),"")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IFERROR(VLOOKUP(B3036,Enero!$B$2:$G$5822,4,0),"")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IFERROR(VLOOKUP(B3037,Enero!$B$2:$G$5822,4,0),"")</f>
        <v>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IFERROR(VLOOKUP(B3038,Enero!$B$2:$G$5822,4,0),"")</f>
        <v>ACTPETS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IFERROR(VLOOKUP(B3039,Enero!$B$2:$G$5822,4,0),"")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IFERROR(VLOOKUP(B3040,Enero!$B$2:$G$5822,4,0),"")</f>
        <v>BM</v>
      </c>
    </row>
    <row r="3041" spans="1:7" x14ac:dyDescent="0.25">
      <c r="A3041" s="11"/>
      <c r="B3041" s="4" t="s">
        <v>2953</v>
      </c>
      <c r="C3041" s="4" t="s">
        <v>35</v>
      </c>
      <c r="D3041" s="4" t="s">
        <v>35</v>
      </c>
      <c r="E3041" s="4" t="s">
        <v>163</v>
      </c>
      <c r="F3041" s="4" t="s">
        <v>21</v>
      </c>
      <c r="G3041" s="5" t="str">
        <f>IFERROR(VLOOKUP(B3041,Enero!$B$2:$G$5822,4,0),"")</f>
        <v>INACTPETS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IFERROR(VLOOKUP(B3042,Enero!$B$2:$G$5822,4,0),"")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IFERROR(VLOOKUP(B3043,Enero!$B$2:$G$5822,4,0),"")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IFERROR(VLOOKUP(B3044,Enero!$B$2:$G$5822,4,0),"")</f>
        <v>ATAPET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IFERROR(VLOOKUP(B3045,Enero!$B$2:$G$5822,4,0),"")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IFERROR(VLOOKUP(B3046,Enero!$B$2:$G$5822,4,0),"")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IFERROR(VLOOKUP(B3047,Enero!$B$2:$G$5822,4,0),"")</f>
        <v>ACTPETF</v>
      </c>
    </row>
    <row r="3048" spans="1:7" x14ac:dyDescent="0.25">
      <c r="A3048" s="11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IFERROR(VLOOKUP(B3048,Enero!$B$2:$G$5822,4,0),"")</f>
        <v>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IFERROR(VLOOKUP(B3049,Enero!$B$2:$G$5822,4,0),"")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IFERROR(VLOOKUP(B3050,Enero!$B$2:$G$5822,4,0),"")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IFERROR(VLOOKUP(B3051,Enero!$B$2:$G$5822,4,0),"")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IFERROR(VLOOKUP(B3052,Enero!$B$2:$G$5822,4,0),"")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IFERROR(VLOOKUP(B3053,Enero!$B$2:$G$5822,4,0),"")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IFERROR(VLOOKUP(B3054,Enero!$B$2:$G$5822,4,0),"")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IFERROR(VLOOKUP(B3055,Enero!$B$2:$G$5822,4,0),"")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IFERROR(VLOOKUP(B3056,Enero!$B$2:$G$5822,4,0),"")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IFERROR(VLOOKUP(B3057,Enero!$B$2:$G$5822,4,0),"")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IFERROR(VLOOKUP(B3058,Enero!$B$2:$G$5822,4,0),"")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IFERROR(VLOOKUP(B3059,Enero!$B$2:$G$5822,4,0),"")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IFERROR(VLOOKUP(B3060,Enero!$B$2:$G$5822,4,0),"")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IFERROR(VLOOKUP(B3061,Enero!$B$2:$G$5822,4,0),"")</f>
        <v>INACTBM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IFERROR(VLOOKUP(B3062,Enero!$B$2:$G$5822,4,0),"")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IFERROR(VLOOKUP(B3063,Enero!$B$2:$G$5822,4,0),"")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IFERROR(VLOOKUP(B3064,Enero!$B$2:$G$5822,4,0),"")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IFERROR(VLOOKUP(B3065,Enero!$B$2:$G$5822,4,0),"")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IFERROR(VLOOKUP(B3066,Enero!$B$2:$G$5822,4,0),"")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IFERROR(VLOOKUP(B3067,Enero!$B$2:$G$5822,4,0),"")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IFERROR(VLOOKUP(B3068,Enero!$B$2:$G$5822,4,0),"")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IFERROR(VLOOKUP(B3069,Enero!$B$2:$G$5822,4,0),"")</f>
        <v>BM</v>
      </c>
    </row>
    <row r="3070" spans="1:7" x14ac:dyDescent="0.25">
      <c r="A3070" s="11"/>
      <c r="B3070" s="4" t="s">
        <v>2982</v>
      </c>
      <c r="C3070" s="4" t="s">
        <v>11</v>
      </c>
      <c r="D3070" s="4" t="s">
        <v>11</v>
      </c>
      <c r="E3070" s="4" t="s">
        <v>11</v>
      </c>
      <c r="F3070" s="4" t="s">
        <v>2049</v>
      </c>
      <c r="G3070" s="5" t="str">
        <f>IFERROR(VLOOKUP(B3070,Enero!$B$2:$G$5822,4,0),"")</f>
        <v>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IFERROR(VLOOKUP(B3071,Enero!$B$2:$G$5822,4,0),"")</f>
        <v>INACTBM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IFERROR(VLOOKUP(B3072,Enero!$B$2:$G$5822,4,0),"")</f>
        <v>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IFERROR(VLOOKUP(B3073,Enero!$B$2:$G$5822,4,0),"")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IFERROR(VLOOKUP(B3074,Enero!$B$2:$G$5822,4,0),"")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IFERROR(VLOOKUP(B3075,Enero!$B$2:$G$5822,4,0),"")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IFERROR(VLOOKUP(B3076,Enero!$B$2:$G$5822,4,0),"")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IFERROR(VLOOKUP(B3077,Enero!$B$2:$G$5822,4,0),"")</f>
        <v>ACTPETS</v>
      </c>
    </row>
    <row r="3078" spans="1:7" x14ac:dyDescent="0.25">
      <c r="A3078" s="11"/>
      <c r="B3078" s="4" t="s">
        <v>2990</v>
      </c>
      <c r="C3078" s="4" t="s">
        <v>35</v>
      </c>
      <c r="D3078" s="4" t="s">
        <v>35</v>
      </c>
      <c r="E3078" s="4" t="s">
        <v>163</v>
      </c>
      <c r="F3078" s="4" t="s">
        <v>21</v>
      </c>
      <c r="G3078" s="5" t="str">
        <f>IFERROR(VLOOKUP(B3078,Enero!$B$2:$G$5822,4,0),"")</f>
        <v>INACTPETS</v>
      </c>
    </row>
    <row r="3079" spans="1:7" x14ac:dyDescent="0.25">
      <c r="A3079" s="11"/>
      <c r="B3079" s="4" t="s">
        <v>2991</v>
      </c>
      <c r="C3079" s="4" t="s">
        <v>35</v>
      </c>
      <c r="D3079" s="4" t="s">
        <v>35</v>
      </c>
      <c r="E3079" s="4" t="s">
        <v>36</v>
      </c>
      <c r="F3079" s="4" t="s">
        <v>21</v>
      </c>
      <c r="G3079" s="5" t="str">
        <f>IFERROR(VLOOKUP(B3079,Enero!$B$2:$G$5822,4,0),"")</f>
        <v>INACTPETF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IFERROR(VLOOKUP(B3080,Enero!$B$2:$G$5822,4,0),"")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IFERROR(VLOOKUP(B3081,Enero!$B$2:$G$5822,4,0),"")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IFERROR(VLOOKUP(B3082,Enero!$B$2:$G$5822,4,0),"")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IFERROR(VLOOKUP(B3083,Enero!$B$2:$G$5822,4,0),"")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IFERROR(VLOOKUP(B3084,Enero!$B$2:$G$5822,4,0),"")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IFERROR(VLOOKUP(B3085,Enero!$B$2:$G$5822,4,0),"")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IFERROR(VLOOKUP(B3086,Enero!$B$2:$G$5822,4,0),"")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IFERROR(VLOOKUP(B3087,Enero!$B$2:$G$5822,4,0),"")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IFERROR(VLOOKUP(B3088,Enero!$B$2:$G$5822,4,0),"")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IFERROR(VLOOKUP(B3089,Enero!$B$2:$G$5822,4,0),"")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IFERROR(VLOOKUP(B3090,Enero!$B$2:$G$5822,4,0),"")</f>
        <v>INACTPETF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IFERROR(VLOOKUP(B3091,Enero!$B$2:$G$5822,4,0),"")</f>
        <v>BM</v>
      </c>
    </row>
    <row r="3092" spans="1:7" x14ac:dyDescent="0.25">
      <c r="A3092" s="11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IFERROR(VLOOKUP(B3092,Enero!$B$2:$G$5822,4,0),"")</f>
        <v>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IFERROR(VLOOKUP(B3093,Enero!$B$2:$G$5822,4,0),"")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IFERROR(VLOOKUP(B3094,Enero!$B$2:$G$5822,4,0),"")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IFERROR(VLOOKUP(B3095,Enero!$B$2:$G$5822,4,0),"")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IFERROR(VLOOKUP(B3096,Enero!$B$2:$G$5822,4,0),"")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IFERROR(VLOOKUP(B3097,Enero!$B$2:$G$5822,4,0),"")</f>
        <v>INACTBM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IFERROR(VLOOKUP(B3098,Enero!$B$2:$G$5822,4,0),"")</f>
        <v>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IFERROR(VLOOKUP(B3099,Enero!$B$2:$G$5822,4,0),"")</f>
        <v>INACTBM</v>
      </c>
    </row>
    <row r="3100" spans="1:7" x14ac:dyDescent="0.25">
      <c r="A3100" s="11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tr">
        <f>IFERROR(VLOOKUP(B3100,Enero!$B$2:$G$5822,4,0),"")</f>
        <v>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IFERROR(VLOOKUP(B3101,Enero!$B$2:$G$5822,4,0),"")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IFERROR(VLOOKUP(B3102,Enero!$B$2:$G$5822,4,0),"")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IFERROR(VLOOKUP(B3103,Enero!$B$2:$G$5822,4,0),"")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IFERROR(VLOOKUP(B3104,Enero!$B$2:$G$5822,4,0),"")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IFERROR(VLOOKUP(B3105,Enero!$B$2:$G$5822,4,0),"")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IFERROR(VLOOKUP(B3106,Enero!$B$2:$G$5822,4,0),"")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IFERROR(VLOOKUP(B3107,Enero!$B$2:$G$5822,4,0),"")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IFERROR(VLOOKUP(B3108,Enero!$B$2:$G$5822,4,0),"")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IFERROR(VLOOKUP(B3109,Enero!$B$2:$G$5822,4,0),"")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IFERROR(VLOOKUP(B3110,Enero!$B$2:$G$5822,4,0),"")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IFERROR(VLOOKUP(B3111,Enero!$B$2:$G$5822,4,0),"")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IFERROR(VLOOKUP(B3112,Enero!$B$2:$G$5822,4,0),"")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IFERROR(VLOOKUP(B3113,Enero!$B$2:$G$5822,4,0),"")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IFERROR(VLOOKUP(B3114,Enero!$B$2:$G$5822,4,0),"")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IFERROR(VLOOKUP(B3115,Enero!$B$2:$G$5822,4,0),"")</f>
        <v>BM</v>
      </c>
    </row>
    <row r="3116" spans="1:7" x14ac:dyDescent="0.25">
      <c r="A3116" s="11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IFERROR(VLOOKUP(B3116,Enero!$B$2:$G$5822,4,0),"")</f>
        <v>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IFERROR(VLOOKUP(B3117,Enero!$B$2:$G$5822,4,0),"")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IFERROR(VLOOKUP(B3118,Enero!$B$2:$G$5822,4,0),"")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IFERROR(VLOOKUP(B3119,Enero!$B$2:$G$5822,4,0),"")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IFERROR(VLOOKUP(B3120,Enero!$B$2:$G$5822,4,0),"")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IFERROR(VLOOKUP(B3121,Enero!$B$2:$G$5822,4,0),"")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IFERROR(VLOOKUP(B3122,Enero!$B$2:$G$5822,4,0),"")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IFERROR(VLOOKUP(B3123,Enero!$B$2:$G$5822,4,0),"")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IFERROR(VLOOKUP(B3124,Enero!$B$2:$G$5822,4,0),"")</f>
        <v>INACTPL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IFERROR(VLOOKUP(B3125,Enero!$B$2:$G$5822,4,0),"")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IFERROR(VLOOKUP(B3126,Enero!$B$2:$G$5822,4,0),"")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IFERROR(VLOOKUP(B3127,Enero!$B$2:$G$5822,4,0),"")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IFERROR(VLOOKUP(B3128,Enero!$B$2:$G$5822,4,0),"")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IFERROR(VLOOKUP(B3129,Enero!$B$2:$G$5822,4,0),"")</f>
        <v>ATAPET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IFERROR(VLOOKUP(B3130,Enero!$B$2:$G$5822,4,0),"")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IFERROR(VLOOKUP(B3131,Enero!$B$2:$G$5822,4,0),"")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IFERROR(VLOOKUP(B3132,Enero!$B$2:$G$5822,4,0),"")</f>
        <v>INACTBM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IFERROR(VLOOKUP(B3133,Enero!$B$2:$G$5822,4,0),"")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IFERROR(VLOOKUP(B3134,Enero!$B$2:$G$5822,4,0),"")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IFERROR(VLOOKUP(B3135,Enero!$B$2:$G$5822,4,0),"")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IFERROR(VLOOKUP(B3136,Enero!$B$2:$G$5822,4,0),"")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IFERROR(VLOOKUP(B3137,Enero!$B$2:$G$5822,4,0),"")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IFERROR(VLOOKUP(B3138,Enero!$B$2:$G$5822,4,0),"")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IFERROR(VLOOKUP(B3139,Enero!$B$2:$G$5822,4,0),"")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IFERROR(VLOOKUP(B3140,Enero!$B$2:$G$5822,4,0),"")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IFERROR(VLOOKUP(B3141,Enero!$B$2:$G$5822,4,0),"")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IFERROR(VLOOKUP(B3142,Enero!$B$2:$G$5822,4,0),"")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IFERROR(VLOOKUP(B3143,Enero!$B$2:$G$5822,4,0),"")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IFERROR(VLOOKUP(B3144,Enero!$B$2:$G$5822,4,0),"")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IFERROR(VLOOKUP(B3145,Enero!$B$2:$G$5822,4,0),"")</f>
        <v>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IFERROR(VLOOKUP(B3146,Enero!$B$2:$G$5822,4,0),"")</f>
        <v>INACTBM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IFERROR(VLOOKUP(B3147,Enero!$B$2:$G$5822,4,0),"")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IFERROR(VLOOKUP(B3148,Enero!$B$2:$G$5822,4,0),"")</f>
        <v>BM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IFERROR(VLOOKUP(B3149,Enero!$B$2:$G$5822,4,0),"")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IFERROR(VLOOKUP(B3150,Enero!$B$2:$G$5822,4,0),"")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IFERROR(VLOOKUP(B3151,Enero!$B$2:$G$5822,4,0),"")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IFERROR(VLOOKUP(B3152,Enero!$B$2:$G$5822,4,0),"")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IFERROR(VLOOKUP(B3153,Enero!$B$2:$G$5822,4,0),"")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IFERROR(VLOOKUP(B3154,Enero!$B$2:$G$5822,4,0),"")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IFERROR(VLOOKUP(B3155,Enero!$B$2:$G$5822,4,0),"")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IFERROR(VLOOKUP(B3156,Enero!$B$2:$G$5822,4,0),"")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IFERROR(VLOOKUP(B3157,Enero!$B$2:$G$5822,4,0),"")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IFERROR(VLOOKUP(B3158,Enero!$B$2:$G$5822,4,0),"")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IFERROR(VLOOKUP(B3159,Enero!$B$2:$G$5822,4,0),"")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IFERROR(VLOOKUP(B3160,Enero!$B$2:$G$5822,4,0),"")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IFERROR(VLOOKUP(B3161,Enero!$B$2:$G$5822,4,0),"")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IFERROR(VLOOKUP(B3162,Enero!$B$2:$G$5822,4,0),"")</f>
        <v>BM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IFERROR(VLOOKUP(B3163,Enero!$B$2:$G$5822,4,0),"")</f>
        <v>ACTPETS</v>
      </c>
    </row>
    <row r="3164" spans="1:7" x14ac:dyDescent="0.25">
      <c r="A3164" s="11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IFERROR(VLOOKUP(B3164,Enero!$B$2:$G$5822,4,0),"")</f>
        <v>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IFERROR(VLOOKUP(B3165,Enero!$B$2:$G$5822,4,0),"")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IFERROR(VLOOKUP(B3166,Enero!$B$2:$G$5822,4,0),"")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IFERROR(VLOOKUP(B3167,Enero!$B$2:$G$5822,4,0),"")</f>
        <v>BM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IFERROR(VLOOKUP(B3168,Enero!$B$2:$G$5822,4,0),"")</f>
        <v>ACTPETF</v>
      </c>
    </row>
    <row r="3169" spans="1:7" x14ac:dyDescent="0.25">
      <c r="A3169" s="11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tr">
        <f>IFERROR(VLOOKUP(B3169,Enero!$B$2:$G$5822,4,0),"")</f>
        <v>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IFERROR(VLOOKUP(B3170,Enero!$B$2:$G$5822,4,0),"")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IFERROR(VLOOKUP(B3171,Enero!$B$2:$G$5822,4,0),"")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IFERROR(VLOOKUP(B3172,Enero!$B$2:$G$5822,4,0),"")</f>
        <v>BM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IFERROR(VLOOKUP(B3173,Enero!$B$2:$G$5822,4,0),"")</f>
        <v>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IFERROR(VLOOKUP(B3174,Enero!$B$2:$G$5822,4,0),"")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IFERROR(VLOOKUP(B3175,Enero!$B$2:$G$5822,4,0),"")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IFERROR(VLOOKUP(B3176,Enero!$B$2:$G$5822,4,0),"")</f>
        <v>BM</v>
      </c>
    </row>
    <row r="3177" spans="1:7" x14ac:dyDescent="0.25">
      <c r="A3177" s="11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IFERROR(VLOOKUP(B3177,Enero!$B$2:$G$5822,4,0),"")</f>
        <v>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IFERROR(VLOOKUP(B3178,Enero!$B$2:$G$5822,4,0),"")</f>
        <v>INACTBM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IFERROR(VLOOKUP(B3179,Enero!$B$2:$G$5822,4,0),"")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IFERROR(VLOOKUP(B3180,Enero!$B$2:$G$5822,4,0),"")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IFERROR(VLOOKUP(B3181,Enero!$B$2:$G$5822,4,0),"")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IFERROR(VLOOKUP(B3182,Enero!$B$2:$G$5822,4,0),"")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IFERROR(VLOOKUP(B3183,Enero!$B$2:$G$5822,4,0),"")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IFERROR(VLOOKUP(B3184,Enero!$B$2:$G$5822,4,0),"")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IFERROR(VLOOKUP(B3185,Enero!$B$2:$G$5822,4,0),"")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IFERROR(VLOOKUP(B3186,Enero!$B$2:$G$5822,4,0),"")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IFERROR(VLOOKUP(B3187,Enero!$B$2:$G$5822,4,0),"")</f>
        <v>BM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IFERROR(VLOOKUP(B3188,Enero!$B$2:$G$5822,4,0),"")</f>
        <v>ACTPETF</v>
      </c>
    </row>
    <row r="3189" spans="1:7" x14ac:dyDescent="0.25">
      <c r="A3189" s="11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IFERROR(VLOOKUP(B3189,Enero!$B$2:$G$5822,4,0),"")</f>
        <v>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IFERROR(VLOOKUP(B3190,Enero!$B$2:$G$5822,4,0),"")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IFERROR(VLOOKUP(B3191,Enero!$B$2:$G$5822,4,0),"")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IFERROR(VLOOKUP(B3192,Enero!$B$2:$G$5822,4,0),"")</f>
        <v>PL</v>
      </c>
    </row>
    <row r="3193" spans="1:7" x14ac:dyDescent="0.25">
      <c r="A3193" s="11"/>
      <c r="B3193" s="4" t="s">
        <v>3105</v>
      </c>
      <c r="C3193" s="4" t="s">
        <v>35</v>
      </c>
      <c r="D3193" s="4" t="s">
        <v>35</v>
      </c>
      <c r="E3193" s="4" t="s">
        <v>163</v>
      </c>
      <c r="F3193" s="4" t="s">
        <v>21</v>
      </c>
      <c r="G3193" s="5" t="str">
        <f>IFERROR(VLOOKUP(B3193,Enero!$B$2:$G$5822,4,0),"")</f>
        <v>ACTPETS</v>
      </c>
    </row>
    <row r="3194" spans="1:7" x14ac:dyDescent="0.25">
      <c r="A3194" s="11"/>
      <c r="B3194" s="4" t="s">
        <v>3106</v>
      </c>
      <c r="C3194" s="4" t="s">
        <v>35</v>
      </c>
      <c r="D3194" s="4" t="s">
        <v>35</v>
      </c>
      <c r="E3194" s="4" t="s">
        <v>163</v>
      </c>
      <c r="F3194" s="4" t="s">
        <v>21</v>
      </c>
      <c r="G3194" s="5" t="str">
        <f>IFERROR(VLOOKUP(B3194,Enero!$B$2:$G$5822,4,0),"")</f>
        <v>INACTPETS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IFERROR(VLOOKUP(B3195,Enero!$B$2:$G$5822,4,0),"")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IFERROR(VLOOKUP(B3196,Enero!$B$2:$G$5822,4,0),"")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IFERROR(VLOOKUP(B3197,Enero!$B$2:$G$5822,4,0),"")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IFERROR(VLOOKUP(B3198,Enero!$B$2:$G$5822,4,0),"")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IFERROR(VLOOKUP(B3199,Enero!$B$2:$G$5822,4,0),"")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IFERROR(VLOOKUP(B3200,Enero!$B$2:$G$5822,4,0),"")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IFERROR(VLOOKUP(B3201,Enero!$B$2:$G$5822,4,0),"")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IFERROR(VLOOKUP(B3202,Enero!$B$2:$G$5822,4,0),"")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IFERROR(VLOOKUP(B3203,Enero!$B$2:$G$5822,4,0),"")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IFERROR(VLOOKUP(B3204,Enero!$B$2:$G$5822,4,0),"")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IFERROR(VLOOKUP(B3205,Enero!$B$2:$G$5822,4,0),"")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IFERROR(VLOOKUP(B3206,Enero!$B$2:$G$5822,4,0),"")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IFERROR(VLOOKUP(B3207,Enero!$B$2:$G$5822,4,0),"")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IFERROR(VLOOKUP(B3208,Enero!$B$2:$G$5822,4,0),"")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IFERROR(VLOOKUP(B3209,Enero!$B$2:$G$5822,4,0),"")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IFERROR(VLOOKUP(B3210,Enero!$B$2:$G$5822,4,0),"")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IFERROR(VLOOKUP(B3211,Enero!$B$2:$G$5822,4,0),"")</f>
        <v>INACTPETS</v>
      </c>
    </row>
    <row r="3212" spans="1:7" x14ac:dyDescent="0.25">
      <c r="A3212" s="11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IFERROR(VLOOKUP(B3212,Enero!$B$2:$G$5822,4,0),"")</f>
        <v>BM</v>
      </c>
    </row>
    <row r="3213" spans="1:7" x14ac:dyDescent="0.25">
      <c r="A3213" s="11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IFERROR(VLOOKUP(B3213,Enero!$B$2:$G$5822,4,0),"")</f>
        <v>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IFERROR(VLOOKUP(B3214,Enero!$B$2:$G$5822,4,0),"")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IFERROR(VLOOKUP(B3215,Enero!$B$2:$G$5822,4,0),"")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IFERROR(VLOOKUP(B3216,Enero!$B$2:$G$5822,4,0),"")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IFERROR(VLOOKUP(B3217,Enero!$B$2:$G$5822,4,0),"")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IFERROR(VLOOKUP(B3218,Enero!$B$2:$G$5822,4,0),"")</f>
        <v>BM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IFERROR(VLOOKUP(B3219,Enero!$B$2:$G$5822,4,0),"")</f>
        <v>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IFERROR(VLOOKUP(B3220,Enero!$B$2:$G$5822,4,0),"")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IFERROR(VLOOKUP(B3221,Enero!$B$2:$G$5822,4,0),"")</f>
        <v>BM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IFERROR(VLOOKUP(B3222,Enero!$B$2:$G$5822,4,0),"")</f>
        <v>ACTPETF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IFERROR(VLOOKUP(B3223,Enero!$B$2:$G$5822,4,0),"")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IFERROR(VLOOKUP(B3224,Enero!$B$2:$G$5822,4,0),"")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IFERROR(VLOOKUP(B3225,Enero!$B$2:$G$5822,4,0),"")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IFERROR(VLOOKUP(B3226,Enero!$B$2:$G$5822,4,0),"")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IFERROR(VLOOKUP(B3227,Enero!$B$2:$G$5822,4,0),"")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IFERROR(VLOOKUP(B3228,Enero!$B$2:$G$5822,4,0),"")</f>
        <v>ATAPET</v>
      </c>
    </row>
    <row r="3229" spans="1:7" x14ac:dyDescent="0.25">
      <c r="A3229" s="11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IFERROR(VLOOKUP(B3229,Enero!$B$2:$G$5822,4,0),"")</f>
        <v>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IFERROR(VLOOKUP(B3230,Enero!$B$2:$G$5822,4,0),"")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IFERROR(VLOOKUP(B3231,Enero!$B$2:$G$5822,4,0),"")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IFERROR(VLOOKUP(B3232,Enero!$B$2:$G$5822,4,0),"")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IFERROR(VLOOKUP(B3233,Enero!$B$2:$G$5822,4,0),"")</f>
        <v>INACTPETS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IFERROR(VLOOKUP(B3234,Enero!$B$2:$G$5822,4,0),"")</f>
        <v>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IFERROR(VLOOKUP(B3235,Enero!$B$2:$G$5822,4,0),"")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IFERROR(VLOOKUP(B3236,Enero!$B$2:$G$5822,4,0),"")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IFERROR(VLOOKUP(B3237,Enero!$B$2:$G$5822,4,0),"")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IFERROR(VLOOKUP(B3238,Enero!$B$2:$G$5822,4,0),"")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IFERROR(VLOOKUP(B3239,Enero!$B$2:$G$5822,4,0),"")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IFERROR(VLOOKUP(B3240,Enero!$B$2:$G$5822,4,0),"")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IFERROR(VLOOKUP(B3241,Enero!$B$2:$G$5822,4,0),"")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IFERROR(VLOOKUP(B3242,Enero!$B$2:$G$5822,4,0),"")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IFERROR(VLOOKUP(B3243,Enero!$B$2:$G$5822,4,0),"")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IFERROR(VLOOKUP(B3244,Enero!$B$2:$G$5822,4,0),"")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IFERROR(VLOOKUP(B3245,Enero!$B$2:$G$5822,4,0),"")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IFERROR(VLOOKUP(B3246,Enero!$B$2:$G$5822,4,0),"")</f>
        <v>INACTINYA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IFERROR(VLOOKUP(B3247,Enero!$B$2:$G$5822,4,0),"")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IFERROR(VLOOKUP(B3248,Enero!$B$2:$G$5822,4,0),"")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IFERROR(VLOOKUP(B3249,Enero!$B$2:$G$5822,4,0),"")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IFERROR(VLOOKUP(B3250,Enero!$B$2:$G$5822,4,0),"")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IFERROR(VLOOKUP(B3251,Enero!$B$2:$G$5822,4,0),"")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IFERROR(VLOOKUP(B3252,Enero!$B$2:$G$5822,4,0),"")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IFERROR(VLOOKUP(B3253,Enero!$B$2:$G$5822,4,0),"")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IFERROR(VLOOKUP(B3254,Enero!$B$2:$G$5822,4,0),"")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IFERROR(VLOOKUP(B3255,Enero!$B$2:$G$5822,4,0),"")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IFERROR(VLOOKUP(B3256,Enero!$B$2:$G$5822,4,0),"")</f>
        <v>INACTINYA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IFERROR(VLOOKUP(B3257,Enero!$B$2:$G$5822,4,0),"")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IFERROR(VLOOKUP(B3258,Enero!$B$2:$G$5822,4,0),"")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IFERROR(VLOOKUP(B3259,Enero!$B$2:$G$5822,4,0),"")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IFERROR(VLOOKUP(B3260,Enero!$B$2:$G$5822,4,0),"")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IFERROR(VLOOKUP(B3261,Enero!$B$2:$G$5822,4,0),"")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IFERROR(VLOOKUP(B3262,Enero!$B$2:$G$5822,4,0),"")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IFERROR(VLOOKUP(B3263,Enero!$B$2:$G$5822,4,0),"")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IFERROR(VLOOKUP(B3264,Enero!$B$2:$G$5822,4,0),"")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IFERROR(VLOOKUP(B3265,Enero!$B$2:$G$5822,4,0),"")</f>
        <v>BM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IFERROR(VLOOKUP(B3266,Enero!$B$2:$G$5822,4,0),"")</f>
        <v>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IFERROR(VLOOKUP(B3267,Enero!$B$2:$G$5822,4,0),"")</f>
        <v>BM</v>
      </c>
    </row>
    <row r="3268" spans="1:7" x14ac:dyDescent="0.25">
      <c r="A3268" s="11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IFERROR(VLOOKUP(B3268,Enero!$B$2:$G$5822,4,0),"")</f>
        <v>INACTPETF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IFERROR(VLOOKUP(B3269,Enero!$B$2:$G$5822,4,0),"")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IFERROR(VLOOKUP(B3270,Enero!$B$2:$G$5822,4,0),"")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IFERROR(VLOOKUP(B3271,Enero!$B$2:$G$5822,4,0),"")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IFERROR(VLOOKUP(B3272,Enero!$B$2:$G$5822,4,0),"")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IFERROR(VLOOKUP(B3273,Enero!$B$2:$G$5822,4,0),"")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IFERROR(VLOOKUP(B3274,Enero!$B$2:$G$5822,4,0),"")</f>
        <v>BM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IFERROR(VLOOKUP(B3275,Enero!$B$2:$G$5822,4,0),"")</f>
        <v>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IFERROR(VLOOKUP(B3276,Enero!$B$2:$G$5822,4,0),"")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IFERROR(VLOOKUP(B3277,Enero!$B$2:$G$5822,4,0),"")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IFERROR(VLOOKUP(B3278,Enero!$B$2:$G$5822,4,0),"")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IFERROR(VLOOKUP(B3279,Enero!$B$2:$G$5822,4,0),"")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IFERROR(VLOOKUP(B3280,Enero!$B$2:$G$5822,4,0),"")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IFERROR(VLOOKUP(B3281,Enero!$B$2:$G$5822,4,0),"")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IFERROR(VLOOKUP(B3282,Enero!$B$2:$G$5822,4,0),"")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IFERROR(VLOOKUP(B3283,Enero!$B$2:$G$5822,4,0),"")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IFERROR(VLOOKUP(B3284,Enero!$B$2:$G$5822,4,0),"")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IFERROR(VLOOKUP(B3285,Enero!$B$2:$G$5822,4,0),"")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IFERROR(VLOOKUP(B3286,Enero!$B$2:$G$5822,4,0),"")</f>
        <v>INACTBM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IFERROR(VLOOKUP(B3287,Enero!$B$2:$G$5822,4,0),"")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IFERROR(VLOOKUP(B3288,Enero!$B$2:$G$5822,4,0),"")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IFERROR(VLOOKUP(B3289,Enero!$B$2:$G$5822,4,0),"")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IFERROR(VLOOKUP(B3290,Enero!$B$2:$G$5822,4,0),"")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IFERROR(VLOOKUP(B3291,Enero!$B$2:$G$5822,4,0),"")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IFERROR(VLOOKUP(B3292,Enero!$B$2:$G$5822,4,0),"")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IFERROR(VLOOKUP(B3293,Enero!$B$2:$G$5822,4,0),"")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IFERROR(VLOOKUP(B3294,Enero!$B$2:$G$5822,4,0),"")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IFERROR(VLOOKUP(B3295,Enero!$B$2:$G$5822,4,0),"")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IFERROR(VLOOKUP(B3296,Enero!$B$2:$G$5822,4,0),"")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IFERROR(VLOOKUP(B3297,Enero!$B$2:$G$5822,4,0),"")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IFERROR(VLOOKUP(B3298,Enero!$B$2:$G$5822,4,0),"")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IFERROR(VLOOKUP(B3299,Enero!$B$2:$G$5822,4,0),"")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IFERROR(VLOOKUP(B3300,Enero!$B$2:$G$5822,4,0),"")</f>
        <v>BM</v>
      </c>
    </row>
    <row r="3301" spans="1:7" x14ac:dyDescent="0.25">
      <c r="A3301" s="11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tr">
        <f>IFERROR(VLOOKUP(B3301,Enero!$B$2:$G$5822,4,0),"")</f>
        <v>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IFERROR(VLOOKUP(B3302,Enero!$B$2:$G$5822,4,0),"")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IFERROR(VLOOKUP(B3303,Enero!$B$2:$G$5822,4,0),"")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IFERROR(VLOOKUP(B3304,Enero!$B$2:$G$5822,4,0),"")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IFERROR(VLOOKUP(B3305,Enero!$B$2:$G$5822,4,0),"")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IFERROR(VLOOKUP(B3306,Enero!$B$2:$G$5822,4,0),"")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IFERROR(VLOOKUP(B3307,Enero!$B$2:$G$5822,4,0),"")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IFERROR(VLOOKUP(B3308,Enero!$B$2:$G$5822,4,0),"")</f>
        <v>BM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IFERROR(VLOOKUP(B3309,Enero!$B$2:$G$5822,4,0),"")</f>
        <v>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IFERROR(VLOOKUP(B3310,Enero!$B$2:$G$5822,4,0),"")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IFERROR(VLOOKUP(B3311,Enero!$B$2:$G$5822,4,0),"")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IFERROR(VLOOKUP(B3312,Enero!$B$2:$G$5822,4,0),"")</f>
        <v>ATAPET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IFERROR(VLOOKUP(B3313,Enero!$B$2:$G$5822,4,0),"")</f>
        <v>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IFERROR(VLOOKUP(B3314,Enero!$B$2:$G$5822,4,0),"")</f>
        <v>BM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IFERROR(VLOOKUP(B3315,Enero!$B$2:$G$5822,4,0),"")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IFERROR(VLOOKUP(B3316,Enero!$B$2:$G$5822,4,0),"")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IFERROR(VLOOKUP(B3317,Enero!$B$2:$G$5822,4,0),"")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IFERROR(VLOOKUP(B3318,Enero!$B$2:$G$5822,4,0),"")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IFERROR(VLOOKUP(B3319,Enero!$B$2:$G$5822,4,0),"")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IFERROR(VLOOKUP(B3320,Enero!$B$2:$G$5822,4,0),"")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IFERROR(VLOOKUP(B3321,Enero!$B$2:$G$5822,4,0),"")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IFERROR(VLOOKUP(B3322,Enero!$B$2:$G$5822,4,0),"")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IFERROR(VLOOKUP(B3323,Enero!$B$2:$G$5822,4,0),"")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IFERROR(VLOOKUP(B3324,Enero!$B$2:$G$5822,4,0),"")</f>
        <v>BM</v>
      </c>
    </row>
    <row r="3325" spans="1:7" x14ac:dyDescent="0.25">
      <c r="A3325" s="11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IFERROR(VLOOKUP(B3325,Enero!$B$2:$G$5822,4,0),"")</f>
        <v>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IFERROR(VLOOKUP(B3326,Enero!$B$2:$G$5822,4,0),"")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IFERROR(VLOOKUP(B3327,Enero!$B$2:$G$5822,4,0),"")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IFERROR(VLOOKUP(B3328,Enero!$B$2:$G$5822,4,0),"")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IFERROR(VLOOKUP(B3329,Enero!$B$2:$G$5822,4,0),"")</f>
        <v>INACTPETS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IFERROR(VLOOKUP(B3330,Enero!$B$2:$G$5822,4,0),"")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IFERROR(VLOOKUP(B3331,Enero!$B$2:$G$5822,4,0),"")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IFERROR(VLOOKUP(B3332,Enero!$B$2:$G$5822,4,0),"")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IFERROR(VLOOKUP(B3333,Enero!$B$2:$G$5822,4,0),"")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IFERROR(VLOOKUP(B3334,Enero!$B$2:$G$5822,4,0),"")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IFERROR(VLOOKUP(B3335,Enero!$B$2:$G$5822,4,0),"")</f>
        <v>BM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IFERROR(VLOOKUP(B3336,Enero!$B$2:$G$5822,4,0),"")</f>
        <v>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IFERROR(VLOOKUP(B3337,Enero!$B$2:$G$5822,4,0),"")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IFERROR(VLOOKUP(B3338,Enero!$B$2:$G$5822,4,0),"")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IFERROR(VLOOKUP(B3339,Enero!$B$2:$G$5822,4,0),"")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IFERROR(VLOOKUP(B3340,Enero!$B$2:$G$5822,4,0),"")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IFERROR(VLOOKUP(B3341,Enero!$B$2:$G$5822,4,0),"")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IFERROR(VLOOKUP(B3342,Enero!$B$2:$G$5822,4,0),"")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IFERROR(VLOOKUP(B3343,Enero!$B$2:$G$5822,4,0),"")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IFERROR(VLOOKUP(B3344,Enero!$B$2:$G$5822,4,0),"")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IFERROR(VLOOKUP(B3345,Enero!$B$2:$G$5822,4,0),"")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IFERROR(VLOOKUP(B3346,Enero!$B$2:$G$5822,4,0),"")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IFERROR(VLOOKUP(B3347,Enero!$B$2:$G$5822,4,0),"")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IFERROR(VLOOKUP(B3348,Enero!$B$2:$G$5822,4,0),"")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IFERROR(VLOOKUP(B3349,Enero!$B$2:$G$5822,4,0),"")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IFERROR(VLOOKUP(B3350,Enero!$B$2:$G$5822,4,0),"")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IFERROR(VLOOKUP(B3351,Enero!$B$2:$G$5822,4,0),"")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IFERROR(VLOOKUP(B3352,Enero!$B$2:$G$5822,4,0),"")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IFERROR(VLOOKUP(B3353,Enero!$B$2:$G$5822,4,0),"")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IFERROR(VLOOKUP(B3354,Enero!$B$2:$G$5822,4,0),"")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IFERROR(VLOOKUP(B3355,Enero!$B$2:$G$5822,4,0),"")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IFERROR(VLOOKUP(B3356,Enero!$B$2:$G$5822,4,0),"")</f>
        <v>INACTBM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IFERROR(VLOOKUP(B3357,Enero!$B$2:$G$5822,4,0),"")</f>
        <v>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IFERROR(VLOOKUP(B3358,Enero!$B$2:$G$5822,4,0),"")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IFERROR(VLOOKUP(B3359,Enero!$B$2:$G$5822,4,0),"")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IFERROR(VLOOKUP(B3360,Enero!$B$2:$G$5822,4,0),"")</f>
        <v>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IFERROR(VLOOKUP(B3361,Enero!$B$2:$G$5822,4,0),"")</f>
        <v>BM</v>
      </c>
    </row>
    <row r="3362" spans="1:7" x14ac:dyDescent="0.25">
      <c r="A3362" s="11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IFERROR(VLOOKUP(B3362,Enero!$B$2:$G$5822,4,0),"")</f>
        <v>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IFERROR(VLOOKUP(B3363,Enero!$B$2:$G$5822,4,0),"")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IFERROR(VLOOKUP(B3364,Enero!$B$2:$G$5822,4,0),"")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IFERROR(VLOOKUP(B3365,Enero!$B$2:$G$5822,4,0),"")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IFERROR(VLOOKUP(B3366,Enero!$B$2:$G$5822,4,0),"")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IFERROR(VLOOKUP(B3367,Enero!$B$2:$G$5822,4,0),"")</f>
        <v>BM</v>
      </c>
    </row>
    <row r="3368" spans="1:7" x14ac:dyDescent="0.25">
      <c r="A3368" s="11"/>
      <c r="B3368" s="4" t="s">
        <v>3280</v>
      </c>
      <c r="C3368" s="4" t="s">
        <v>35</v>
      </c>
      <c r="D3368" s="4" t="s">
        <v>35</v>
      </c>
      <c r="E3368" s="4" t="s">
        <v>57</v>
      </c>
      <c r="F3368" s="4" t="s">
        <v>956</v>
      </c>
      <c r="G3368" s="5" t="str">
        <f>IFERROR(VLOOKUP(B3368,Enero!$B$2:$G$5822,4,0),"")</f>
        <v>INACTBM</v>
      </c>
    </row>
    <row r="3369" spans="1:7" x14ac:dyDescent="0.25">
      <c r="A3369" s="11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IFERROR(VLOOKUP(B3369,Enero!$B$2:$G$5822,4,0),"")</f>
        <v>BM</v>
      </c>
    </row>
    <row r="3370" spans="1:7" x14ac:dyDescent="0.25">
      <c r="A3370" s="11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IFERROR(VLOOKUP(B3370,Enero!$B$2:$G$5822,4,0),"")</f>
        <v>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IFERROR(VLOOKUP(B3371,Enero!$B$2:$G$5822,4,0),"")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IFERROR(VLOOKUP(B3372,Enero!$B$2:$G$5822,4,0),"")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IFERROR(VLOOKUP(B3373,Enero!$B$2:$G$5822,4,0),"")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IFERROR(VLOOKUP(B3374,Enero!$B$2:$G$5822,4,0),"")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IFERROR(VLOOKUP(B3375,Enero!$B$2:$G$5822,4,0),"")</f>
        <v>BM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IFERROR(VLOOKUP(B3376,Enero!$B$2:$G$5822,4,0),"")</f>
        <v>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IFERROR(VLOOKUP(B3377,Enero!$B$2:$G$5822,4,0),"")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IFERROR(VLOOKUP(B3378,Enero!$B$2:$G$5822,4,0),"")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IFERROR(VLOOKUP(B3379,Enero!$B$2:$G$5822,4,0),"")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IFERROR(VLOOKUP(B3380,Enero!$B$2:$G$5822,4,0),"")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IFERROR(VLOOKUP(B3381,Enero!$B$2:$G$5822,4,0),"")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IFERROR(VLOOKUP(B3382,Enero!$B$2:$G$5822,4,0),"")</f>
        <v>BM</v>
      </c>
    </row>
    <row r="3383" spans="1:7" x14ac:dyDescent="0.25">
      <c r="A3383" s="11"/>
      <c r="B3383" s="4" t="s">
        <v>3295</v>
      </c>
      <c r="C3383" s="4" t="s">
        <v>14</v>
      </c>
      <c r="D3383" s="4" t="s">
        <v>15</v>
      </c>
      <c r="E3383" s="4" t="s">
        <v>16</v>
      </c>
      <c r="F3383" s="4" t="s">
        <v>14</v>
      </c>
      <c r="G3383" s="5" t="str">
        <f>IFERROR(VLOOKUP(B3383,Enero!$B$2:$G$5822,4,0),"")</f>
        <v>ATAPET</v>
      </c>
    </row>
    <row r="3384" spans="1:7" x14ac:dyDescent="0.25">
      <c r="A3384" s="11"/>
      <c r="B3384" s="4" t="s">
        <v>3296</v>
      </c>
      <c r="C3384" s="4" t="s">
        <v>35</v>
      </c>
      <c r="D3384" s="4" t="s">
        <v>35</v>
      </c>
      <c r="E3384" s="4" t="s">
        <v>57</v>
      </c>
      <c r="F3384" s="4" t="s">
        <v>973</v>
      </c>
      <c r="G3384" s="5" t="str">
        <f>IFERROR(VLOOKUP(B3384,Enero!$B$2:$G$5822,4,0),"")</f>
        <v>INACTBM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IFERROR(VLOOKUP(B3385,Enero!$B$2:$G$5822,4,0),"")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IFERROR(VLOOKUP(B3386,Enero!$B$2:$G$5822,4,0),"")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IFERROR(VLOOKUP(B3387,Enero!$B$2:$G$5822,4,0),"")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IFERROR(VLOOKUP(B3388,Enero!$B$2:$G$5822,4,0),"")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IFERROR(VLOOKUP(B3389,Enero!$B$2:$G$5822,4,0),"")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IFERROR(VLOOKUP(B3390,Enero!$B$2:$G$5822,4,0),"")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IFERROR(VLOOKUP(B3391,Enero!$B$2:$G$5822,4,0),"")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IFERROR(VLOOKUP(B3392,Enero!$B$2:$G$5822,4,0),"")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IFERROR(VLOOKUP(B3393,Enero!$B$2:$G$5822,4,0),"")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IFERROR(VLOOKUP(B3394,Enero!$B$2:$G$5822,4,0),"")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IFERROR(VLOOKUP(B3395,Enero!$B$2:$G$5822,4,0),"")</f>
        <v>ATAPET</v>
      </c>
    </row>
    <row r="3396" spans="1:7" x14ac:dyDescent="0.25">
      <c r="A3396" s="11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IFERROR(VLOOKUP(B3396,Enero!$B$2:$G$5822,4,0),"")</f>
        <v>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IFERROR(VLOOKUP(B3397,Enero!$B$2:$G$5822,4,0),"")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IFERROR(VLOOKUP(B3398,Enero!$B$2:$G$5822,4,0),"")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IFERROR(VLOOKUP(B3399,Enero!$B$2:$G$5822,4,0),"")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IFERROR(VLOOKUP(B3400,Enero!$B$2:$G$5822,4,0),"")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IFERROR(VLOOKUP(B3401,Enero!$B$2:$G$5822,4,0),"")</f>
        <v>ACTPETF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IFERROR(VLOOKUP(B3402,Enero!$B$2:$G$5822,4,0),"")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IFERROR(VLOOKUP(B3403,Enero!$B$2:$G$5822,4,0),"")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IFERROR(VLOOKUP(B3404,Enero!$B$2:$G$5822,4,0),"")</f>
        <v>INACTBM</v>
      </c>
    </row>
    <row r="3405" spans="1:7" x14ac:dyDescent="0.25">
      <c r="A3405" s="11"/>
      <c r="B3405" s="4" t="s">
        <v>3317</v>
      </c>
      <c r="C3405" s="4" t="s">
        <v>35</v>
      </c>
      <c r="D3405" s="4" t="s">
        <v>35</v>
      </c>
      <c r="E3405" s="4" t="s">
        <v>57</v>
      </c>
      <c r="F3405" s="4" t="s">
        <v>1931</v>
      </c>
      <c r="G3405" s="5" t="str">
        <f>IFERROR(VLOOKUP(B3405,Enero!$B$2:$G$5822,4,0),"")</f>
        <v>BM</v>
      </c>
    </row>
    <row r="3406" spans="1:7" x14ac:dyDescent="0.25">
      <c r="A3406" s="11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IFERROR(VLOOKUP(B3406,Enero!$B$2:$G$5822,4,0),"")</f>
        <v>BM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IFERROR(VLOOKUP(B3407,Enero!$B$2:$G$5822,4,0),"")</f>
        <v>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IFERROR(VLOOKUP(B3408,Enero!$B$2:$G$5822,4,0),"")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IFERROR(VLOOKUP(B3409,Enero!$B$2:$G$5822,4,0),"")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IFERROR(VLOOKUP(B3410,Enero!$B$2:$G$5822,4,0),"")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IFERROR(VLOOKUP(B3411,Enero!$B$2:$G$5822,4,0),"")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IFERROR(VLOOKUP(B3412,Enero!$B$2:$G$5822,4,0),"")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IFERROR(VLOOKUP(B3413,Enero!$B$2:$G$5822,4,0),"")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IFERROR(VLOOKUP(B3414,Enero!$B$2:$G$5822,4,0),"")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IFERROR(VLOOKUP(B3415,Enero!$B$2:$G$5822,4,0),"")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IFERROR(VLOOKUP(B3416,Enero!$B$2:$G$5822,4,0),"")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IFERROR(VLOOKUP(B3417,Enero!$B$2:$G$5822,4,0),"")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IFERROR(VLOOKUP(B3418,Enero!$B$2:$G$5822,4,0),"")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IFERROR(VLOOKUP(B3419,Enero!$B$2:$G$5822,4,0),"")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IFERROR(VLOOKUP(B3420,Enero!$B$2:$G$5822,4,0),"")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IFERROR(VLOOKUP(B3421,Enero!$B$2:$G$5822,4,0),"")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IFERROR(VLOOKUP(B3422,Enero!$B$2:$G$5822,4,0),"")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IFERROR(VLOOKUP(B3423,Enero!$B$2:$G$5822,4,0),"")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IFERROR(VLOOKUP(B3424,Enero!$B$2:$G$5822,4,0),"")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IFERROR(VLOOKUP(B3425,Enero!$B$2:$G$5822,4,0),"")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IFERROR(VLOOKUP(B3426,Enero!$B$2:$G$5822,4,0),"")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IFERROR(VLOOKUP(B3427,Enero!$B$2:$G$5822,4,0),"")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IFERROR(VLOOKUP(B3428,Enero!$B$2:$G$5822,4,0),"")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IFERROR(VLOOKUP(B3429,Enero!$B$2:$G$5822,4,0),"")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IFERROR(VLOOKUP(B3430,Enero!$B$2:$G$5822,4,0),"")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IFERROR(VLOOKUP(B3431,Enero!$B$2:$G$5822,4,0),"")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IFERROR(VLOOKUP(B3432,Enero!$B$2:$G$5822,4,0),"")</f>
        <v>INACTBM</v>
      </c>
    </row>
    <row r="3433" spans="1:7" x14ac:dyDescent="0.25">
      <c r="A3433" s="11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IFERROR(VLOOKUP(B3433,Enero!$B$2:$G$5822,4,0),"")</f>
        <v>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IFERROR(VLOOKUP(B3434,Enero!$B$2:$G$5822,4,0),"")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IFERROR(VLOOKUP(B3435,Enero!$B$2:$G$5822,4,0),"")</f>
        <v>ATAINY</v>
      </c>
    </row>
    <row r="3436" spans="1:7" x14ac:dyDescent="0.25">
      <c r="A3436" s="11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IFERROR(VLOOKUP(B3436,Enero!$B$2:$G$5822,4,0),"")</f>
        <v>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IFERROR(VLOOKUP(B3437,Enero!$B$2:$G$5822,4,0),"")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IFERROR(VLOOKUP(B3438,Enero!$B$2:$G$5822,4,0),"")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IFERROR(VLOOKUP(B3439,Enero!$B$2:$G$5822,4,0),"")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IFERROR(VLOOKUP(B3440,Enero!$B$2:$G$5822,4,0),"")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IFERROR(VLOOKUP(B3441,Enero!$B$2:$G$5822,4,0),"")</f>
        <v>BM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IFERROR(VLOOKUP(B3442,Enero!$B$2:$G$5822,4,0),"")</f>
        <v>BM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IFERROR(VLOOKUP(B3443,Enero!$B$2:$G$5822,4,0),"")</f>
        <v>ACTPETF</v>
      </c>
    </row>
    <row r="3444" spans="1:7" x14ac:dyDescent="0.25">
      <c r="A3444" s="11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IFERROR(VLOOKUP(B3444,Enero!$B$2:$G$5822,4,0),"")</f>
        <v>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IFERROR(VLOOKUP(B3445,Enero!$B$2:$G$5822,4,0),"")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IFERROR(VLOOKUP(B3446,Enero!$B$2:$G$5822,4,0),"")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IFERROR(VLOOKUP(B3447,Enero!$B$2:$G$5822,4,0),"")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IFERROR(VLOOKUP(B3448,Enero!$B$2:$G$5822,4,0),"")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IFERROR(VLOOKUP(B3449,Enero!$B$2:$G$5822,4,0),"")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IFERROR(VLOOKUP(B3450,Enero!$B$2:$G$5822,4,0),"")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IFERROR(VLOOKUP(B3451,Enero!$B$2:$G$5822,4,0),"")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IFERROR(VLOOKUP(B3452,Enero!$B$2:$G$5822,4,0),"")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IFERROR(VLOOKUP(B3453,Enero!$B$2:$G$5822,4,0),"")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IFERROR(VLOOKUP(B3454,Enero!$B$2:$G$5822,4,0),"")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IFERROR(VLOOKUP(B3455,Enero!$B$2:$G$5822,4,0),"")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IFERROR(VLOOKUP(B3456,Enero!$B$2:$G$5822,4,0),"")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IFERROR(VLOOKUP(B3457,Enero!$B$2:$G$5822,4,0),"")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IFERROR(VLOOKUP(B3458,Enero!$B$2:$G$5822,4,0),"")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IFERROR(VLOOKUP(B3459,Enero!$B$2:$G$5822,4,0),"")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IFERROR(VLOOKUP(B3460,Enero!$B$2:$G$5822,4,0),"")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IFERROR(VLOOKUP(B3461,Enero!$B$2:$G$5822,4,0),"")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IFERROR(VLOOKUP(B3462,Enero!$B$2:$G$5822,4,0),"")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IFERROR(VLOOKUP(B3463,Enero!$B$2:$G$5822,4,0),"")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IFERROR(VLOOKUP(B3464,Enero!$B$2:$G$5822,4,0),"")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IFERROR(VLOOKUP(B3465,Enero!$B$2:$G$5822,4,0),"")</f>
        <v>ACTPETF</v>
      </c>
    </row>
    <row r="3466" spans="1:7" x14ac:dyDescent="0.25">
      <c r="A3466" s="11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IFERROR(VLOOKUP(B3466,Enero!$B$2:$G$5822,4,0),"")</f>
        <v>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IFERROR(VLOOKUP(B3467,Enero!$B$2:$G$5822,4,0),"")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IFERROR(VLOOKUP(B3468,Enero!$B$2:$G$5822,4,0),"")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IFERROR(VLOOKUP(B3469,Enero!$B$2:$G$5822,4,0),"")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IFERROR(VLOOKUP(B3470,Enero!$B$2:$G$5822,4,0),"")</f>
        <v>BM</v>
      </c>
    </row>
    <row r="3471" spans="1:7" x14ac:dyDescent="0.25">
      <c r="A3471" s="11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IFERROR(VLOOKUP(B3471,Enero!$B$2:$G$5822,4,0),"")</f>
        <v>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IFERROR(VLOOKUP(B3472,Enero!$B$2:$G$5822,4,0),"")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IFERROR(VLOOKUP(B3473,Enero!$B$2:$G$5822,4,0),"")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IFERROR(VLOOKUP(B3474,Enero!$B$2:$G$5822,4,0),"")</f>
        <v>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IFERROR(VLOOKUP(B3475,Enero!$B$2:$G$5822,4,0),"")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IFERROR(VLOOKUP(B3476,Enero!$B$2:$G$5822,4,0),"")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IFERROR(VLOOKUP(B3477,Enero!$B$2:$G$5822,4,0),"")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IFERROR(VLOOKUP(B3478,Enero!$B$2:$G$5822,4,0),"")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IFERROR(VLOOKUP(B3479,Enero!$B$2:$G$5822,4,0),"")</f>
        <v>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IFERROR(VLOOKUP(B3480,Enero!$B$2:$G$5822,4,0),"")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IFERROR(VLOOKUP(B3481,Enero!$B$2:$G$5822,4,0),"")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IFERROR(VLOOKUP(B3482,Enero!$B$2:$G$5822,4,0),"")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IFERROR(VLOOKUP(B3483,Enero!$B$2:$G$5822,4,0),"")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IFERROR(VLOOKUP(B3484,Enero!$B$2:$G$5822,4,0),"")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IFERROR(VLOOKUP(B3485,Enero!$B$2:$G$5822,4,0),"")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IFERROR(VLOOKUP(B3486,Enero!$B$2:$G$5822,4,0),"")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IFERROR(VLOOKUP(B3487,Enero!$B$2:$G$5822,4,0),"")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IFERROR(VLOOKUP(B3488,Enero!$B$2:$G$5822,4,0),"")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IFERROR(VLOOKUP(B3489,Enero!$B$2:$G$5822,4,0),"")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IFERROR(VLOOKUP(B3490,Enero!$B$2:$G$5822,4,0),"")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IFERROR(VLOOKUP(B3491,Enero!$B$2:$G$5822,4,0),"")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IFERROR(VLOOKUP(B3492,Enero!$B$2:$G$5822,4,0),"")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IFERROR(VLOOKUP(B3493,Enero!$B$2:$G$5822,4,0),"")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IFERROR(VLOOKUP(B3494,Enero!$B$2:$G$5822,4,0),"")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IFERROR(VLOOKUP(B3495,Enero!$B$2:$G$5822,4,0),"")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IFERROR(VLOOKUP(B3496,Enero!$B$2:$G$5822,4,0),"")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IFERROR(VLOOKUP(B3497,Enero!$B$2:$G$5822,4,0),"")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IFERROR(VLOOKUP(B3498,Enero!$B$2:$G$5822,4,0),"")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IFERROR(VLOOKUP(B3499,Enero!$B$2:$G$5822,4,0),"")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IFERROR(VLOOKUP(B3500,Enero!$B$2:$G$5822,4,0),"")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IFERROR(VLOOKUP(B3501,Enero!$B$2:$G$5822,4,0),"")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IFERROR(VLOOKUP(B3502,Enero!$B$2:$G$5822,4,0),"")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IFERROR(VLOOKUP(B3503,Enero!$B$2:$G$5822,4,0),"")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IFERROR(VLOOKUP(B3504,Enero!$B$2:$G$5822,4,0),"")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IFERROR(VLOOKUP(B3505,Enero!$B$2:$G$5822,4,0),"")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IFERROR(VLOOKUP(B3506,Enero!$B$2:$G$5822,4,0),"")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IFERROR(VLOOKUP(B3507,Enero!$B$2:$G$5822,4,0),"")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IFERROR(VLOOKUP(B3508,Enero!$B$2:$G$5822,4,0),"")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IFERROR(VLOOKUP(B3509,Enero!$B$2:$G$5822,4,0),"")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IFERROR(VLOOKUP(B3510,Enero!$B$2:$G$5822,4,0),"")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IFERROR(VLOOKUP(B3511,Enero!$B$2:$G$5822,4,0),"")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IFERROR(VLOOKUP(B3512,Enero!$B$2:$G$5822,4,0),"")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IFERROR(VLOOKUP(B3513,Enero!$B$2:$G$5822,4,0),"")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IFERROR(VLOOKUP(B3514,Enero!$B$2:$G$5822,4,0),"")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IFERROR(VLOOKUP(B3515,Enero!$B$2:$G$5822,4,0),"")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IFERROR(VLOOKUP(B3516,Enero!$B$2:$G$5822,4,0),"")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IFERROR(VLOOKUP(B3517,Enero!$B$2:$G$5822,4,0),"")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IFERROR(VLOOKUP(B3518,Enero!$B$2:$G$5822,4,0),"")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IFERROR(VLOOKUP(B3519,Enero!$B$2:$G$5822,4,0),"")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IFERROR(VLOOKUP(B3520,Enero!$B$2:$G$5822,4,0),"")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IFERROR(VLOOKUP(B3521,Enero!$B$2:$G$5822,4,0),"")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IFERROR(VLOOKUP(B3522,Enero!$B$2:$G$5822,4,0),"")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IFERROR(VLOOKUP(B3523,Enero!$B$2:$G$5822,4,0),"")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IFERROR(VLOOKUP(B3524,Enero!$B$2:$G$5822,4,0),"")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IFERROR(VLOOKUP(B3525,Enero!$B$2:$G$5822,4,0),"")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IFERROR(VLOOKUP(B3526,Enero!$B$2:$G$5822,4,0),"")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IFERROR(VLOOKUP(B3527,Enero!$B$2:$G$5822,4,0),"")</f>
        <v>INACTPETS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IFERROR(VLOOKUP(B3528,Enero!$B$2:$G$5822,4,0),"")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IFERROR(VLOOKUP(B3529,Enero!$B$2:$G$5822,4,0),"")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IFERROR(VLOOKUP(B3530,Enero!$B$2:$G$5822,4,0),"")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IFERROR(VLOOKUP(B3531,Enero!$B$2:$G$5822,4,0),"")</f>
        <v>BM</v>
      </c>
    </row>
    <row r="3532" spans="1:7" x14ac:dyDescent="0.25">
      <c r="A3532" s="11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IFERROR(VLOOKUP(B3532,Enero!$B$2:$G$5822,4,0),"")</f>
        <v>BM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tr">
        <f>IFERROR(VLOOKUP(B3533,Enero!$B$2:$G$5822,4,0),"")</f>
        <v>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IFERROR(VLOOKUP(B3534,Enero!$B$2:$G$5822,4,0),"")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IFERROR(VLOOKUP(B3535,Enero!$B$2:$G$5822,4,0),"")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IFERROR(VLOOKUP(B3536,Enero!$B$2:$G$5822,4,0),"")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IFERROR(VLOOKUP(B3537,Enero!$B$2:$G$5822,4,0),"")</f>
        <v>BM</v>
      </c>
    </row>
    <row r="3538" spans="1:7" x14ac:dyDescent="0.25">
      <c r="A3538" s="11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IFERROR(VLOOKUP(B3538,Enero!$B$2:$G$5822,4,0),"")</f>
        <v>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IFERROR(VLOOKUP(B3539,Enero!$B$2:$G$5822,4,0),"")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IFERROR(VLOOKUP(B3540,Enero!$B$2:$G$5822,4,0),"")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IFERROR(VLOOKUP(B3541,Enero!$B$2:$G$5822,4,0),"")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IFERROR(VLOOKUP(B3542,Enero!$B$2:$G$5822,4,0),"")</f>
        <v>ACTINYA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IFERROR(VLOOKUP(B3543,Enero!$B$2:$G$5822,4,0),"")</f>
        <v>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IFERROR(VLOOKUP(B3544,Enero!$B$2:$G$5822,4,0),"")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IFERROR(VLOOKUP(B3545,Enero!$B$2:$G$5822,4,0),"")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IFERROR(VLOOKUP(B3546,Enero!$B$2:$G$5822,4,0),"")</f>
        <v>BM</v>
      </c>
    </row>
    <row r="3547" spans="1:7" x14ac:dyDescent="0.25">
      <c r="A3547" s="11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IFERROR(VLOOKUP(B3547,Enero!$B$2:$G$5822,4,0),"")</f>
        <v>INACTPETF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IFERROR(VLOOKUP(B3548,Enero!$B$2:$G$5822,4,0),"")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IFERROR(VLOOKUP(B3549,Enero!$B$2:$G$5822,4,0),"")</f>
        <v>BM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IFERROR(VLOOKUP(B3550,Enero!$B$2:$G$5822,4,0),"")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IFERROR(VLOOKUP(B3551,Enero!$B$2:$G$5822,4,0),"")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IFERROR(VLOOKUP(B3552,Enero!$B$2:$G$5822,4,0),"")</f>
        <v>BM</v>
      </c>
    </row>
    <row r="3553" spans="1:7" x14ac:dyDescent="0.25">
      <c r="A3553" s="11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IFERROR(VLOOKUP(B3553,Enero!$B$2:$G$5822,4,0),"")</f>
        <v>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IFERROR(VLOOKUP(B3554,Enero!$B$2:$G$5822,4,0),"")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IFERROR(VLOOKUP(B3555,Enero!$B$2:$G$5822,4,0),"")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IFERROR(VLOOKUP(B3556,Enero!$B$2:$G$5822,4,0),"")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IFERROR(VLOOKUP(B3557,Enero!$B$2:$G$5822,4,0),"")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IFERROR(VLOOKUP(B3558,Enero!$B$2:$G$5822,4,0),"")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IFERROR(VLOOKUP(B3559,Enero!$B$2:$G$5822,4,0),"")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IFERROR(VLOOKUP(B3560,Enero!$B$2:$G$5822,4,0),"")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IFERROR(VLOOKUP(B3561,Enero!$B$2:$G$5822,4,0),"")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IFERROR(VLOOKUP(B3562,Enero!$B$2:$G$5822,4,0),"")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IFERROR(VLOOKUP(B3563,Enero!$B$2:$G$5822,4,0),"")</f>
        <v>BM</v>
      </c>
    </row>
    <row r="3564" spans="1:7" x14ac:dyDescent="0.25">
      <c r="A3564" s="11"/>
      <c r="B3564" s="4" t="s">
        <v>3476</v>
      </c>
      <c r="C3564" s="4" t="s">
        <v>11</v>
      </c>
      <c r="D3564" s="4" t="s">
        <v>11</v>
      </c>
      <c r="E3564" s="4" t="s">
        <v>11</v>
      </c>
      <c r="F3564" s="4" t="s">
        <v>1270</v>
      </c>
      <c r="G3564" s="5" t="str">
        <f>IFERROR(VLOOKUP(B3564,Enero!$B$2:$G$5822,4,0),"")</f>
        <v>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IFERROR(VLOOKUP(B3565,Enero!$B$2:$G$5822,4,0),"")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IFERROR(VLOOKUP(B3566,Enero!$B$2:$G$5822,4,0),"")</f>
        <v>INACTBM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IFERROR(VLOOKUP(B3567,Enero!$B$2:$G$5822,4,0),"")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IFERROR(VLOOKUP(B3568,Enero!$B$2:$G$5822,4,0),"")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IFERROR(VLOOKUP(B3569,Enero!$B$2:$G$5822,4,0),"")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IFERROR(VLOOKUP(B3570,Enero!$B$2:$G$5822,4,0),"")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IFERROR(VLOOKUP(B3571,Enero!$B$2:$G$5822,4,0),"")</f>
        <v>BM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IFERROR(VLOOKUP(B3572,Enero!$B$2:$G$5822,4,0),"")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IFERROR(VLOOKUP(B3573,Enero!$B$2:$G$5822,4,0),"")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IFERROR(VLOOKUP(B3574,Enero!$B$2:$G$5822,4,0),"")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IFERROR(VLOOKUP(B3575,Enero!$B$2:$G$5822,4,0),"")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IFERROR(VLOOKUP(B3576,Enero!$B$2:$G$5822,4,0),"")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IFERROR(VLOOKUP(B3577,Enero!$B$2:$G$5822,4,0),"")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IFERROR(VLOOKUP(B3578,Enero!$B$2:$G$5822,4,0),"")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IFERROR(VLOOKUP(B3579,Enero!$B$2:$G$5822,4,0),"")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IFERROR(VLOOKUP(B3580,Enero!$B$2:$G$5822,4,0),"")</f>
        <v>BM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tr">
        <f>IFERROR(VLOOKUP(B3581,Enero!$B$2:$G$5822,4,0),"")</f>
        <v>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IFERROR(VLOOKUP(B3582,Enero!$B$2:$G$5822,4,0),"")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IFERROR(VLOOKUP(B3583,Enero!$B$2:$G$5822,4,0),"")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IFERROR(VLOOKUP(B3584,Enero!$B$2:$G$5822,4,0),"")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IFERROR(VLOOKUP(B3585,Enero!$B$2:$G$5822,4,0),"")</f>
        <v>INACTINYA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IFERROR(VLOOKUP(B3586,Enero!$B$2:$G$5822,4,0),"")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IFERROR(VLOOKUP(B3587,Enero!$B$2:$G$5822,4,0),"")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IFERROR(VLOOKUP(B3588,Enero!$B$2:$G$5822,4,0),"")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IFERROR(VLOOKUP(B3589,Enero!$B$2:$G$5822,4,0),"")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IFERROR(VLOOKUP(B3590,Enero!$B$2:$G$5822,4,0),"")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IFERROR(VLOOKUP(B3591,Enero!$B$2:$G$5822,4,0),"")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IFERROR(VLOOKUP(B3592,Enero!$B$2:$G$5822,4,0),"")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IFERROR(VLOOKUP(B3593,Enero!$B$2:$G$5822,4,0),"")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IFERROR(VLOOKUP(B3594,Enero!$B$2:$G$5822,4,0),"")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IFERROR(VLOOKUP(B3595,Enero!$B$2:$G$5822,4,0),"")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IFERROR(VLOOKUP(B3596,Enero!$B$2:$G$5822,4,0),"")</f>
        <v>BM</v>
      </c>
    </row>
    <row r="3597" spans="1:7" x14ac:dyDescent="0.25">
      <c r="A3597" s="11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tr">
        <f>IFERROR(VLOOKUP(B3597,Enero!$B$2:$G$5822,4,0),"")</f>
        <v>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IFERROR(VLOOKUP(B3598,Enero!$B$2:$G$5822,4,0),"")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IFERROR(VLOOKUP(B3599,Enero!$B$2:$G$5822,4,0),"")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IFERROR(VLOOKUP(B3600,Enero!$B$2:$G$5822,4,0),"")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IFERROR(VLOOKUP(B3601,Enero!$B$2:$G$5822,4,0),"")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IFERROR(VLOOKUP(B3602,Enero!$B$2:$G$5822,4,0),"")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IFERROR(VLOOKUP(B3603,Enero!$B$2:$G$5822,4,0),"")</f>
        <v>PL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IFERROR(VLOOKUP(B3604,Enero!$B$2:$G$5822,4,0),"")</f>
        <v>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IFERROR(VLOOKUP(B3605,Enero!$B$2:$G$5822,4,0),"")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IFERROR(VLOOKUP(B3606,Enero!$B$2:$G$5822,4,0),"")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IFERROR(VLOOKUP(B3607,Enero!$B$2:$G$5822,4,0),"")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IFERROR(VLOOKUP(B3608,Enero!$B$2:$G$5822,4,0),"")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IFERROR(VLOOKUP(B3609,Enero!$B$2:$G$5822,4,0),"")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IFERROR(VLOOKUP(B3610,Enero!$B$2:$G$5822,4,0),"")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IFERROR(VLOOKUP(B3611,Enero!$B$2:$G$5822,4,0),"")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IFERROR(VLOOKUP(B3612,Enero!$B$2:$G$5822,4,0),"")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IFERROR(VLOOKUP(B3613,Enero!$B$2:$G$5822,4,0),"")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IFERROR(VLOOKUP(B3614,Enero!$B$2:$G$5822,4,0),"")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IFERROR(VLOOKUP(B3615,Enero!$B$2:$G$5822,4,0),"")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IFERROR(VLOOKUP(B3616,Enero!$B$2:$G$5822,4,0),"")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IFERROR(VLOOKUP(B3617,Enero!$B$2:$G$5822,4,0),"")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IFERROR(VLOOKUP(B3618,Enero!$B$2:$G$5822,4,0),"")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IFERROR(VLOOKUP(B3619,Enero!$B$2:$G$5822,4,0),"")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IFERROR(VLOOKUP(B3620,Enero!$B$2:$G$5822,4,0),"")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IFERROR(VLOOKUP(B3621,Enero!$B$2:$G$5822,4,0),"")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IFERROR(VLOOKUP(B3622,Enero!$B$2:$G$5822,4,0),"")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IFERROR(VLOOKUP(B3623,Enero!$B$2:$G$5822,4,0),"")</f>
        <v>BM</v>
      </c>
    </row>
    <row r="3624" spans="1:7" x14ac:dyDescent="0.25">
      <c r="A3624" s="11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IFERROR(VLOOKUP(B3624,Enero!$B$2:$G$5822,4,0),"")</f>
        <v>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IFERROR(VLOOKUP(B3625,Enero!$B$2:$G$5822,4,0),"")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IFERROR(VLOOKUP(B3626,Enero!$B$2:$G$5822,4,0),"")</f>
        <v>BM</v>
      </c>
    </row>
    <row r="3627" spans="1:7" x14ac:dyDescent="0.25">
      <c r="A3627" s="11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IFERROR(VLOOKUP(B3627,Enero!$B$2:$G$5822,4,0),"")</f>
        <v>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IFERROR(VLOOKUP(B3628,Enero!$B$2:$G$5822,4,0),"")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IFERROR(VLOOKUP(B3629,Enero!$B$2:$G$5822,4,0),"")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IFERROR(VLOOKUP(B3630,Enero!$B$2:$G$5822,4,0),"")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IFERROR(VLOOKUP(B3631,Enero!$B$2:$G$5822,4,0),"")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IFERROR(VLOOKUP(B3632,Enero!$B$2:$G$5822,4,0),"")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IFERROR(VLOOKUP(B3633,Enero!$B$2:$G$5822,4,0),"")</f>
        <v>BM</v>
      </c>
    </row>
    <row r="3634" spans="1:7" x14ac:dyDescent="0.25">
      <c r="A3634" s="11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IFERROR(VLOOKUP(B3634,Enero!$B$2:$G$5822,4,0),"")</f>
        <v>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IFERROR(VLOOKUP(B3635,Enero!$B$2:$G$5822,4,0),"")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IFERROR(VLOOKUP(B3636,Enero!$B$2:$G$5822,4,0),"")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IFERROR(VLOOKUP(B3637,Enero!$B$2:$G$5822,4,0),"")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IFERROR(VLOOKUP(B3638,Enero!$B$2:$G$5822,4,0),"")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IFERROR(VLOOKUP(B3639,Enero!$B$2:$G$5822,4,0),"")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IFERROR(VLOOKUP(B3640,Enero!$B$2:$G$5822,4,0),"")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IFERROR(VLOOKUP(B3641,Enero!$B$2:$G$5822,4,0),"")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IFERROR(VLOOKUP(B3642,Enero!$B$2:$G$5822,4,0),"")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IFERROR(VLOOKUP(B3643,Enero!$B$2:$G$5822,4,0),"")</f>
        <v>BM</v>
      </c>
    </row>
    <row r="3644" spans="1:7" x14ac:dyDescent="0.25">
      <c r="A3644" s="11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IFERROR(VLOOKUP(B3644,Enero!$B$2:$G$5822,4,0),"")</f>
        <v>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IFERROR(VLOOKUP(B3645,Enero!$B$2:$G$5822,4,0),"")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IFERROR(VLOOKUP(B3646,Enero!$B$2:$G$5822,4,0),"")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IFERROR(VLOOKUP(B3647,Enero!$B$2:$G$5822,4,0),"")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IFERROR(VLOOKUP(B3648,Enero!$B$2:$G$5822,4,0),"")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IFERROR(VLOOKUP(B3649,Enero!$B$2:$G$5822,4,0),"")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IFERROR(VLOOKUP(B3650,Enero!$B$2:$G$5822,4,0),"")</f>
        <v>BM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IFERROR(VLOOKUP(B3651,Enero!$B$2:$G$5822,4,0),"")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IFERROR(VLOOKUP(B3652,Enero!$B$2:$G$5822,4,0),"")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IFERROR(VLOOKUP(B3653,Enero!$B$2:$G$5822,4,0),"")</f>
        <v>BM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tr">
        <f>IFERROR(VLOOKUP(B3654,Enero!$B$2:$G$5822,4,0),"")</f>
        <v>BM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IFERROR(VLOOKUP(B3655,Enero!$B$2:$G$5822,4,0),"")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IFERROR(VLOOKUP(B3656,Enero!$B$2:$G$5822,4,0),"")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IFERROR(VLOOKUP(B3657,Enero!$B$2:$G$5822,4,0),"")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IFERROR(VLOOKUP(B3658,Enero!$B$2:$G$5822,4,0),"")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IFERROR(VLOOKUP(B3659,Enero!$B$2:$G$5822,4,0),"")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IFERROR(VLOOKUP(B3660,Enero!$B$2:$G$5822,4,0),"")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IFERROR(VLOOKUP(B3661,Enero!$B$2:$G$5822,4,0),"")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IFERROR(VLOOKUP(B3662,Enero!$B$2:$G$5822,4,0),"")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IFERROR(VLOOKUP(B3663,Enero!$B$2:$G$5822,4,0),"")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IFERROR(VLOOKUP(B3664,Enero!$B$2:$G$5822,4,0),"")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IFERROR(VLOOKUP(B3665,Enero!$B$2:$G$5822,4,0),"")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IFERROR(VLOOKUP(B3666,Enero!$B$2:$G$5822,4,0),"")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IFERROR(VLOOKUP(B3667,Enero!$B$2:$G$5822,4,0),"")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IFERROR(VLOOKUP(B3668,Enero!$B$2:$G$5822,4,0),"")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IFERROR(VLOOKUP(B3669,Enero!$B$2:$G$5822,4,0),"")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IFERROR(VLOOKUP(B3670,Enero!$B$2:$G$5822,4,0),"")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IFERROR(VLOOKUP(B3671,Enero!$B$2:$G$5822,4,0),"")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IFERROR(VLOOKUP(B3672,Enero!$B$2:$G$5822,4,0),"")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IFERROR(VLOOKUP(B3673,Enero!$B$2:$G$5822,4,0),"")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IFERROR(VLOOKUP(B3674,Enero!$B$2:$G$5822,4,0),"")</f>
        <v>BM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IFERROR(VLOOKUP(B3675,Enero!$B$2:$G$5822,4,0),"")</f>
        <v>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IFERROR(VLOOKUP(B3676,Enero!$B$2:$G$5822,4,0),"")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IFERROR(VLOOKUP(B3677,Enero!$B$2:$G$5822,4,0),"")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IFERROR(VLOOKUP(B3678,Enero!$B$2:$G$5822,4,0),"")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IFERROR(VLOOKUP(B3679,Enero!$B$2:$G$5822,4,0),"")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IFERROR(VLOOKUP(B3680,Enero!$B$2:$G$5822,4,0),"")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IFERROR(VLOOKUP(B3681,Enero!$B$2:$G$5822,4,0),"")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IFERROR(VLOOKUP(B3682,Enero!$B$2:$G$5822,4,0),"")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IFERROR(VLOOKUP(B3683,Enero!$B$2:$G$5822,4,0),"")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IFERROR(VLOOKUP(B3684,Enero!$B$2:$G$5822,4,0),"")</f>
        <v>BM</v>
      </c>
    </row>
    <row r="3685" spans="1:7" x14ac:dyDescent="0.25">
      <c r="A3685" s="11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IFERROR(VLOOKUP(B3685,Enero!$B$2:$G$5822,4,0),"")</f>
        <v>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IFERROR(VLOOKUP(B3686,Enero!$B$2:$G$5822,4,0),"")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IFERROR(VLOOKUP(B3687,Enero!$B$2:$G$5822,4,0),"")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IFERROR(VLOOKUP(B3688,Enero!$B$2:$G$5822,4,0),"")</f>
        <v>BM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IFERROR(VLOOKUP(B3689,Enero!$B$2:$G$5822,4,0),"")</f>
        <v>BM</v>
      </c>
    </row>
    <row r="3690" spans="1:7" x14ac:dyDescent="0.25">
      <c r="A3690" s="11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IFERROR(VLOOKUP(B3690,Enero!$B$2:$G$5822,4,0),"")</f>
        <v>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IFERROR(VLOOKUP(B3691,Enero!$B$2:$G$5822,4,0),"")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IFERROR(VLOOKUP(B3692,Enero!$B$2:$G$5822,4,0),"")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IFERROR(VLOOKUP(B3693,Enero!$B$2:$G$5822,4,0),"")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IFERROR(VLOOKUP(B3694,Enero!$B$2:$G$5822,4,0),"")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IFERROR(VLOOKUP(B3695,Enero!$B$2:$G$5822,4,0),"")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IFERROR(VLOOKUP(B3696,Enero!$B$2:$G$5822,4,0),"")</f>
        <v>BM</v>
      </c>
    </row>
    <row r="3697" spans="1:7" x14ac:dyDescent="0.25">
      <c r="A3697" s="11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IFERROR(VLOOKUP(B3697,Enero!$B$2:$G$5822,4,0),"")</f>
        <v>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IFERROR(VLOOKUP(B3698,Enero!$B$2:$G$5822,4,0),"")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IFERROR(VLOOKUP(B3699,Enero!$B$2:$G$5822,4,0),"")</f>
        <v>BM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IFERROR(VLOOKUP(B3700,Enero!$B$2:$G$5822,4,0),"")</f>
        <v>BM</v>
      </c>
    </row>
    <row r="3701" spans="1:7" x14ac:dyDescent="0.25">
      <c r="A3701" s="11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IFERROR(VLOOKUP(B3701,Enero!$B$2:$G$5822,4,0),"")</f>
        <v>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IFERROR(VLOOKUP(B3702,Enero!$B$2:$G$5822,4,0),"")</f>
        <v>BM</v>
      </c>
    </row>
    <row r="3703" spans="1:7" x14ac:dyDescent="0.25">
      <c r="A3703" s="11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IFERROR(VLOOKUP(B3703,Enero!$B$2:$G$5822,4,0),"")</f>
        <v>BM</v>
      </c>
    </row>
    <row r="3704" spans="1:7" x14ac:dyDescent="0.25">
      <c r="A3704" s="11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tr">
        <f>IFERROR(VLOOKUP(B3704,Enero!$B$2:$G$5822,4,0),"")</f>
        <v>ACTPETS</v>
      </c>
    </row>
    <row r="3705" spans="1:7" x14ac:dyDescent="0.25">
      <c r="A3705" s="11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tr">
        <f>IFERROR(VLOOKUP(B3705,Enero!$B$2:$G$5822,4,0),"")</f>
        <v>INACTBM</v>
      </c>
    </row>
    <row r="3706" spans="1:7" x14ac:dyDescent="0.25">
      <c r="A3706" s="11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IFERROR(VLOOKUP(B3706,Enero!$B$2:$G$5822,4,0),"")</f>
        <v>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IFERROR(VLOOKUP(B3707,Enero!$B$2:$G$5822,4,0),"")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IFERROR(VLOOKUP(B3708,Enero!$B$2:$G$5822,4,0),"")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IFERROR(VLOOKUP(B3709,Enero!$B$2:$G$5822,4,0),"")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IFERROR(VLOOKUP(B3710,Enero!$B$2:$G$5822,4,0),"")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IFERROR(VLOOKUP(B3711,Enero!$B$2:$G$5822,4,0),"")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IFERROR(VLOOKUP(B3712,Enero!$B$2:$G$5822,4,0),"")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IFERROR(VLOOKUP(B3713,Enero!$B$2:$G$5822,4,0),"")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IFERROR(VLOOKUP(B3714,Enero!$B$2:$G$5822,4,0),"")</f>
        <v>BM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IFERROR(VLOOKUP(B3715,Enero!$B$2:$G$5822,4,0),"")</f>
        <v>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tr">
        <f>IFERROR(VLOOKUP(B3716,Enero!$B$2:$G$5822,4,0),"")</f>
        <v>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IFERROR(VLOOKUP(B3717,Enero!$B$2:$G$5822,4,0),"")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IFERROR(VLOOKUP(B3718,Enero!$B$2:$G$5822,4,0),"")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IFERROR(VLOOKUP(B3719,Enero!$B$2:$G$5822,4,0),"")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IFERROR(VLOOKUP(B3720,Enero!$B$2:$G$5822,4,0),"")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IFERROR(VLOOKUP(B3721,Enero!$B$2:$G$5822,4,0),"")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IFERROR(VLOOKUP(B3722,Enero!$B$2:$G$5822,4,0),"")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IFERROR(VLOOKUP(B3723,Enero!$B$2:$G$5822,4,0),"")</f>
        <v>BM</v>
      </c>
    </row>
    <row r="3724" spans="1:7" x14ac:dyDescent="0.25">
      <c r="A3724" s="11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IFERROR(VLOOKUP(B3724,Enero!$B$2:$G$5822,4,0),"")</f>
        <v>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IFERROR(VLOOKUP(B3725,Enero!$B$2:$G$5822,4,0),"")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IFERROR(VLOOKUP(B3726,Enero!$B$2:$G$5822,4,0),"")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IFERROR(VLOOKUP(B3727,Enero!$B$2:$G$5822,4,0),"")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IFERROR(VLOOKUP(B3728,Enero!$B$2:$G$5822,4,0),"")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IFERROR(VLOOKUP(B3729,Enero!$B$2:$G$5822,4,0),"")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IFERROR(VLOOKUP(B3730,Enero!$B$2:$G$5822,4,0),"")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IFERROR(VLOOKUP(B3731,Enero!$B$2:$G$5822,4,0),"")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IFERROR(VLOOKUP(B3732,Enero!$B$2:$G$5822,4,0),"")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IFERROR(VLOOKUP(B3733,Enero!$B$2:$G$5822,4,0),"")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IFERROR(VLOOKUP(B3734,Enero!$B$2:$G$5822,4,0),"")</f>
        <v>BM</v>
      </c>
    </row>
    <row r="3735" spans="1:7" x14ac:dyDescent="0.25">
      <c r="A3735" s="11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IFERROR(VLOOKUP(B3735,Enero!$B$2:$G$5822,4,0),"")</f>
        <v>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IFERROR(VLOOKUP(B3736,Enero!$B$2:$G$5822,4,0),"")</f>
        <v>BM</v>
      </c>
    </row>
    <row r="3737" spans="1:7" x14ac:dyDescent="0.25">
      <c r="A3737" s="11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IFERROR(VLOOKUP(B3737,Enero!$B$2:$G$5822,4,0),"")</f>
        <v>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IFERROR(VLOOKUP(B3738,Enero!$B$2:$G$5822,4,0),"")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IFERROR(VLOOKUP(B3739,Enero!$B$2:$G$5822,4,0),"")</f>
        <v>BM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IFERROR(VLOOKUP(B3740,Enero!$B$2:$G$5822,4,0),"")</f>
        <v>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IFERROR(VLOOKUP(B3741,Enero!$B$2:$G$5822,4,0),"")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IFERROR(VLOOKUP(B3742,Enero!$B$2:$G$5822,4,0),"")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IFERROR(VLOOKUP(B3743,Enero!$B$2:$G$5822,4,0),"")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IFERROR(VLOOKUP(B3744,Enero!$B$2:$G$5822,4,0),"")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IFERROR(VLOOKUP(B3745,Enero!$B$2:$G$5822,4,0),"")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IFERROR(VLOOKUP(B3746,Enero!$B$2:$G$5822,4,0),"")</f>
        <v>INACTBM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IFERROR(VLOOKUP(B3747,Enero!$B$2:$G$5822,4,0),"")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IFERROR(VLOOKUP(B3748,Enero!$B$2:$G$5822,4,0),"")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IFERROR(VLOOKUP(B3749,Enero!$B$2:$G$5822,4,0),"")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IFERROR(VLOOKUP(B3750,Enero!$B$2:$G$5822,4,0),"")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IFERROR(VLOOKUP(B3751,Enero!$B$2:$G$5822,4,0),"")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IFERROR(VLOOKUP(B3752,Enero!$B$2:$G$5822,4,0),"")</f>
        <v>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IFERROR(VLOOKUP(B3753,Enero!$B$2:$G$5822,4,0),"")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IFERROR(VLOOKUP(B3754,Enero!$B$2:$G$5822,4,0),"")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IFERROR(VLOOKUP(B3755,Enero!$B$2:$G$5822,4,0),"")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IFERROR(VLOOKUP(B3756,Enero!$B$2:$G$5822,4,0),"")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IFERROR(VLOOKUP(B3757,Enero!$B$2:$G$5822,4,0),"")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IFERROR(VLOOKUP(B3758,Enero!$B$2:$G$5822,4,0),"")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IFERROR(VLOOKUP(B3759,Enero!$B$2:$G$5822,4,0),"")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IFERROR(VLOOKUP(B3760,Enero!$B$2:$G$5822,4,0),"")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IFERROR(VLOOKUP(B3761,Enero!$B$2:$G$5822,4,0),"")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IFERROR(VLOOKUP(B3762,Enero!$B$2:$G$5822,4,0),"")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IFERROR(VLOOKUP(B3763,Enero!$B$2:$G$5822,4,0),"")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IFERROR(VLOOKUP(B3764,Enero!$B$2:$G$5822,4,0),"")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IFERROR(VLOOKUP(B3765,Enero!$B$2:$G$5822,4,0),"")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IFERROR(VLOOKUP(B3766,Enero!$B$2:$G$5822,4,0),"")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IFERROR(VLOOKUP(B3767,Enero!$B$2:$G$5822,4,0),"")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IFERROR(VLOOKUP(B3768,Enero!$B$2:$G$5822,4,0),"")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IFERROR(VLOOKUP(B3769,Enero!$B$2:$G$5822,4,0),"")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IFERROR(VLOOKUP(B3770,Enero!$B$2:$G$5822,4,0),"")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IFERROR(VLOOKUP(B3771,Enero!$B$2:$G$5822,4,0),"")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IFERROR(VLOOKUP(B3772,Enero!$B$2:$G$5822,4,0),"")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IFERROR(VLOOKUP(B3773,Enero!$B$2:$G$5822,4,0),"")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IFERROR(VLOOKUP(B3774,Enero!$B$2:$G$5822,4,0),"")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IFERROR(VLOOKUP(B3775,Enero!$B$2:$G$5822,4,0),"")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IFERROR(VLOOKUP(B3776,Enero!$B$2:$G$5822,4,0),"")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IFERROR(VLOOKUP(B3777,Enero!$B$2:$G$5822,4,0),"")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IFERROR(VLOOKUP(B3778,Enero!$B$2:$G$5822,4,0),"")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IFERROR(VLOOKUP(B3779,Enero!$B$2:$G$5822,4,0),"")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IFERROR(VLOOKUP(B3780,Enero!$B$2:$G$5822,4,0),"")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IFERROR(VLOOKUP(B3781,Enero!$B$2:$G$5822,4,0),"")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IFERROR(VLOOKUP(B3782,Enero!$B$2:$G$5822,4,0),"")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IFERROR(VLOOKUP(B3783,Enero!$B$2:$G$5822,4,0),"")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IFERROR(VLOOKUP(B3784,Enero!$B$2:$G$5822,4,0),"")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IFERROR(VLOOKUP(B3785,Enero!$B$2:$G$5822,4,0),"")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IFERROR(VLOOKUP(B3786,Enero!$B$2:$G$5822,4,0),"")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IFERROR(VLOOKUP(B3787,Enero!$B$2:$G$5822,4,0),"")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IFERROR(VLOOKUP(B3788,Enero!$B$2:$G$5822,4,0),"")</f>
        <v>BM</v>
      </c>
    </row>
    <row r="3789" spans="1:7" x14ac:dyDescent="0.25">
      <c r="A3789" s="11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IFERROR(VLOOKUP(B3789,Enero!$B$2:$G$5822,4,0),"")</f>
        <v>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IFERROR(VLOOKUP(B3790,Enero!$B$2:$G$5822,4,0),"")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IFERROR(VLOOKUP(B3791,Enero!$B$2:$G$5822,4,0),"")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IFERROR(VLOOKUP(B3792,Enero!$B$2:$G$5822,4,0),"")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IFERROR(VLOOKUP(B3793,Enero!$B$2:$G$5822,4,0),"")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IFERROR(VLOOKUP(B3794,Enero!$B$2:$G$5822,4,0),"")</f>
        <v>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IFERROR(VLOOKUP(B3795,Enero!$B$2:$G$5822,4,0),"")</f>
        <v>BM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IFERROR(VLOOKUP(B3796,Enero!$B$2:$G$5822,4,0),"")</f>
        <v>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IFERROR(VLOOKUP(B3797,Enero!$B$2:$G$5822,4,0),"")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IFERROR(VLOOKUP(B3798,Enero!$B$2:$G$5822,4,0),"")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IFERROR(VLOOKUP(B3799,Enero!$B$2:$G$5822,4,0),"")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IFERROR(VLOOKUP(B3800,Enero!$B$2:$G$5822,4,0),"")</f>
        <v>BM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IFERROR(VLOOKUP(B3801,Enero!$B$2:$G$5822,4,0),"")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IFERROR(VLOOKUP(B3802,Enero!$B$2:$G$5822,4,0),"")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IFERROR(VLOOKUP(B3803,Enero!$B$2:$G$5822,4,0),"")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IFERROR(VLOOKUP(B3804,Enero!$B$2:$G$5822,4,0),"")</f>
        <v>BM</v>
      </c>
    </row>
    <row r="3805" spans="1:7" x14ac:dyDescent="0.25">
      <c r="A3805" s="11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IFERROR(VLOOKUP(B3805,Enero!$B$2:$G$5822,4,0),"")</f>
        <v>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IFERROR(VLOOKUP(B3806,Enero!$B$2:$G$5822,4,0),"")</f>
        <v>BM</v>
      </c>
    </row>
    <row r="3807" spans="1:7" x14ac:dyDescent="0.25">
      <c r="A3807" s="11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IFERROR(VLOOKUP(B3807,Enero!$B$2:$G$5822,4,0),"")</f>
        <v>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IFERROR(VLOOKUP(B3808,Enero!$B$2:$G$5822,4,0),"")</f>
        <v>BM</v>
      </c>
    </row>
    <row r="3809" spans="1:7" x14ac:dyDescent="0.25">
      <c r="A3809" s="11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IFERROR(VLOOKUP(B3809,Enero!$B$2:$G$5822,4,0),"")</f>
        <v>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IFERROR(VLOOKUP(B3810,Enero!$B$2:$G$5822,4,0),"")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IFERROR(VLOOKUP(B3811,Enero!$B$2:$G$5822,4,0),"")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IFERROR(VLOOKUP(B3812,Enero!$B$2:$G$5822,4,0),"")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IFERROR(VLOOKUP(B3813,Enero!$B$2:$G$5822,4,0),"")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IFERROR(VLOOKUP(B3814,Enero!$B$2:$G$5822,4,0),"")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IFERROR(VLOOKUP(B3815,Enero!$B$2:$G$5822,4,0),"")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IFERROR(VLOOKUP(B3816,Enero!$B$2:$G$5822,4,0),"")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IFERROR(VLOOKUP(B3817,Enero!$B$2:$G$5822,4,0),"")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IFERROR(VLOOKUP(B3818,Enero!$B$2:$G$5822,4,0),"")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IFERROR(VLOOKUP(B3819,Enero!$B$2:$G$5822,4,0),"")</f>
        <v>INACTBM</v>
      </c>
    </row>
    <row r="3820" spans="1:7" x14ac:dyDescent="0.25">
      <c r="A3820" s="11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IFERROR(VLOOKUP(B3820,Enero!$B$2:$G$5822,4,0),"")</f>
        <v>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IFERROR(VLOOKUP(B3821,Enero!$B$2:$G$5822,4,0),"")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IFERROR(VLOOKUP(B3822,Enero!$B$2:$G$5822,4,0),"")</f>
        <v>BM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tr">
        <f>IFERROR(VLOOKUP(B3823,Enero!$B$2:$G$5822,4,0),"")</f>
        <v>INACTBM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IFERROR(VLOOKUP(B3824,Enero!$B$2:$G$5822,4,0),"")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IFERROR(VLOOKUP(B3825,Enero!$B$2:$G$5822,4,0),"")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IFERROR(VLOOKUP(B3826,Enero!$B$2:$G$5822,4,0),"")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IFERROR(VLOOKUP(B3827,Enero!$B$2:$G$5822,4,0),"")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IFERROR(VLOOKUP(B3828,Enero!$B$2:$G$5822,4,0),"")</f>
        <v>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IFERROR(VLOOKUP(B3829,Enero!$B$2:$G$5822,4,0),"")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IFERROR(VLOOKUP(B3830,Enero!$B$2:$G$5822,4,0),"")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IFERROR(VLOOKUP(B3831,Enero!$B$2:$G$5822,4,0),"")</f>
        <v>BM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IFERROR(VLOOKUP(B3832,Enero!$B$2:$G$5822,4,0),"")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IFERROR(VLOOKUP(B3833,Enero!$B$2:$G$5822,4,0),"")</f>
        <v>BM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IFERROR(VLOOKUP(B3834,Enero!$B$2:$G$5822,4,0),"")</f>
        <v>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IFERROR(VLOOKUP(B3835,Enero!$B$2:$G$5822,4,0),"")</f>
        <v>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tr">
        <f>IFERROR(VLOOKUP(B3836,Enero!$B$2:$G$5822,4,0),"")</f>
        <v>INACTBM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IFERROR(VLOOKUP(B3837,Enero!$B$2:$G$5822,4,0),"")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IFERROR(VLOOKUP(B3838,Enero!$B$2:$G$5822,4,0),"")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IFERROR(VLOOKUP(B3839,Enero!$B$2:$G$5822,4,0),"")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IFERROR(VLOOKUP(B3840,Enero!$B$2:$G$5822,4,0),"")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IFERROR(VLOOKUP(B3841,Enero!$B$2:$G$5822,4,0),"")</f>
        <v>BM</v>
      </c>
    </row>
    <row r="3842" spans="1:7" x14ac:dyDescent="0.25">
      <c r="A3842" s="11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tr">
        <f>IFERROR(VLOOKUP(B3842,Enero!$B$2:$G$5822,4,0),"")</f>
        <v>INACTBM</v>
      </c>
    </row>
    <row r="3843" spans="1:7" x14ac:dyDescent="0.25">
      <c r="A3843" s="11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IFERROR(VLOOKUP(B3843,Enero!$B$2:$G$5822,4,0),"")</f>
        <v>BM</v>
      </c>
    </row>
    <row r="3844" spans="1:7" x14ac:dyDescent="0.25">
      <c r="A3844" s="11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IFERROR(VLOOKUP(B3844,Enero!$B$2:$G$5822,4,0),"")</f>
        <v>BM</v>
      </c>
    </row>
    <row r="3845" spans="1:7" x14ac:dyDescent="0.25">
      <c r="A3845" s="11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IFERROR(VLOOKUP(B3845,Enero!$B$2:$G$5822,4,0),"")</f>
        <v>BM</v>
      </c>
    </row>
    <row r="3846" spans="1:7" x14ac:dyDescent="0.25">
      <c r="A3846" s="11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IFERROR(VLOOKUP(B3846,Enero!$B$2:$G$5822,4,0),"")</f>
        <v>BM</v>
      </c>
    </row>
    <row r="3847" spans="1:7" x14ac:dyDescent="0.25">
      <c r="A3847" s="11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IFERROR(VLOOKUP(B3847,Enero!$B$2:$G$5822,4,0),"")</f>
        <v>BM</v>
      </c>
    </row>
    <row r="3848" spans="1:7" x14ac:dyDescent="0.25">
      <c r="A3848" s="11"/>
      <c r="B3848" s="4" t="s">
        <v>3760</v>
      </c>
      <c r="C3848" s="4" t="s">
        <v>11</v>
      </c>
      <c r="D3848" s="4" t="s">
        <v>11</v>
      </c>
      <c r="E3848" s="4" t="s">
        <v>11</v>
      </c>
      <c r="F3848" s="4" t="s">
        <v>1187</v>
      </c>
      <c r="G3848" s="5" t="str">
        <f>IFERROR(VLOOKUP(B3848,Enero!$B$2:$G$5822,4,0),"")</f>
        <v>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IFERROR(VLOOKUP(B3849,Enero!$B$2:$G$5822,4,0),"")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IFERROR(VLOOKUP(B3850,Enero!$B$2:$G$5822,4,0),"")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IFERROR(VLOOKUP(B3851,Enero!$B$2:$G$5822,4,0),"")</f>
        <v>BM</v>
      </c>
    </row>
    <row r="3852" spans="1:7" x14ac:dyDescent="0.25">
      <c r="A3852" s="11"/>
      <c r="B3852" s="4" t="s">
        <v>3764</v>
      </c>
      <c r="C3852" s="4" t="s">
        <v>11</v>
      </c>
      <c r="D3852" s="4" t="s">
        <v>11</v>
      </c>
      <c r="E3852" s="4" t="s">
        <v>11</v>
      </c>
      <c r="F3852" s="4" t="s">
        <v>1036</v>
      </c>
      <c r="G3852" s="5" t="str">
        <f>IFERROR(VLOOKUP(B3852,Enero!$B$2:$G$5822,4,0),"")</f>
        <v>BM</v>
      </c>
    </row>
    <row r="3853" spans="1:7" x14ac:dyDescent="0.25">
      <c r="A3853" s="11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IFERROR(VLOOKUP(B3853,Enero!$B$2:$G$5822,4,0),"")</f>
        <v>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IFERROR(VLOOKUP(B3854,Enero!$B$2:$G$5822,4,0),"")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IFERROR(VLOOKUP(B3855,Enero!$B$2:$G$5822,4,0),"")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IFERROR(VLOOKUP(B3856,Enero!$B$2:$G$5822,4,0),"")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IFERROR(VLOOKUP(B3857,Enero!$B$2:$G$5822,4,0),"")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IFERROR(VLOOKUP(B3858,Enero!$B$2:$G$5822,4,0),"")</f>
        <v>BM</v>
      </c>
    </row>
    <row r="3859" spans="1:7" x14ac:dyDescent="0.25">
      <c r="A3859" s="11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IFERROR(VLOOKUP(B3859,Enero!$B$2:$G$5822,4,0),"")</f>
        <v>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IFERROR(VLOOKUP(B3860,Enero!$B$2:$G$5822,4,0),"")</f>
        <v>BM</v>
      </c>
    </row>
    <row r="3861" spans="1:7" x14ac:dyDescent="0.25">
      <c r="A3861" s="11"/>
      <c r="B3861" s="4" t="s">
        <v>3773</v>
      </c>
      <c r="C3861" s="4" t="s">
        <v>11</v>
      </c>
      <c r="D3861" s="4" t="s">
        <v>11</v>
      </c>
      <c r="E3861" s="4" t="s">
        <v>11</v>
      </c>
      <c r="F3861" s="4" t="s">
        <v>1187</v>
      </c>
      <c r="G3861" s="5" t="str">
        <f>IFERROR(VLOOKUP(B3861,Enero!$B$2:$G$5822,4,0),"")</f>
        <v>BM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IFERROR(VLOOKUP(B3862,Enero!$B$2:$G$5822,4,0),"")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IFERROR(VLOOKUP(B3863,Enero!$B$2:$G$5822,4,0),"")</f>
        <v>BM</v>
      </c>
    </row>
    <row r="3864" spans="1:7" x14ac:dyDescent="0.25">
      <c r="A3864" s="11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IFERROR(VLOOKUP(B3864,Enero!$B$2:$G$5822,4,0),"")</f>
        <v>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IFERROR(VLOOKUP(B3865,Enero!$B$2:$G$5822,4,0),"")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IFERROR(VLOOKUP(B3866,Enero!$B$2:$G$5822,4,0),"")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IFERROR(VLOOKUP(B3867,Enero!$B$2:$G$5822,4,0),"")</f>
        <v>BM</v>
      </c>
    </row>
    <row r="3868" spans="1:7" x14ac:dyDescent="0.25">
      <c r="A3868" s="11"/>
      <c r="B3868" s="4" t="s">
        <v>3780</v>
      </c>
      <c r="C3868" s="4" t="s">
        <v>11</v>
      </c>
      <c r="D3868" s="4" t="s">
        <v>11</v>
      </c>
      <c r="E3868" s="4" t="s">
        <v>11</v>
      </c>
      <c r="F3868" s="4" t="s">
        <v>137</v>
      </c>
      <c r="G3868" s="5" t="str">
        <f>IFERROR(VLOOKUP(B3868,Enero!$B$2:$G$5822,4,0),"")</f>
        <v>BM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IFERROR(VLOOKUP(B3869,Enero!$B$2:$G$5822,4,0),"")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IFERROR(VLOOKUP(B3870,Enero!$B$2:$G$5822,4,0),"")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IFERROR(VLOOKUP(B3871,Enero!$B$2:$G$5822,4,0),"")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IFERROR(VLOOKUP(B3872,Enero!$B$2:$G$5822,4,0),"")</f>
        <v>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IFERROR(VLOOKUP(B3873,Enero!$B$2:$G$5822,4,0),"")</f>
        <v>BM</v>
      </c>
    </row>
    <row r="3874" spans="1:7" x14ac:dyDescent="0.25">
      <c r="A3874" s="11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IFERROR(VLOOKUP(B3874,Enero!$B$2:$G$5822,4,0),"")</f>
        <v>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IFERROR(VLOOKUP(B3875,Enero!$B$2:$G$5822,4,0),"")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IFERROR(VLOOKUP(B3876,Enero!$B$2:$G$5822,4,0),"")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IFERROR(VLOOKUP(B3877,Enero!$B$2:$G$5822,4,0),"")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IFERROR(VLOOKUP(B3878,Enero!$B$2:$G$5822,4,0),"")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IFERROR(VLOOKUP(B3879,Enero!$B$2:$G$5822,4,0),"")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IFERROR(VLOOKUP(B3880,Enero!$B$2:$G$5822,4,0),"")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IFERROR(VLOOKUP(B3881,Enero!$B$2:$G$5822,4,0),"")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IFERROR(VLOOKUP(B3882,Enero!$B$2:$G$5822,4,0),"")</f>
        <v>BM</v>
      </c>
    </row>
    <row r="3883" spans="1:7" x14ac:dyDescent="0.25">
      <c r="A3883" s="11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IFERROR(VLOOKUP(B3883,Enero!$B$2:$G$5822,4,0),"")</f>
        <v>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IFERROR(VLOOKUP(B3884,Enero!$B$2:$G$5822,4,0),"")</f>
        <v>BM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tr">
        <f>IFERROR(VLOOKUP(B3885,Enero!$B$2:$G$5822,4,0),"")</f>
        <v>INACTBM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IFERROR(VLOOKUP(B3886,Enero!$B$2:$G$5822,4,0),"")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IFERROR(VLOOKUP(B3887,Enero!$B$2:$G$5822,4,0),"")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IFERROR(VLOOKUP(B3888,Enero!$B$2:$G$5822,4,0),"")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IFERROR(VLOOKUP(B3889,Enero!$B$2:$G$5822,4,0),"")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IFERROR(VLOOKUP(B3890,Enero!$B$2:$G$5822,4,0),"")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IFERROR(VLOOKUP(B3891,Enero!$B$2:$G$5822,4,0),"")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IFERROR(VLOOKUP(B3892,Enero!$B$2:$G$5822,4,0),"")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IFERROR(VLOOKUP(B3893,Enero!$B$2:$G$5822,4,0),"")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IFERROR(VLOOKUP(B3894,Enero!$B$2:$G$5822,4,0),"")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IFERROR(VLOOKUP(B3895,Enero!$B$2:$G$5822,4,0),"")</f>
        <v>BM</v>
      </c>
    </row>
    <row r="3896" spans="1:7" x14ac:dyDescent="0.25">
      <c r="A3896" s="11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IFERROR(VLOOKUP(B3896,Enero!$B$2:$G$5822,4,0),"")</f>
        <v>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IFERROR(VLOOKUP(B3897,Enero!$B$2:$G$5822,4,0),"")</f>
        <v>BM</v>
      </c>
    </row>
    <row r="3898" spans="1:7" x14ac:dyDescent="0.25">
      <c r="A3898" s="11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IFERROR(VLOOKUP(B3898,Enero!$B$2:$G$5822,4,0),"")</f>
        <v>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IFERROR(VLOOKUP(B3899,Enero!$B$2:$G$5822,4,0),"")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IFERROR(VLOOKUP(B3900,Enero!$B$2:$G$5822,4,0),"")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IFERROR(VLOOKUP(B3901,Enero!$B$2:$G$5822,4,0),"")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IFERROR(VLOOKUP(B3902,Enero!$B$2:$G$5822,4,0),"")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IFERROR(VLOOKUP(B3903,Enero!$B$2:$G$5822,4,0),"")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IFERROR(VLOOKUP(B3904,Enero!$B$2:$G$5822,4,0),"")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IFERROR(VLOOKUP(B3905,Enero!$B$2:$G$5822,4,0),"")</f>
        <v>BM</v>
      </c>
    </row>
    <row r="3906" spans="1:7" x14ac:dyDescent="0.25">
      <c r="A3906" s="11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IFERROR(VLOOKUP(B3906,Enero!$B$2:$G$5822,4,0),"")</f>
        <v>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IFERROR(VLOOKUP(B3907,Enero!$B$2:$G$5822,4,0),"")</f>
        <v>BM</v>
      </c>
    </row>
    <row r="3908" spans="1:7" x14ac:dyDescent="0.25">
      <c r="A3908" s="11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IFERROR(VLOOKUP(B3908,Enero!$B$2:$G$5822,4,0),"")</f>
        <v>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IFERROR(VLOOKUP(B3909,Enero!$B$2:$G$5822,4,0),"")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IFERROR(VLOOKUP(B3910,Enero!$B$2:$G$5822,4,0),"")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IFERROR(VLOOKUP(B3911,Enero!$B$2:$G$5822,4,0),"")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IFERROR(VLOOKUP(B3912,Enero!$B$2:$G$5822,4,0),"")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IFERROR(VLOOKUP(B3913,Enero!$B$2:$G$5822,4,0),"")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IFERROR(VLOOKUP(B3914,Enero!$B$2:$G$5822,4,0),"")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IFERROR(VLOOKUP(B3915,Enero!$B$2:$G$5822,4,0),"")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IFERROR(VLOOKUP(B3916,Enero!$B$2:$G$5822,4,0),"")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IFERROR(VLOOKUP(B3917,Enero!$B$2:$G$5822,4,0),"")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IFERROR(VLOOKUP(B3918,Enero!$B$2:$G$5822,4,0),"")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IFERROR(VLOOKUP(B3919,Enero!$B$2:$G$5822,4,0),"")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IFERROR(VLOOKUP(B3920,Enero!$B$2:$G$5822,4,0),"")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IFERROR(VLOOKUP(B3921,Enero!$B$2:$G$5822,4,0),"")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IFERROR(VLOOKUP(B3922,Enero!$B$2:$G$5822,4,0),"")</f>
        <v>INACTBM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IFERROR(VLOOKUP(B3923,Enero!$B$2:$G$5822,4,0),"")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IFERROR(VLOOKUP(B3924,Enero!$B$2:$G$5822,4,0),"")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IFERROR(VLOOKUP(B3925,Enero!$B$2:$G$5822,4,0),"")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IFERROR(VLOOKUP(B3926,Enero!$B$2:$G$5822,4,0),"")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IFERROR(VLOOKUP(B3927,Enero!$B$2:$G$5822,4,0),"")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IFERROR(VLOOKUP(B3928,Enero!$B$2:$G$5822,4,0),"")</f>
        <v>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IFERROR(VLOOKUP(B3929,Enero!$B$2:$G$5822,4,0),"")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IFERROR(VLOOKUP(B3930,Enero!$B$2:$G$5822,4,0),"")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IFERROR(VLOOKUP(B3931,Enero!$B$2:$G$5822,4,0),"")</f>
        <v>BM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IFERROR(VLOOKUP(B3932,Enero!$B$2:$G$5822,4,0),"")</f>
        <v>BM</v>
      </c>
    </row>
    <row r="3933" spans="1:7" x14ac:dyDescent="0.25">
      <c r="A3933" s="11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IFERROR(VLOOKUP(B3933,Enero!$B$2:$G$5822,4,0),"")</f>
        <v>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IFERROR(VLOOKUP(B3934,Enero!$B$2:$G$5822,4,0),"")</f>
        <v>BM</v>
      </c>
    </row>
    <row r="3935" spans="1:7" x14ac:dyDescent="0.25">
      <c r="A3935" s="11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IFERROR(VLOOKUP(B3935,Enero!$B$2:$G$5822,4,0),"")</f>
        <v>BM</v>
      </c>
    </row>
    <row r="3936" spans="1:7" x14ac:dyDescent="0.25">
      <c r="A3936" s="11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tr">
        <f>IFERROR(VLOOKUP(B3936,Enero!$B$2:$G$5822,4,0),"")</f>
        <v>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IFERROR(VLOOKUP(B3937,Enero!$B$2:$G$5822,4,0),"")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IFERROR(VLOOKUP(B3938,Enero!$B$2:$G$5822,4,0),"")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IFERROR(VLOOKUP(B3939,Enero!$B$2:$G$5822,4,0),"")</f>
        <v>BM</v>
      </c>
    </row>
    <row r="3940" spans="1:7" x14ac:dyDescent="0.25">
      <c r="A3940" s="11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IFERROR(VLOOKUP(B3940,Enero!$B$2:$G$5822,4,0),"")</f>
        <v>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IFERROR(VLOOKUP(B3941,Enero!$B$2:$G$5822,4,0),"")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IFERROR(VLOOKUP(B3942,Enero!$B$2:$G$5822,4,0),"")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IFERROR(VLOOKUP(B3943,Enero!$B$2:$G$5822,4,0),"")</f>
        <v>BM</v>
      </c>
    </row>
    <row r="3944" spans="1:7" x14ac:dyDescent="0.25">
      <c r="A3944" s="11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IFERROR(VLOOKUP(B3944,Enero!$B$2:$G$5822,4,0),"")</f>
        <v>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IFERROR(VLOOKUP(B3945,Enero!$B$2:$G$5822,4,0),"")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IFERROR(VLOOKUP(B3946,Enero!$B$2:$G$5822,4,0),"")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IFERROR(VLOOKUP(B3947,Enero!$B$2:$G$5822,4,0),"")</f>
        <v>BM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IFERROR(VLOOKUP(B3948,Enero!$B$2:$G$5822,4,0),"")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IFERROR(VLOOKUP(B3949,Enero!$B$2:$G$5822,4,0),"")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IFERROR(VLOOKUP(B3950,Enero!$B$2:$G$5822,4,0),"")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IFERROR(VLOOKUP(B3951,Enero!$B$2:$G$5822,4,0),"")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IFERROR(VLOOKUP(B3952,Enero!$B$2:$G$5822,4,0),"")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IFERROR(VLOOKUP(B3953,Enero!$B$2:$G$5822,4,0),"")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IFERROR(VLOOKUP(B3954,Enero!$B$2:$G$5822,4,0),"")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IFERROR(VLOOKUP(B3955,Enero!$B$2:$G$5822,4,0),"")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IFERROR(VLOOKUP(B3956,Enero!$B$2:$G$5822,4,0),"")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IFERROR(VLOOKUP(B3957,Enero!$B$2:$G$5822,4,0),"")</f>
        <v>BM</v>
      </c>
    </row>
    <row r="3958" spans="1:7" x14ac:dyDescent="0.25">
      <c r="A3958" s="11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IFERROR(VLOOKUP(B3958,Enero!$B$2:$G$5822,4,0),"")</f>
        <v>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IFERROR(VLOOKUP(B3959,Enero!$B$2:$G$5822,4,0),"")</f>
        <v>INACTBM</v>
      </c>
    </row>
    <row r="3960" spans="1:7" x14ac:dyDescent="0.25">
      <c r="A3960" s="11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IFERROR(VLOOKUP(B3960,Enero!$B$2:$G$5822,4,0),"")</f>
        <v>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IFERROR(VLOOKUP(B3961,Enero!$B$2:$G$5822,4,0),"")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IFERROR(VLOOKUP(B3962,Enero!$B$2:$G$5822,4,0),"")</f>
        <v>INACTBM</v>
      </c>
    </row>
    <row r="3963" spans="1:7" x14ac:dyDescent="0.25">
      <c r="A3963" s="11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tr">
        <f>IFERROR(VLOOKUP(B3963,Enero!$B$2:$G$5822,4,0),"")</f>
        <v>BM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IFERROR(VLOOKUP(B3964,Enero!$B$2:$G$5822,4,0),"")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IFERROR(VLOOKUP(B3965,Enero!$B$2:$G$5822,4,0),"")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IFERROR(VLOOKUP(B3966,Enero!$B$2:$G$5822,4,0),"")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IFERROR(VLOOKUP(B3967,Enero!$B$2:$G$5822,4,0),"")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IFERROR(VLOOKUP(B3968,Enero!$B$2:$G$5822,4,0),"")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IFERROR(VLOOKUP(B3969,Enero!$B$2:$G$5822,4,0),"")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IFERROR(VLOOKUP(B3970,Enero!$B$2:$G$5822,4,0),"")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IFERROR(VLOOKUP(B3971,Enero!$B$2:$G$5822,4,0),"")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IFERROR(VLOOKUP(B3972,Enero!$B$2:$G$5822,4,0),"")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IFERROR(VLOOKUP(B3973,Enero!$B$2:$G$5822,4,0),"")</f>
        <v>INACTBM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IFERROR(VLOOKUP(B3974,Enero!$B$2:$G$5822,4,0),"")</f>
        <v>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IFERROR(VLOOKUP(B3975,Enero!$B$2:$G$5822,4,0),"")</f>
        <v>BM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IFERROR(VLOOKUP(B3976,Enero!$B$2:$G$5822,4,0),"")</f>
        <v>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IFERROR(VLOOKUP(B3977,Enero!$B$2:$G$5822,4,0),"")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IFERROR(VLOOKUP(B3978,Enero!$B$2:$G$5822,4,0),"")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IFERROR(VLOOKUP(B3979,Enero!$B$2:$G$5822,4,0),"")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IFERROR(VLOOKUP(B3980,Enero!$B$2:$G$5822,4,0),"")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IFERROR(VLOOKUP(B3981,Enero!$B$2:$G$5822,4,0),"")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IFERROR(VLOOKUP(B3982,Enero!$B$2:$G$5822,4,0),"")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IFERROR(VLOOKUP(B3983,Enero!$B$2:$G$5822,4,0),"")</f>
        <v>BM</v>
      </c>
    </row>
    <row r="3984" spans="1:7" x14ac:dyDescent="0.25">
      <c r="A3984" s="11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IFERROR(VLOOKUP(B3984,Enero!$B$2:$G$5822,4,0),"")</f>
        <v>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IFERROR(VLOOKUP(B3985,Enero!$B$2:$G$5822,4,0),"")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IFERROR(VLOOKUP(B3986,Enero!$B$2:$G$5822,4,0),"")</f>
        <v>BM</v>
      </c>
    </row>
    <row r="3987" spans="1:7" x14ac:dyDescent="0.25">
      <c r="A3987" s="11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IFERROR(VLOOKUP(B3987,Enero!$B$2:$G$5822,4,0),"")</f>
        <v>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IFERROR(VLOOKUP(B3988,Enero!$B$2:$G$5822,4,0),"")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IFERROR(VLOOKUP(B3989,Enero!$B$2:$G$5822,4,0),"")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IFERROR(VLOOKUP(B3990,Enero!$B$2:$G$5822,4,0),"")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IFERROR(VLOOKUP(B3991,Enero!$B$2:$G$5822,4,0),"")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IFERROR(VLOOKUP(B3992,Enero!$B$2:$G$5822,4,0),"")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IFERROR(VLOOKUP(B3993,Enero!$B$2:$G$5822,4,0),"")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IFERROR(VLOOKUP(B3994,Enero!$B$2:$G$5822,4,0),"")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IFERROR(VLOOKUP(B3995,Enero!$B$2:$G$5822,4,0),"")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IFERROR(VLOOKUP(B3996,Enero!$B$2:$G$5822,4,0),"")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IFERROR(VLOOKUP(B3997,Enero!$B$2:$G$5822,4,0),"")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IFERROR(VLOOKUP(B3998,Enero!$B$2:$G$5822,4,0),"")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tr">
        <f>IFERROR(VLOOKUP(B3999,Enero!$B$2:$G$5822,4,0),"")</f>
        <v>INACTBM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IFERROR(VLOOKUP(B4000,Enero!$B$2:$G$5822,4,0),"")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IFERROR(VLOOKUP(B4001,Enero!$B$2:$G$5822,4,0),"")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IFERROR(VLOOKUP(B4002,Enero!$B$2:$G$5822,4,0),"")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IFERROR(VLOOKUP(B4003,Enero!$B$2:$G$5822,4,0),"")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IFERROR(VLOOKUP(B4004,Enero!$B$2:$G$5822,4,0),"")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IFERROR(VLOOKUP(B4005,Enero!$B$2:$G$5822,4,0),"")</f>
        <v>BM</v>
      </c>
    </row>
    <row r="4006" spans="1:7" x14ac:dyDescent="0.25">
      <c r="A4006" s="11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IFERROR(VLOOKUP(B4006,Enero!$B$2:$G$5822,4,0),"")</f>
        <v>BM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IFERROR(VLOOKUP(B4007,Enero!$B$2:$G$5822,4,0),"")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IFERROR(VLOOKUP(B4008,Enero!$B$2:$G$5822,4,0),"")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IFERROR(VLOOKUP(B4009,Enero!$B$2:$G$5822,4,0),"")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IFERROR(VLOOKUP(B4010,Enero!$B$2:$G$5822,4,0),"")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IFERROR(VLOOKUP(B4011,Enero!$B$2:$G$5822,4,0),"")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IFERROR(VLOOKUP(B4012,Enero!$B$2:$G$5822,4,0),"")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IFERROR(VLOOKUP(B4013,Enero!$B$2:$G$5822,4,0),"")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IFERROR(VLOOKUP(B4014,Enero!$B$2:$G$5822,4,0),"")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IFERROR(VLOOKUP(B4015,Enero!$B$2:$G$5822,4,0),"")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IFERROR(VLOOKUP(B4016,Enero!$B$2:$G$5822,4,0),"")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IFERROR(VLOOKUP(B4017,Enero!$B$2:$G$5822,4,0),"")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IFERROR(VLOOKUP(B4018,Enero!$B$2:$G$5822,4,0),"")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IFERROR(VLOOKUP(B4019,Enero!$B$2:$G$5822,4,0),"")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IFERROR(VLOOKUP(B4020,Enero!$B$2:$G$5822,4,0),"")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IFERROR(VLOOKUP(B4021,Enero!$B$2:$G$5822,4,0),"")</f>
        <v>BM</v>
      </c>
    </row>
    <row r="4022" spans="1:7" x14ac:dyDescent="0.25">
      <c r="A4022" s="11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IFERROR(VLOOKUP(B4022,Enero!$B$2:$G$5822,4,0),"")</f>
        <v>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IFERROR(VLOOKUP(B4023,Enero!$B$2:$G$5822,4,0),"")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IFERROR(VLOOKUP(B4024,Enero!$B$2:$G$5822,4,0),"")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IFERROR(VLOOKUP(B4025,Enero!$B$2:$G$5822,4,0),"")</f>
        <v>BM</v>
      </c>
    </row>
    <row r="4026" spans="1:7" x14ac:dyDescent="0.25">
      <c r="A4026" s="11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IFERROR(VLOOKUP(B4026,Enero!$B$2:$G$5822,4,0),"")</f>
        <v>BM</v>
      </c>
    </row>
    <row r="4027" spans="1:7" x14ac:dyDescent="0.25">
      <c r="A4027" s="11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IFERROR(VLOOKUP(B4027,Enero!$B$2:$G$5822,4,0),"")</f>
        <v>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IFERROR(VLOOKUP(B4028,Enero!$B$2:$G$5822,4,0),"")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IFERROR(VLOOKUP(B4029,Enero!$B$2:$G$5822,4,0),"")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IFERROR(VLOOKUP(B4030,Enero!$B$2:$G$5822,4,0),"")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IFERROR(VLOOKUP(B4031,Enero!$B$2:$G$5822,4,0),"")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IFERROR(VLOOKUP(B4032,Enero!$B$2:$G$5822,4,0),"")</f>
        <v>BM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IFERROR(VLOOKUP(B4033,Enero!$B$2:$G$5822,4,0),"")</f>
        <v>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IFERROR(VLOOKUP(B4034,Enero!$B$2:$G$5822,4,0),"")</f>
        <v>BM</v>
      </c>
    </row>
    <row r="4035" spans="1:7" x14ac:dyDescent="0.25">
      <c r="A4035" s="11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IFERROR(VLOOKUP(B4035,Enero!$B$2:$G$5822,4,0),"")</f>
        <v>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IFERROR(VLOOKUP(B4036,Enero!$B$2:$G$5822,4,0),"")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IFERROR(VLOOKUP(B4037,Enero!$B$2:$G$5822,4,0),"")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IFERROR(VLOOKUP(B4038,Enero!$B$2:$G$5822,4,0),"")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IFERROR(VLOOKUP(B4039,Enero!$B$2:$G$5822,4,0),"")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IFERROR(VLOOKUP(B4040,Enero!$B$2:$G$5822,4,0),"")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IFERROR(VLOOKUP(B4041,Enero!$B$2:$G$5822,4,0),"")</f>
        <v>BM</v>
      </c>
    </row>
    <row r="4042" spans="1:7" x14ac:dyDescent="0.25">
      <c r="A4042" s="11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IFERROR(VLOOKUP(B4042,Enero!$B$2:$G$5822,4,0),"")</f>
        <v>BM</v>
      </c>
    </row>
    <row r="4043" spans="1:7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IFERROR(VLOOKUP(B4043,Enero!$B$2:$G$5822,4,0),"")</f>
        <v>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IFERROR(VLOOKUP(B4044,Enero!$B$2:$G$5822,4,0),"")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IFERROR(VLOOKUP(B4045,Enero!$B$2:$G$5822,4,0),"")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IFERROR(VLOOKUP(B4046,Enero!$B$2:$G$5822,4,0),"")</f>
        <v>BM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IFERROR(VLOOKUP(B4047,Enero!$B$2:$G$5822,4,0),"")</f>
        <v>BM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IFERROR(VLOOKUP(B4048,Enero!$B$2:$G$5822,4,0),"")</f>
        <v>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IFERROR(VLOOKUP(B4049,Enero!$B$2:$G$5822,4,0),"")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IFERROR(VLOOKUP(B4050,Enero!$B$2:$G$5822,4,0),"")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IFERROR(VLOOKUP(B4051,Enero!$B$2:$G$5822,4,0),"")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IFERROR(VLOOKUP(B4052,Enero!$B$2:$G$5822,4,0),"")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IFERROR(VLOOKUP(B4053,Enero!$B$2:$G$5822,4,0),"")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IFERROR(VLOOKUP(B4054,Enero!$B$2:$G$5822,4,0),"")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IFERROR(VLOOKUP(B4055,Enero!$B$2:$G$5822,4,0),"")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IFERROR(VLOOKUP(B4056,Enero!$B$2:$G$5822,4,0),"")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IFERROR(VLOOKUP(B4057,Enero!$B$2:$G$5822,4,0),"")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IFERROR(VLOOKUP(B4058,Enero!$B$2:$G$5822,4,0),"")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IFERROR(VLOOKUP(B4059,Enero!$B$2:$G$5822,4,0),"")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IFERROR(VLOOKUP(B4060,Enero!$B$2:$G$5822,4,0),"")</f>
        <v>ATAPET</v>
      </c>
    </row>
    <row r="4061" spans="1:7" x14ac:dyDescent="0.25">
      <c r="A4061" s="11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tr">
        <f>IFERROR(VLOOKUP(B4061,Enero!$B$2:$G$5822,4,0),"")</f>
        <v>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IFERROR(VLOOKUP(B4062,Enero!$B$2:$G$5822,4,0),"")</f>
        <v>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IFERROR(VLOOKUP(B4063,Enero!$B$2:$G$5822,4,0),"")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IFERROR(VLOOKUP(B4064,Enero!$B$2:$G$5822,4,0),"")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IFERROR(VLOOKUP(B4065,Enero!$B$2:$G$5822,4,0),"")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IFERROR(VLOOKUP(B4066,Enero!$B$2:$G$5822,4,0),"")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IFERROR(VLOOKUP(B4067,Enero!$B$2:$G$5822,4,0),"")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IFERROR(VLOOKUP(B4068,Enero!$B$2:$G$5822,4,0),"")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IFERROR(VLOOKUP(B4069,Enero!$B$2:$G$5822,4,0),"")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IFERROR(VLOOKUP(B4070,Enero!$B$2:$G$5822,4,0),"")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IFERROR(VLOOKUP(B4071,Enero!$B$2:$G$5822,4,0),"")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IFERROR(VLOOKUP(B4072,Enero!$B$2:$G$5822,4,0),"")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IFERROR(VLOOKUP(B4073,Enero!$B$2:$G$5822,4,0),"")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IFERROR(VLOOKUP(B4074,Enero!$B$2:$G$5822,4,0),"")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IFERROR(VLOOKUP(B4075,Enero!$B$2:$G$5822,4,0),"")</f>
        <v>BM</v>
      </c>
    </row>
    <row r="4076" spans="1:7" x14ac:dyDescent="0.25">
      <c r="A4076" s="11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IFERROR(VLOOKUP(B4076,Enero!$B$2:$G$5822,4,0),"")</f>
        <v>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IFERROR(VLOOKUP(B4077,Enero!$B$2:$G$5822,4,0),"")</f>
        <v>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IFERROR(VLOOKUP(B4078,Enero!$B$2:$G$5822,4,0),"")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IFERROR(VLOOKUP(B4079,Enero!$B$2:$G$5822,4,0),"")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IFERROR(VLOOKUP(B4080,Enero!$B$2:$G$5822,4,0),"")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IFERROR(VLOOKUP(B4081,Enero!$B$2:$G$5822,4,0),"")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IFERROR(VLOOKUP(B4082,Enero!$B$2:$G$5822,4,0),"")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IFERROR(VLOOKUP(B4083,Enero!$B$2:$G$5822,4,0),"")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IFERROR(VLOOKUP(B4084,Enero!$B$2:$G$5822,4,0),"")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IFERROR(VLOOKUP(B4085,Enero!$B$2:$G$5822,4,0),"")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IFERROR(VLOOKUP(B4086,Enero!$B$2:$G$5822,4,0),"")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IFERROR(VLOOKUP(B4087,Enero!$B$2:$G$5822,4,0),"")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IFERROR(VLOOKUP(B4088,Enero!$B$2:$G$5822,4,0),"")</f>
        <v>BM</v>
      </c>
    </row>
    <row r="4089" spans="1:7" x14ac:dyDescent="0.25">
      <c r="A4089" s="11"/>
      <c r="B4089" s="4" t="s">
        <v>4001</v>
      </c>
      <c r="C4089" s="4" t="s">
        <v>11</v>
      </c>
      <c r="D4089" s="4" t="s">
        <v>11</v>
      </c>
      <c r="E4089" s="4" t="s">
        <v>11</v>
      </c>
      <c r="F4089" s="4" t="s">
        <v>956</v>
      </c>
      <c r="G4089" s="5" t="str">
        <f>IFERROR(VLOOKUP(B4089,Enero!$B$2:$G$5822,4,0),"")</f>
        <v>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IFERROR(VLOOKUP(B4090,Enero!$B$2:$G$5822,4,0),"")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IFERROR(VLOOKUP(B4091,Enero!$B$2:$G$5822,4,0),"")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IFERROR(VLOOKUP(B4092,Enero!$B$2:$G$5822,4,0),"")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IFERROR(VLOOKUP(B4093,Enero!$B$2:$G$5822,4,0),"")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IFERROR(VLOOKUP(B4094,Enero!$B$2:$G$5822,4,0),"")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IFERROR(VLOOKUP(B4095,Enero!$B$2:$G$5822,4,0),"")</f>
        <v>BM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IFERROR(VLOOKUP(B4096,Enero!$B$2:$G$5822,4,0),"")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IFERROR(VLOOKUP(B4097,Enero!$B$2:$G$5822,4,0),"")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IFERROR(VLOOKUP(B4098,Enero!$B$2:$G$5822,4,0),"")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IFERROR(VLOOKUP(B4099,Enero!$B$2:$G$5822,4,0),"")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IFERROR(VLOOKUP(B4100,Enero!$B$2:$G$5822,4,0),"")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IFERROR(VLOOKUP(B4101,Enero!$B$2:$G$5822,4,0),"")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IFERROR(VLOOKUP(B4102,Enero!$B$2:$G$5822,4,0),"")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IFERROR(VLOOKUP(B4103,Enero!$B$2:$G$5822,4,0),"")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IFERROR(VLOOKUP(B4104,Enero!$B$2:$G$5822,4,0),"")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IFERROR(VLOOKUP(B4105,Enero!$B$2:$G$5822,4,0),"")</f>
        <v>BM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IFERROR(VLOOKUP(B4106,Enero!$B$2:$G$5822,4,0),"")</f>
        <v>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IFERROR(VLOOKUP(B4107,Enero!$B$2:$G$5822,4,0),"")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IFERROR(VLOOKUP(B4108,Enero!$B$2:$G$5822,4,0),"")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IFERROR(VLOOKUP(B4109,Enero!$B$2:$G$5822,4,0),"")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IFERROR(VLOOKUP(B4110,Enero!$B$2:$G$5822,4,0),"")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IFERROR(VLOOKUP(B4111,Enero!$B$2:$G$5822,4,0),"")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IFERROR(VLOOKUP(B4112,Enero!$B$2:$G$5822,4,0),"")</f>
        <v>BM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IFERROR(VLOOKUP(B4113,Enero!$B$2:$G$5822,4,0),"")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IFERROR(VLOOKUP(B4114,Enero!$B$2:$G$5822,4,0),"")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IFERROR(VLOOKUP(B4115,Enero!$B$2:$G$5822,4,0),"")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IFERROR(VLOOKUP(B4116,Enero!$B$2:$G$5822,4,0),"")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IFERROR(VLOOKUP(B4117,Enero!$B$2:$G$5822,4,0),"")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IFERROR(VLOOKUP(B4118,Enero!$B$2:$G$5822,4,0),"")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IFERROR(VLOOKUP(B4119,Enero!$B$2:$G$5822,4,0),"")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IFERROR(VLOOKUP(B4120,Enero!$B$2:$G$5822,4,0),"")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IFERROR(VLOOKUP(B4121,Enero!$B$2:$G$5822,4,0),"")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IFERROR(VLOOKUP(B4122,Enero!$B$2:$G$5822,4,0),"")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IFERROR(VLOOKUP(B4123,Enero!$B$2:$G$5822,4,0),"")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IFERROR(VLOOKUP(B4124,Enero!$B$2:$G$5822,4,0),"")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IFERROR(VLOOKUP(B4125,Enero!$B$2:$G$5822,4,0),"")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IFERROR(VLOOKUP(B4126,Enero!$B$2:$G$5822,4,0),"")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IFERROR(VLOOKUP(B4127,Enero!$B$2:$G$5822,4,0),"")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IFERROR(VLOOKUP(B4128,Enero!$B$2:$G$5822,4,0),"")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IFERROR(VLOOKUP(B4129,Enero!$B$2:$G$5822,4,0),"")</f>
        <v>BM</v>
      </c>
    </row>
    <row r="4130" spans="1:7" x14ac:dyDescent="0.25">
      <c r="A4130" s="11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IFERROR(VLOOKUP(B4130,Enero!$B$2:$G$5822,4,0),"")</f>
        <v>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IFERROR(VLOOKUP(B4131,Enero!$B$2:$G$5822,4,0),"")</f>
        <v>BM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IFERROR(VLOOKUP(B4132,Enero!$B$2:$G$5822,4,0),"")</f>
        <v>BM</v>
      </c>
    </row>
    <row r="4133" spans="1:7" x14ac:dyDescent="0.25">
      <c r="A4133" s="11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IFERROR(VLOOKUP(B4133,Enero!$B$2:$G$5822,4,0),"")</f>
        <v>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IFERROR(VLOOKUP(B4134,Enero!$B$2:$G$5822,4,0),"")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IFERROR(VLOOKUP(B4135,Enero!$B$2:$G$5822,4,0),"")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IFERROR(VLOOKUP(B4136,Enero!$B$2:$G$5822,4,0),"")</f>
        <v>BM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IFERROR(VLOOKUP(B4137,Enero!$B$2:$G$5822,4,0),"")</f>
        <v>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IFERROR(VLOOKUP(B4138,Enero!$B$2:$G$5822,4,0),"")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IFERROR(VLOOKUP(B4139,Enero!$B$2:$G$5822,4,0),"")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IFERROR(VLOOKUP(B4140,Enero!$B$2:$G$5822,4,0),"")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IFERROR(VLOOKUP(B4141,Enero!$B$2:$G$5822,4,0),"")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IFERROR(VLOOKUP(B4142,Enero!$B$2:$G$5822,4,0),"")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IFERROR(VLOOKUP(B4143,Enero!$B$2:$G$5822,4,0),"")</f>
        <v>BM</v>
      </c>
    </row>
    <row r="4144" spans="1:7" x14ac:dyDescent="0.25">
      <c r="A4144" s="11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IFERROR(VLOOKUP(B4144,Enero!$B$2:$G$5822,4,0),"")</f>
        <v>BM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IFERROR(VLOOKUP(B4145,Enero!$B$2:$G$5822,4,0),"")</f>
        <v>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IFERROR(VLOOKUP(B4146,Enero!$B$2:$G$5822,4,0),"")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IFERROR(VLOOKUP(B4147,Enero!$B$2:$G$5822,4,0),"")</f>
        <v>BM</v>
      </c>
    </row>
    <row r="4148" spans="1:7" x14ac:dyDescent="0.25">
      <c r="A4148" s="11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IFERROR(VLOOKUP(B4148,Enero!$B$2:$G$5822,4,0),"")</f>
        <v>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IFERROR(VLOOKUP(B4149,Enero!$B$2:$G$5822,4,0),"")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IFERROR(VLOOKUP(B4150,Enero!$B$2:$G$5822,4,0),"")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IFERROR(VLOOKUP(B4151,Enero!$B$2:$G$5822,4,0),"")</f>
        <v>BM</v>
      </c>
    </row>
    <row r="4152" spans="1:7" x14ac:dyDescent="0.25">
      <c r="A4152" s="11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IFERROR(VLOOKUP(B4152,Enero!$B$2:$G$5822,4,0),"")</f>
        <v>BM</v>
      </c>
    </row>
    <row r="4153" spans="1:7" x14ac:dyDescent="0.25">
      <c r="A4153" s="11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IFERROR(VLOOKUP(B4153,Enero!$B$2:$G$5822,4,0),"")</f>
        <v>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IFERROR(VLOOKUP(B4154,Enero!$B$2:$G$5822,4,0),"")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IFERROR(VLOOKUP(B4155,Enero!$B$2:$G$5822,4,0),"")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IFERROR(VLOOKUP(B4156,Enero!$B$2:$G$5822,4,0),"")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IFERROR(VLOOKUP(B4157,Enero!$B$2:$G$5822,4,0),"")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IFERROR(VLOOKUP(B4158,Enero!$B$2:$G$5822,4,0),"")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IFERROR(VLOOKUP(B4159,Enero!$B$2:$G$5822,4,0),"")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IFERROR(VLOOKUP(B4160,Enero!$B$2:$G$5822,4,0),"")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IFERROR(VLOOKUP(B4161,Enero!$B$2:$G$5822,4,0),"")</f>
        <v>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IFERROR(VLOOKUP(B4162,Enero!$B$2:$G$5822,4,0),"")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IFERROR(VLOOKUP(B4163,Enero!$B$2:$G$5822,4,0),"")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IFERROR(VLOOKUP(B4164,Enero!$B$2:$G$5822,4,0),"")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IFERROR(VLOOKUP(B4165,Enero!$B$2:$G$5822,4,0),"")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IFERROR(VLOOKUP(B4166,Enero!$B$2:$G$5822,4,0),"")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IFERROR(VLOOKUP(B4167,Enero!$B$2:$G$5822,4,0),"")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IFERROR(VLOOKUP(B4168,Enero!$B$2:$G$5822,4,0),"")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IFERROR(VLOOKUP(B4169,Enero!$B$2:$G$5822,4,0),"")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IFERROR(VLOOKUP(B4170,Enero!$B$2:$G$5822,4,0),"")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IFERROR(VLOOKUP(B4171,Enero!$B$2:$G$5822,4,0),"")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IFERROR(VLOOKUP(B4172,Enero!$B$2:$G$5822,4,0),"")</f>
        <v>APA_PC</v>
      </c>
    </row>
    <row r="4173" spans="1:7" x14ac:dyDescent="0.25">
      <c r="A4173" s="11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IFERROR(VLOOKUP(B4173,Enero!$B$2:$G$5822,4,0),"")</f>
        <v>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IFERROR(VLOOKUP(B4174,Enero!$B$2:$G$5822,4,0),"")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IFERROR(VLOOKUP(B4175,Enero!$B$2:$G$5822,4,0),"")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IFERROR(VLOOKUP(B4176,Enero!$B$2:$G$5822,4,0),"")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IFERROR(VLOOKUP(B4177,Enero!$B$2:$G$5822,4,0),"")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IFERROR(VLOOKUP(B4178,Enero!$B$2:$G$5822,4,0),"")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IFERROR(VLOOKUP(B4179,Enero!$B$2:$G$5822,4,0),"")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IFERROR(VLOOKUP(B4180,Enero!$B$2:$G$5822,4,0),"")</f>
        <v>BM</v>
      </c>
    </row>
    <row r="4181" spans="1:7" x14ac:dyDescent="0.25">
      <c r="A4181" s="11"/>
      <c r="B4181" s="4" t="s">
        <v>4092</v>
      </c>
      <c r="C4181" s="4" t="s">
        <v>35</v>
      </c>
      <c r="D4181" s="4" t="s">
        <v>35</v>
      </c>
      <c r="E4181" s="4" t="s">
        <v>57</v>
      </c>
      <c r="F4181" s="4" t="s">
        <v>137</v>
      </c>
      <c r="G4181" s="5" t="str">
        <f>IFERROR(VLOOKUP(B4181,Enero!$B$2:$G$5822,4,0),"")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IFERROR(VLOOKUP(B4182,Enero!$B$2:$G$5822,4,0),"")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IFERROR(VLOOKUP(B4183,Enero!$B$2:$G$5822,4,0),"")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IFERROR(VLOOKUP(B4184,Enero!$B$2:$G$5822,4,0),"")</f>
        <v>ATAINY</v>
      </c>
    </row>
    <row r="4185" spans="1:7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IFERROR(VLOOKUP(B4185,Enero!$B$2:$G$5822,4,0),"")</f>
        <v>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IFERROR(VLOOKUP(B4186,Enero!$B$2:$G$5822,4,0),"")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IFERROR(VLOOKUP(B4187,Enero!$B$2:$G$5822,4,0),"")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IFERROR(VLOOKUP(B4188,Enero!$B$2:$G$5822,4,0),"")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IFERROR(VLOOKUP(B4189,Enero!$B$2:$G$5822,4,0),"")</f>
        <v>APA_PC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IFERROR(VLOOKUP(B4190,Enero!$B$2:$G$5822,4,0),"")</f>
        <v>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IFERROR(VLOOKUP(B4191,Enero!$B$2:$G$5822,4,0),"")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IFERROR(VLOOKUP(B4192,Enero!$B$2:$G$5822,4,0),"")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IFERROR(VLOOKUP(B4193,Enero!$B$2:$G$5822,4,0),"")</f>
        <v>ACTPETS</v>
      </c>
    </row>
    <row r="4194" spans="1:7" x14ac:dyDescent="0.25">
      <c r="A4194" s="11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IFERROR(VLOOKUP(B4194,Enero!$B$2:$G$5822,4,0),"")</f>
        <v>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IFERROR(VLOOKUP(B4195,Enero!$B$2:$G$5822,4,0),"")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IFERROR(VLOOKUP(B4196,Enero!$B$2:$G$5822,4,0),"")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IFERROR(VLOOKUP(B4197,Enero!$B$2:$G$5822,4,0),"")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IFERROR(VLOOKUP(B4198,Enero!$B$2:$G$5822,4,0),"")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IFERROR(VLOOKUP(B4199,Enero!$B$2:$G$5822,4,0),"")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IFERROR(VLOOKUP(B4200,Enero!$B$2:$G$5822,4,0),"")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IFERROR(VLOOKUP(B4201,Enero!$B$2:$G$5822,4,0),"")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IFERROR(VLOOKUP(B4202,Enero!$B$2:$G$5822,4,0),"")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IFERROR(VLOOKUP(B4203,Enero!$B$2:$G$5822,4,0),"")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IFERROR(VLOOKUP(B4204,Enero!$B$2:$G$5822,4,0),"")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IFERROR(VLOOKUP(B4205,Enero!$B$2:$G$5822,4,0),"")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IFERROR(VLOOKUP(B4206,Enero!$B$2:$G$5822,4,0),"")</f>
        <v>ACTPETS</v>
      </c>
    </row>
    <row r="4207" spans="1:7" x14ac:dyDescent="0.25">
      <c r="A4207" s="11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IFERROR(VLOOKUP(B4207,Enero!$B$2:$G$5822,4,0),"")</f>
        <v>INACTPETS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IFERROR(VLOOKUP(B4208,Enero!$B$2:$G$5822,4,0),"")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IFERROR(VLOOKUP(B4209,Enero!$B$2:$G$5822,4,0),"")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IFERROR(VLOOKUP(B4210,Enero!$B$2:$G$5822,4,0),"")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IFERROR(VLOOKUP(B4211,Enero!$B$2:$G$5822,4,0),"")</f>
        <v>APA_PC</v>
      </c>
    </row>
    <row r="4212" spans="1:7" x14ac:dyDescent="0.25">
      <c r="A4212" s="11"/>
      <c r="B4212" s="4" t="s">
        <v>4123</v>
      </c>
      <c r="C4212" s="4" t="s">
        <v>14</v>
      </c>
      <c r="D4212" s="4" t="s">
        <v>15</v>
      </c>
      <c r="E4212" s="4" t="s">
        <v>16</v>
      </c>
      <c r="F4212" s="4" t="s">
        <v>14</v>
      </c>
      <c r="G4212" s="5" t="str">
        <f>IFERROR(VLOOKUP(B4212,Enero!$B$2:$G$5822,4,0),"")</f>
        <v>ATAPET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IFERROR(VLOOKUP(B4213,Enero!$B$2:$G$5822,4,0),"")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IFERROR(VLOOKUP(B4214,Enero!$B$2:$G$5822,4,0),"")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IFERROR(VLOOKUP(B4215,Enero!$B$2:$G$5822,4,0),"")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IFERROR(VLOOKUP(B4216,Enero!$B$2:$G$5822,4,0),"")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IFERROR(VLOOKUP(B4217,Enero!$B$2:$G$5822,4,0),"")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IFERROR(VLOOKUP(B4218,Enero!$B$2:$G$5822,4,0),"")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IFERROR(VLOOKUP(B4219,Enero!$B$2:$G$5822,4,0),"")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IFERROR(VLOOKUP(B4220,Enero!$B$2:$G$5822,4,0),"")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IFERROR(VLOOKUP(B4221,Enero!$B$2:$G$5822,4,0),"")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IFERROR(VLOOKUP(B4222,Enero!$B$2:$G$5822,4,0),"")</f>
        <v>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IFERROR(VLOOKUP(B4223,Enero!$B$2:$G$5822,4,0),"")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IFERROR(VLOOKUP(B4224,Enero!$B$2:$G$5822,4,0),"")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IFERROR(VLOOKUP(B4225,Enero!$B$2:$G$5822,4,0),"")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IFERROR(VLOOKUP(B4226,Enero!$B$2:$G$5822,4,0),"")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IFERROR(VLOOKUP(B4227,Enero!$B$2:$G$5822,4,0),"")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IFERROR(VLOOKUP(B4228,Enero!$B$2:$G$5822,4,0),"")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IFERROR(VLOOKUP(B4229,Enero!$B$2:$G$5822,4,0),"")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IFERROR(VLOOKUP(B4230,Enero!$B$2:$G$5822,4,0),"")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IFERROR(VLOOKUP(B4231,Enero!$B$2:$G$5822,4,0),"")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IFERROR(VLOOKUP(B4232,Enero!$B$2:$G$5822,4,0),"")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IFERROR(VLOOKUP(B4233,Enero!$B$2:$G$5822,4,0),"")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IFERROR(VLOOKUP(B4234,Enero!$B$2:$G$5822,4,0),"")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IFERROR(VLOOKUP(B4235,Enero!$B$2:$G$5822,4,0),"")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IFERROR(VLOOKUP(B4236,Enero!$B$2:$G$5822,4,0),"")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IFERROR(VLOOKUP(B4237,Enero!$B$2:$G$5822,4,0),"")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IFERROR(VLOOKUP(B4238,Enero!$B$2:$G$5822,4,0),"")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IFERROR(VLOOKUP(B4239,Enero!$B$2:$G$5822,4,0),"")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IFERROR(VLOOKUP(B4240,Enero!$B$2:$G$5822,4,0),"")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IFERROR(VLOOKUP(B4241,Enero!$B$2:$G$5822,4,0),"")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IFERROR(VLOOKUP(B4242,Enero!$B$2:$G$5822,4,0),"")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IFERROR(VLOOKUP(B4243,Enero!$B$2:$G$5822,4,0),"")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IFERROR(VLOOKUP(B4244,Enero!$B$2:$G$5822,4,0),"")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IFERROR(VLOOKUP(B4245,Enero!$B$2:$G$5822,4,0),"")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IFERROR(VLOOKUP(B4246,Enero!$B$2:$G$5822,4,0),"")</f>
        <v>ATAPET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IFERROR(VLOOKUP(B4247,Enero!$B$2:$G$5822,4,0),"")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IFERROR(VLOOKUP(B4248,Enero!$B$2:$G$5822,4,0),"")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IFERROR(VLOOKUP(B4249,Enero!$B$2:$G$5822,4,0),"")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IFERROR(VLOOKUP(B4250,Enero!$B$2:$G$5822,4,0),"")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IFERROR(VLOOKUP(B4251,Enero!$B$2:$G$5822,4,0),"")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IFERROR(VLOOKUP(B4252,Enero!$B$2:$G$5822,4,0),"")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IFERROR(VLOOKUP(B4253,Enero!$B$2:$G$5822,4,0),"")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IFERROR(VLOOKUP(B4254,Enero!$B$2:$G$5822,4,0),"")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IFERROR(VLOOKUP(B4255,Enero!$B$2:$G$5822,4,0),"")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IFERROR(VLOOKUP(B4256,Enero!$B$2:$G$5822,4,0),"")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IFERROR(VLOOKUP(B4257,Enero!$B$2:$G$5822,4,0),"")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IFERROR(VLOOKUP(B4258,Enero!$B$2:$G$5822,4,0),"")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IFERROR(VLOOKUP(B4259,Enero!$B$2:$G$5822,4,0),"")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IFERROR(VLOOKUP(B4260,Enero!$B$2:$G$5822,4,0),"")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IFERROR(VLOOKUP(B4261,Enero!$B$2:$G$5822,4,0),"")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IFERROR(VLOOKUP(B4262,Enero!$B$2:$G$5822,4,0),"")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IFERROR(VLOOKUP(B4263,Enero!$B$2:$G$5822,4,0),"")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IFERROR(VLOOKUP(B4264,Enero!$B$2:$G$5822,4,0),"")</f>
        <v>APA_PC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IFERROR(VLOOKUP(B4265,Enero!$B$2:$G$5822,4,0),"")</f>
        <v>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IFERROR(VLOOKUP(B4266,Enero!$B$2:$G$5822,4,0),"")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IFERROR(VLOOKUP(B4267,Enero!$B$2:$G$5822,4,0),"")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IFERROR(VLOOKUP(B4268,Enero!$B$2:$G$5822,4,0),"")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IFERROR(VLOOKUP(B4269,Enero!$B$2:$G$5822,4,0),"")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IFERROR(VLOOKUP(B4270,Enero!$B$2:$G$5822,4,0),"")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IFERROR(VLOOKUP(B4271,Enero!$B$2:$G$5822,4,0),"")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IFERROR(VLOOKUP(B4272,Enero!$B$2:$G$5822,4,0),"")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IFERROR(VLOOKUP(B4273,Enero!$B$2:$G$5822,4,0),"")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IFERROR(VLOOKUP(B4274,Enero!$B$2:$G$5822,4,0),"")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IFERROR(VLOOKUP(B4275,Enero!$B$2:$G$5822,4,0),"")</f>
        <v>ACTPETF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tr">
        <f>IFERROR(VLOOKUP(B4276,Enero!$B$2:$G$5822,4,0),"")</f>
        <v>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IFERROR(VLOOKUP(B4277,Enero!$B$2:$G$5822,4,0),"")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IFERROR(VLOOKUP(B4278,Enero!$B$2:$G$5822,4,0),"")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IFERROR(VLOOKUP(B4279,Enero!$B$2:$G$5822,4,0),"")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IFERROR(VLOOKUP(B4280,Enero!$B$2:$G$5822,4,0),"")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IFERROR(VLOOKUP(B4281,Enero!$B$2:$G$5822,4,0),"")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IFERROR(VLOOKUP(B4282,Enero!$B$2:$G$5822,4,0),"")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IFERROR(VLOOKUP(B4283,Enero!$B$2:$G$5822,4,0),"")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IFERROR(VLOOKUP(B4284,Enero!$B$2:$G$5822,4,0),"")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IFERROR(VLOOKUP(B4285,Enero!$B$2:$G$5822,4,0),"")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IFERROR(VLOOKUP(B4286,Enero!$B$2:$G$5822,4,0),"")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IFERROR(VLOOKUP(B4287,Enero!$B$2:$G$5822,4,0),"")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IFERROR(VLOOKUP(B4288,Enero!$B$2:$G$5822,4,0),"")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IFERROR(VLOOKUP(B4289,Enero!$B$2:$G$5822,4,0),"")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IFERROR(VLOOKUP(B4290,Enero!$B$2:$G$5822,4,0),"")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IFERROR(VLOOKUP(B4291,Enero!$B$2:$G$5822,4,0),"")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IFERROR(VLOOKUP(B4292,Enero!$B$2:$G$5822,4,0),"")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IFERROR(VLOOKUP(B4293,Enero!$B$2:$G$5822,4,0),"")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IFERROR(VLOOKUP(B4294,Enero!$B$2:$G$5822,4,0),"")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IFERROR(VLOOKUP(B4295,Enero!$B$2:$G$5822,4,0),"")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IFERROR(VLOOKUP(B4296,Enero!$B$2:$G$5822,4,0),"")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IFERROR(VLOOKUP(B4297,Enero!$B$2:$G$5822,4,0),"")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IFERROR(VLOOKUP(B4298,Enero!$B$2:$G$5822,4,0),"")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IFERROR(VLOOKUP(B4299,Enero!$B$2:$G$5822,4,0),"")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IFERROR(VLOOKUP(B4300,Enero!$B$2:$G$5822,4,0),"")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IFERROR(VLOOKUP(B4301,Enero!$B$2:$G$5822,4,0),"")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IFERROR(VLOOKUP(B4302,Enero!$B$2:$G$5822,4,0),"")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IFERROR(VLOOKUP(B4303,Enero!$B$2:$G$5822,4,0),"")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IFERROR(VLOOKUP(B4304,Enero!$B$2:$G$5822,4,0),"")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IFERROR(VLOOKUP(B4305,Enero!$B$2:$G$5822,4,0),"")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IFERROR(VLOOKUP(B4306,Enero!$B$2:$G$5822,4,0),"")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IFERROR(VLOOKUP(B4307,Enero!$B$2:$G$5822,4,0),"")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IFERROR(VLOOKUP(B4308,Enero!$B$2:$G$5822,4,0),"")</f>
        <v>APA_PC</v>
      </c>
    </row>
    <row r="4309" spans="1:7" x14ac:dyDescent="0.25">
      <c r="A4309" s="11"/>
      <c r="B4309" s="4" t="s">
        <v>4220</v>
      </c>
      <c r="C4309" s="4" t="s">
        <v>14</v>
      </c>
      <c r="D4309" s="4" t="s">
        <v>15</v>
      </c>
      <c r="E4309" s="4" t="s">
        <v>16</v>
      </c>
      <c r="F4309" s="4" t="s">
        <v>14</v>
      </c>
      <c r="G4309" s="5" t="str">
        <f>IFERROR(VLOOKUP(B4309,Enero!$B$2:$G$5822,4,0),"")</f>
        <v>ATAPET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IFERROR(VLOOKUP(B4310,Enero!$B$2:$G$5822,4,0),"")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IFERROR(VLOOKUP(B4311,Enero!$B$2:$G$5822,4,0),"")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IFERROR(VLOOKUP(B4312,Enero!$B$2:$G$5822,4,0),"")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IFERROR(VLOOKUP(B4313,Enero!$B$2:$G$5822,4,0),"")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IFERROR(VLOOKUP(B4314,Enero!$B$2:$G$5822,4,0),"")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IFERROR(VLOOKUP(B4315,Enero!$B$2:$G$5822,4,0),"")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IFERROR(VLOOKUP(B4316,Enero!$B$2:$G$5822,4,0),"")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IFERROR(VLOOKUP(B4317,Enero!$B$2:$G$5822,4,0),"")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IFERROR(VLOOKUP(B4318,Enero!$B$2:$G$5822,4,0),"")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IFERROR(VLOOKUP(B4319,Enero!$B$2:$G$5822,4,0),"")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IFERROR(VLOOKUP(B4320,Enero!$B$2:$G$5822,4,0),"")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IFERROR(VLOOKUP(B4321,Enero!$B$2:$G$5822,4,0),"")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IFERROR(VLOOKUP(B4322,Enero!$B$2:$G$5822,4,0),"")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IFERROR(VLOOKUP(B4323,Enero!$B$2:$G$5822,4,0),"")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IFERROR(VLOOKUP(B4324,Enero!$B$2:$G$5822,4,0),"")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IFERROR(VLOOKUP(B4325,Enero!$B$2:$G$5822,4,0),"")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IFERROR(VLOOKUP(B4326,Enero!$B$2:$G$5822,4,0),"")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IFERROR(VLOOKUP(B4327,Enero!$B$2:$G$5822,4,0),"")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IFERROR(VLOOKUP(B4328,Enero!$B$2:$G$5822,4,0),"")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IFERROR(VLOOKUP(B4329,Enero!$B$2:$G$5822,4,0),"")</f>
        <v>ACTPETF</v>
      </c>
    </row>
    <row r="4330" spans="1:7" x14ac:dyDescent="0.25">
      <c r="A4330" s="11"/>
      <c r="B4330" s="4" t="s">
        <v>4241</v>
      </c>
      <c r="C4330" s="4" t="s">
        <v>14</v>
      </c>
      <c r="D4330" s="4" t="s">
        <v>15</v>
      </c>
      <c r="E4330" s="4" t="s">
        <v>16</v>
      </c>
      <c r="F4330" s="4" t="s">
        <v>14</v>
      </c>
      <c r="G4330" s="5" t="str">
        <f>IFERROR(VLOOKUP(B4330,Enero!$B$2:$G$5822,4,0),"")</f>
        <v>ATAPET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IFERROR(VLOOKUP(B4331,Enero!$B$2:$G$5822,4,0),"")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IFERROR(VLOOKUP(B4332,Enero!$B$2:$G$5822,4,0),"")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IFERROR(VLOOKUP(B4333,Enero!$B$2:$G$5822,4,0),"")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IFERROR(VLOOKUP(B4334,Enero!$B$2:$G$5822,4,0),"")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IFERROR(VLOOKUP(B4335,Enero!$B$2:$G$5822,4,0),"")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IFERROR(VLOOKUP(B4336,Enero!$B$2:$G$5822,4,0),"")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IFERROR(VLOOKUP(B4337,Enero!$B$2:$G$5822,4,0),"")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IFERROR(VLOOKUP(B4338,Enero!$B$2:$G$5822,4,0),"")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IFERROR(VLOOKUP(B4339,Enero!$B$2:$G$5822,4,0),"")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IFERROR(VLOOKUP(B4340,Enero!$B$2:$G$5822,4,0),"")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IFERROR(VLOOKUP(B4341,Enero!$B$2:$G$5822,4,0),"")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IFERROR(VLOOKUP(B4342,Enero!$B$2:$G$5822,4,0),"")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IFERROR(VLOOKUP(B4343,Enero!$B$2:$G$5822,4,0),"")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IFERROR(VLOOKUP(B4344,Enero!$B$2:$G$5822,4,0),"")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IFERROR(VLOOKUP(B4345,Enero!$B$2:$G$5822,4,0),"")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IFERROR(VLOOKUP(B4346,Enero!$B$2:$G$5822,4,0),"")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IFERROR(VLOOKUP(B4347,Enero!$B$2:$G$5822,4,0),"")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IFERROR(VLOOKUP(B4348,Enero!$B$2:$G$5822,4,0),"")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IFERROR(VLOOKUP(B4349,Enero!$B$2:$G$5822,4,0),"")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IFERROR(VLOOKUP(B4350,Enero!$B$2:$G$5822,4,0),"")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IFERROR(VLOOKUP(B4351,Enero!$B$2:$G$5822,4,0),"")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IFERROR(VLOOKUP(B4352,Enero!$B$2:$G$5822,4,0),"")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IFERROR(VLOOKUP(B4353,Enero!$B$2:$G$5822,4,0),"")</f>
        <v>APA_PC</v>
      </c>
    </row>
    <row r="4354" spans="1:7" x14ac:dyDescent="0.25">
      <c r="A4354" s="11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IFERROR(VLOOKUP(B4354,Enero!$B$2:$G$5822,4,0),"")</f>
        <v>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IFERROR(VLOOKUP(B4355,Enero!$B$2:$G$5822,4,0),"")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IFERROR(VLOOKUP(B4356,Enero!$B$2:$G$5822,4,0),"")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IFERROR(VLOOKUP(B4357,Enero!$B$2:$G$5822,4,0),"")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IFERROR(VLOOKUP(B4358,Enero!$B$2:$G$5822,4,0),"")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IFERROR(VLOOKUP(B4359,Enero!$B$2:$G$5822,4,0),"")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IFERROR(VLOOKUP(B4360,Enero!$B$2:$G$5822,4,0),"")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IFERROR(VLOOKUP(B4361,Enero!$B$2:$G$5822,4,0),"")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IFERROR(VLOOKUP(B4362,Enero!$B$2:$G$5822,4,0),"")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IFERROR(VLOOKUP(B4363,Enero!$B$2:$G$5822,4,0),"")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IFERROR(VLOOKUP(B4364,Enero!$B$2:$G$5822,4,0),"")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IFERROR(VLOOKUP(B4365,Enero!$B$2:$G$5822,4,0),"")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IFERROR(VLOOKUP(B4366,Enero!$B$2:$G$5822,4,0),"")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IFERROR(VLOOKUP(B4367,Enero!$B$2:$G$5822,4,0),"")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IFERROR(VLOOKUP(B4368,Enero!$B$2:$G$5822,4,0),"")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IFERROR(VLOOKUP(B4369,Enero!$B$2:$G$5822,4,0),"")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IFERROR(VLOOKUP(B4370,Enero!$B$2:$G$5822,4,0),"")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IFERROR(VLOOKUP(B4371,Enero!$B$2:$G$5822,4,0),"")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IFERROR(VLOOKUP(B4372,Enero!$B$2:$G$5822,4,0),"")</f>
        <v>ATAPET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IFERROR(VLOOKUP(B4373,Enero!$B$2:$G$5822,4,0),"")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IFERROR(VLOOKUP(B4374,Enero!$B$2:$G$5822,4,0),"")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IFERROR(VLOOKUP(B4375,Enero!$B$2:$G$5822,4,0),"")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IFERROR(VLOOKUP(B4376,Enero!$B$2:$G$5822,4,0),"")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IFERROR(VLOOKUP(B4377,Enero!$B$2:$G$5822,4,0),"")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IFERROR(VLOOKUP(B4378,Enero!$B$2:$G$5822,4,0),"")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IFERROR(VLOOKUP(B4379,Enero!$B$2:$G$5822,4,0),"")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IFERROR(VLOOKUP(B4380,Enero!$B$2:$G$5822,4,0),"")</f>
        <v>ATAPET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IFERROR(VLOOKUP(B4381,Enero!$B$2:$G$5822,4,0),"")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IFERROR(VLOOKUP(B4382,Enero!$B$2:$G$5822,4,0),"")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IFERROR(VLOOKUP(B4383,Enero!$B$2:$G$5822,4,0),"")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IFERROR(VLOOKUP(B4384,Enero!$B$2:$G$5822,4,0),"")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IFERROR(VLOOKUP(B4385,Enero!$B$2:$G$5822,4,0),"")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IFERROR(VLOOKUP(B4386,Enero!$B$2:$G$5822,4,0),"")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IFERROR(VLOOKUP(B4387,Enero!$B$2:$G$5822,4,0),"")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IFERROR(VLOOKUP(B4388,Enero!$B$2:$G$5822,4,0),"")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IFERROR(VLOOKUP(B4389,Enero!$B$2:$G$5822,4,0),"")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IFERROR(VLOOKUP(B4390,Enero!$B$2:$G$5822,4,0),"")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IFERROR(VLOOKUP(B4391,Enero!$B$2:$G$5822,4,0),"")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IFERROR(VLOOKUP(B4392,Enero!$B$2:$G$5822,4,0),"")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IFERROR(VLOOKUP(B4393,Enero!$B$2:$G$5822,4,0),"")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IFERROR(VLOOKUP(B4394,Enero!$B$2:$G$5822,4,0),"")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IFERROR(VLOOKUP(B4395,Enero!$B$2:$G$5822,4,0),"")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IFERROR(VLOOKUP(B4396,Enero!$B$2:$G$5822,4,0),"")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IFERROR(VLOOKUP(B4397,Enero!$B$2:$G$5822,4,0),"")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IFERROR(VLOOKUP(B4398,Enero!$B$2:$G$5822,4,0),"")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IFERROR(VLOOKUP(B4399,Enero!$B$2:$G$5822,4,0),"")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IFERROR(VLOOKUP(B4400,Enero!$B$2:$G$5822,4,0),"")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IFERROR(VLOOKUP(B4401,Enero!$B$2:$G$5822,4,0),"")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IFERROR(VLOOKUP(B4402,Enero!$B$2:$G$5822,4,0),"")</f>
        <v>ATAPET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IFERROR(VLOOKUP(B4403,Enero!$B$2:$G$5822,4,0),"")</f>
        <v>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IFERROR(VLOOKUP(B4404,Enero!$B$2:$G$5822,4,0),"")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IFERROR(VLOOKUP(B4405,Enero!$B$2:$G$5822,4,0),"")</f>
        <v>ATAPET</v>
      </c>
    </row>
    <row r="4406" spans="1:7" x14ac:dyDescent="0.25">
      <c r="A4406" s="11"/>
      <c r="B4406" s="4" t="s">
        <v>4317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5" t="str">
        <f>IFERROR(VLOOKUP(B4406,Enero!$B$2:$G$5822,4,0),"")</f>
        <v>ACTPETS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IFERROR(VLOOKUP(B4407,Enero!$B$2:$G$5822,4,0),"")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IFERROR(VLOOKUP(B4408,Enero!$B$2:$G$5822,4,0),"")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IFERROR(VLOOKUP(B4409,Enero!$B$2:$G$5822,4,0),"")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IFERROR(VLOOKUP(B4410,Enero!$B$2:$G$5822,4,0),"")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IFERROR(VLOOKUP(B4411,Enero!$B$2:$G$5822,4,0),"")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IFERROR(VLOOKUP(B4412,Enero!$B$2:$G$5822,4,0),"")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IFERROR(VLOOKUP(B4413,Enero!$B$2:$G$5822,4,0),"")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IFERROR(VLOOKUP(B4414,Enero!$B$2:$G$5822,4,0),"")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IFERROR(VLOOKUP(B4415,Enero!$B$2:$G$5822,4,0),"")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IFERROR(VLOOKUP(B4416,Enero!$B$2:$G$5822,4,0),"")</f>
        <v>APA_PC</v>
      </c>
    </row>
    <row r="4417" spans="1:7" x14ac:dyDescent="0.25">
      <c r="A4417" s="11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IFERROR(VLOOKUP(B4417,Enero!$B$2:$G$5822,4,0),"")</f>
        <v>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IFERROR(VLOOKUP(B4418,Enero!$B$2:$G$5822,4,0),"")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IFERROR(VLOOKUP(B4419,Enero!$B$2:$G$5822,4,0),"")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IFERROR(VLOOKUP(B4420,Enero!$B$2:$G$5822,4,0),"")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IFERROR(VLOOKUP(B4421,Enero!$B$2:$G$5822,4,0),"")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IFERROR(VLOOKUP(B4422,Enero!$B$2:$G$5822,4,0),"")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IFERROR(VLOOKUP(B4423,Enero!$B$2:$G$5822,4,0),"")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IFERROR(VLOOKUP(B4424,Enero!$B$2:$G$5822,4,0),"")</f>
        <v>APA_PC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IFERROR(VLOOKUP(B4425,Enero!$B$2:$G$5822,4,0),"")</f>
        <v>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IFERROR(VLOOKUP(B4426,Enero!$B$2:$G$5822,4,0),"")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IFERROR(VLOOKUP(B4427,Enero!$B$2:$G$5822,4,0),"")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IFERROR(VLOOKUP(B4428,Enero!$B$2:$G$5822,4,0),"")</f>
        <v>APA_PC</v>
      </c>
    </row>
    <row r="4429" spans="1:7" x14ac:dyDescent="0.25">
      <c r="A4429" s="11"/>
      <c r="B4429" s="4" t="s">
        <v>4340</v>
      </c>
      <c r="C4429" s="4" t="s">
        <v>14</v>
      </c>
      <c r="D4429" s="4" t="s">
        <v>15</v>
      </c>
      <c r="E4429" s="4" t="s">
        <v>16</v>
      </c>
      <c r="F4429" s="4" t="s">
        <v>14</v>
      </c>
      <c r="G4429" s="5" t="str">
        <f>IFERROR(VLOOKUP(B4429,Enero!$B$2:$G$5822,4,0),"")</f>
        <v>ATAPET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IFERROR(VLOOKUP(B4430,Enero!$B$2:$G$5822,4,0),"")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IFERROR(VLOOKUP(B4431,Enero!$B$2:$G$5822,4,0),"")</f>
        <v>APA_PC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IFERROR(VLOOKUP(B4432,Enero!$B$2:$G$5822,4,0),"")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IFERROR(VLOOKUP(B4433,Enero!$B$2:$G$5822,4,0),"")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IFERROR(VLOOKUP(B4434,Enero!$B$2:$G$5822,4,0),"")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IFERROR(VLOOKUP(B4435,Enero!$B$2:$G$5822,4,0),"")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IFERROR(VLOOKUP(B4436,Enero!$B$2:$G$5822,4,0),"")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IFERROR(VLOOKUP(B4437,Enero!$B$2:$G$5822,4,0),"")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IFERROR(VLOOKUP(B4438,Enero!$B$2:$G$5822,4,0),"")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IFERROR(VLOOKUP(B4439,Enero!$B$2:$G$5822,4,0),"")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IFERROR(VLOOKUP(B4440,Enero!$B$2:$G$5822,4,0),"")</f>
        <v>ACTPETF</v>
      </c>
    </row>
    <row r="4441" spans="1:7" x14ac:dyDescent="0.25">
      <c r="A4441" s="11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IFERROR(VLOOKUP(B4441,Enero!$B$2:$G$5822,4,0),"")</f>
        <v>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IFERROR(VLOOKUP(B4442,Enero!$B$2:$G$5822,4,0),"")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IFERROR(VLOOKUP(B4443,Enero!$B$2:$G$5822,4,0),"")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IFERROR(VLOOKUP(B4444,Enero!$B$2:$G$5822,4,0),"")</f>
        <v>ACTPETS</v>
      </c>
    </row>
    <row r="4445" spans="1:7" x14ac:dyDescent="0.25">
      <c r="A4445" s="11"/>
      <c r="B4445" s="4" t="s">
        <v>4356</v>
      </c>
      <c r="C4445" s="4" t="s">
        <v>11</v>
      </c>
      <c r="D4445" s="4" t="s">
        <v>11</v>
      </c>
      <c r="E4445" s="4" t="s">
        <v>11</v>
      </c>
      <c r="F4445" s="4" t="s">
        <v>1385</v>
      </c>
      <c r="G4445" s="5" t="str">
        <f>IFERROR(VLOOKUP(B4445,Enero!$B$2:$G$5822,4,0),"")</f>
        <v>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IFERROR(VLOOKUP(B4446,Enero!$B$2:$G$5822,4,0),"")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IFERROR(VLOOKUP(B4447,Enero!$B$2:$G$5822,4,0),"")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IFERROR(VLOOKUP(B4448,Enero!$B$2:$G$5822,4,0),"")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IFERROR(VLOOKUP(B4449,Enero!$B$2:$G$5822,4,0),"")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IFERROR(VLOOKUP(B4450,Enero!$B$2:$G$5822,4,0),"")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IFERROR(VLOOKUP(B4451,Enero!$B$2:$G$5822,4,0),"")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IFERROR(VLOOKUP(B4452,Enero!$B$2:$G$5822,4,0),"")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IFERROR(VLOOKUP(B4453,Enero!$B$2:$G$5822,4,0),"")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IFERROR(VLOOKUP(B4454,Enero!$B$2:$G$5822,4,0),"")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IFERROR(VLOOKUP(B4455,Enero!$B$2:$G$5822,4,0),"")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IFERROR(VLOOKUP(B4456,Enero!$B$2:$G$5822,4,0),"")</f>
        <v>APA_PC</v>
      </c>
    </row>
    <row r="4457" spans="1:7" x14ac:dyDescent="0.25">
      <c r="A4457" s="11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IFERROR(VLOOKUP(B4457,Enero!$B$2:$G$5822,4,0),"")</f>
        <v>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IFERROR(VLOOKUP(B4458,Enero!$B$2:$G$5822,4,0),"")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IFERROR(VLOOKUP(B4459,Enero!$B$2:$G$5822,4,0),"")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IFERROR(VLOOKUP(B4460,Enero!$B$2:$G$5822,4,0),"")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IFERROR(VLOOKUP(B4461,Enero!$B$2:$G$5822,4,0),"")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IFERROR(VLOOKUP(B4462,Enero!$B$2:$G$5822,4,0),"")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IFERROR(VLOOKUP(B4463,Enero!$B$2:$G$5822,4,0),"")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IFERROR(VLOOKUP(B4464,Enero!$B$2:$G$5822,4,0),"")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IFERROR(VLOOKUP(B4465,Enero!$B$2:$G$5822,4,0),"")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IFERROR(VLOOKUP(B4466,Enero!$B$2:$G$5822,4,0),"")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IFERROR(VLOOKUP(B4467,Enero!$B$2:$G$5822,4,0),"")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IFERROR(VLOOKUP(B4468,Enero!$B$2:$G$5822,4,0),"")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IFERROR(VLOOKUP(B4469,Enero!$B$2:$G$5822,4,0),"")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IFERROR(VLOOKUP(B4470,Enero!$B$2:$G$5822,4,0),"")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IFERROR(VLOOKUP(B4471,Enero!$B$2:$G$5822,4,0),"")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IFERROR(VLOOKUP(B4472,Enero!$B$2:$G$5822,4,0),"")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IFERROR(VLOOKUP(B4473,Enero!$B$2:$G$5822,4,0),"")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IFERROR(VLOOKUP(B4474,Enero!$B$2:$G$5822,4,0),"")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IFERROR(VLOOKUP(B4475,Enero!$B$2:$G$5822,4,0),"")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IFERROR(VLOOKUP(B4476,Enero!$B$2:$G$5822,4,0),"")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IFERROR(VLOOKUP(B4477,Enero!$B$2:$G$5822,4,0),"")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IFERROR(VLOOKUP(B4478,Enero!$B$2:$G$5822,4,0),"")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IFERROR(VLOOKUP(B4479,Enero!$B$2:$G$5822,4,0),"")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IFERROR(VLOOKUP(B4480,Enero!$B$2:$G$5822,4,0),"")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IFERROR(VLOOKUP(B4481,Enero!$B$2:$G$5822,4,0),"")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IFERROR(VLOOKUP(B4482,Enero!$B$2:$G$5822,4,0),"")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IFERROR(VLOOKUP(B4483,Enero!$B$2:$G$5822,4,0),"")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IFERROR(VLOOKUP(B4484,Enero!$B$2:$G$5822,4,0),"")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IFERROR(VLOOKUP(B4485,Enero!$B$2:$G$5822,4,0),"")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IFERROR(VLOOKUP(B4486,Enero!$B$2:$G$5822,4,0),"")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IFERROR(VLOOKUP(B4487,Enero!$B$2:$G$5822,4,0),"")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IFERROR(VLOOKUP(B4488,Enero!$B$2:$G$5822,4,0),"")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IFERROR(VLOOKUP(B4489,Enero!$B$2:$G$5822,4,0),"")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IFERROR(VLOOKUP(B4490,Enero!$B$2:$G$5822,4,0),"")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IFERROR(VLOOKUP(B4491,Enero!$B$2:$G$5822,4,0),"")</f>
        <v>APA_PC</v>
      </c>
    </row>
    <row r="4492" spans="1:7" x14ac:dyDescent="0.25">
      <c r="A4492" s="11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IFERROR(VLOOKUP(B4492,Enero!$B$2:$G$5822,4,0),"")</f>
        <v>INACTPETS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IFERROR(VLOOKUP(B4493,Enero!$B$2:$G$5822,4,0),"")</f>
        <v>ATAPET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IFERROR(VLOOKUP(B4494,Enero!$B$2:$G$5822,4,0),"")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IFERROR(VLOOKUP(B4495,Enero!$B$2:$G$5822,4,0),"")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IFERROR(VLOOKUP(B4496,Enero!$B$2:$G$5822,4,0),"")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IFERROR(VLOOKUP(B4497,Enero!$B$2:$G$5822,4,0),"")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IFERROR(VLOOKUP(B4498,Enero!$B$2:$G$5822,4,0),"")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IFERROR(VLOOKUP(B4499,Enero!$B$2:$G$5822,4,0),"")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IFERROR(VLOOKUP(B4500,Enero!$B$2:$G$5822,4,0),"")</f>
        <v>BM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IFERROR(VLOOKUP(B4501,Enero!$B$2:$G$5822,4,0),"")</f>
        <v>INACTPETF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IFERROR(VLOOKUP(B4502,Enero!$B$2:$G$5822,4,0),"")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IFERROR(VLOOKUP(B4503,Enero!$B$2:$G$5822,4,0),"")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IFERROR(VLOOKUP(B4504,Enero!$B$2:$G$5822,4,0),"")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IFERROR(VLOOKUP(B4505,Enero!$B$2:$G$5822,4,0),"")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IFERROR(VLOOKUP(B4506,Enero!$B$2:$G$5822,4,0),"")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IFERROR(VLOOKUP(B4507,Enero!$B$2:$G$5822,4,0),"")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IFERROR(VLOOKUP(B4508,Enero!$B$2:$G$5822,4,0),"")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IFERROR(VLOOKUP(B4509,Enero!$B$2:$G$5822,4,0),"")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IFERROR(VLOOKUP(B4510,Enero!$B$2:$G$5822,4,0),"")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IFERROR(VLOOKUP(B4511,Enero!$B$2:$G$5822,4,0),"")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IFERROR(VLOOKUP(B4512,Enero!$B$2:$G$5822,4,0),"")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IFERROR(VLOOKUP(B4513,Enero!$B$2:$G$5822,4,0),"")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IFERROR(VLOOKUP(B4514,Enero!$B$2:$G$5822,4,0),"")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IFERROR(VLOOKUP(B4515,Enero!$B$2:$G$5822,4,0),"")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IFERROR(VLOOKUP(B4516,Enero!$B$2:$G$5822,4,0),"")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IFERROR(VLOOKUP(B4517,Enero!$B$2:$G$5822,4,0),"")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IFERROR(VLOOKUP(B4518,Enero!$B$2:$G$5822,4,0),"")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IFERROR(VLOOKUP(B4519,Enero!$B$2:$G$5822,4,0),"")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IFERROR(VLOOKUP(B4520,Enero!$B$2:$G$5822,4,0),"")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IFERROR(VLOOKUP(B4521,Enero!$B$2:$G$5822,4,0),"")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IFERROR(VLOOKUP(B4522,Enero!$B$2:$G$5822,4,0),"")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IFERROR(VLOOKUP(B4523,Enero!$B$2:$G$5822,4,0),"")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IFERROR(VLOOKUP(B4524,Enero!$B$2:$G$5822,4,0),"")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IFERROR(VLOOKUP(B4525,Enero!$B$2:$G$5822,4,0),"")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IFERROR(VLOOKUP(B4526,Enero!$B$2:$G$5822,4,0),"")</f>
        <v>APA_PC</v>
      </c>
    </row>
    <row r="4527" spans="1:7" x14ac:dyDescent="0.25">
      <c r="A4527" s="11"/>
      <c r="B4527" s="4" t="s">
        <v>4438</v>
      </c>
      <c r="C4527" s="4" t="s">
        <v>11</v>
      </c>
      <c r="D4527" s="4" t="s">
        <v>11</v>
      </c>
      <c r="E4527" s="4" t="s">
        <v>11</v>
      </c>
      <c r="F4527" s="4" t="s">
        <v>1822</v>
      </c>
      <c r="G4527" s="5" t="str">
        <f>IFERROR(VLOOKUP(B4527,Enero!$B$2:$G$5822,4,0),"")</f>
        <v>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IFERROR(VLOOKUP(B4528,Enero!$B$2:$G$5822,4,0),"")</f>
        <v>BM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IFERROR(VLOOKUP(B4529,Enero!$B$2:$G$5822,4,0),"")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IFERROR(VLOOKUP(B4530,Enero!$B$2:$G$5822,4,0),"")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IFERROR(VLOOKUP(B4531,Enero!$B$2:$G$5822,4,0),"")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IFERROR(VLOOKUP(B4532,Enero!$B$2:$G$5822,4,0),"")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IFERROR(VLOOKUP(B4533,Enero!$B$2:$G$5822,4,0),"")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IFERROR(VLOOKUP(B4534,Enero!$B$2:$G$5822,4,0),"")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IFERROR(VLOOKUP(B4535,Enero!$B$2:$G$5822,4,0),"")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IFERROR(VLOOKUP(B4536,Enero!$B$2:$G$5822,4,0),"")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IFERROR(VLOOKUP(B4537,Enero!$B$2:$G$5822,4,0),"")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IFERROR(VLOOKUP(B4538,Enero!$B$2:$G$5822,4,0),"")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IFERROR(VLOOKUP(B4539,Enero!$B$2:$G$5822,4,0),"")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IFERROR(VLOOKUP(B4540,Enero!$B$2:$G$5822,4,0),"")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IFERROR(VLOOKUP(B4541,Enero!$B$2:$G$5822,4,0),"")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IFERROR(VLOOKUP(B4542,Enero!$B$2:$G$5822,4,0),"")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IFERROR(VLOOKUP(B4543,Enero!$B$2:$G$5822,4,0),"")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IFERROR(VLOOKUP(B4544,Enero!$B$2:$G$5822,4,0),"")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IFERROR(VLOOKUP(B4545,Enero!$B$2:$G$5822,4,0),"")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IFERROR(VLOOKUP(B4546,Enero!$B$2:$G$5822,4,0),"")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IFERROR(VLOOKUP(B4547,Enero!$B$2:$G$5822,4,0),"")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IFERROR(VLOOKUP(B4548,Enero!$B$2:$G$5822,4,0),"")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IFERROR(VLOOKUP(B4549,Enero!$B$2:$G$5822,4,0),"")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IFERROR(VLOOKUP(B4550,Enero!$B$2:$G$5822,4,0),"")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IFERROR(VLOOKUP(B4551,Enero!$B$2:$G$5822,4,0),"")</f>
        <v>INACTPETS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IFERROR(VLOOKUP(B4552,Enero!$B$2:$G$5822,4,0),"")</f>
        <v>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IFERROR(VLOOKUP(B4553,Enero!$B$2:$G$5822,4,0),"")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IFERROR(VLOOKUP(B4554,Enero!$B$2:$G$5822,4,0),"")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IFERROR(VLOOKUP(B4555,Enero!$B$2:$G$5822,4,0),"")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IFERROR(VLOOKUP(B4556,Enero!$B$2:$G$5822,4,0),"")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IFERROR(VLOOKUP(B4557,Enero!$B$2:$G$5822,4,0),"")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IFERROR(VLOOKUP(B4558,Enero!$B$2:$G$5822,4,0),"")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IFERROR(VLOOKUP(B4559,Enero!$B$2:$G$5822,4,0),"")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IFERROR(VLOOKUP(B4560,Enero!$B$2:$G$5822,4,0),"")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IFERROR(VLOOKUP(B4561,Enero!$B$2:$G$5822,4,0),"")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IFERROR(VLOOKUP(B4562,Enero!$B$2:$G$5822,4,0),"")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IFERROR(VLOOKUP(B4563,Enero!$B$2:$G$5822,4,0),"")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IFERROR(VLOOKUP(B4564,Enero!$B$2:$G$5822,4,0),"")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IFERROR(VLOOKUP(B4565,Enero!$B$2:$G$5822,4,0),"")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IFERROR(VLOOKUP(B4566,Enero!$B$2:$G$5822,4,0),"")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IFERROR(VLOOKUP(B4567,Enero!$B$2:$G$5822,4,0),"")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IFERROR(VLOOKUP(B4568,Enero!$B$2:$G$5822,4,0),"")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IFERROR(VLOOKUP(B4569,Enero!$B$2:$G$5822,4,0),"")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IFERROR(VLOOKUP(B4570,Enero!$B$2:$G$5822,4,0),"")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IFERROR(VLOOKUP(B4571,Enero!$B$2:$G$5822,4,0),"")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IFERROR(VLOOKUP(B4572,Enero!$B$2:$G$5822,4,0),"")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IFERROR(VLOOKUP(B4573,Enero!$B$2:$G$5822,4,0),"")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IFERROR(VLOOKUP(B4574,Enero!$B$2:$G$5822,4,0),"")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IFERROR(VLOOKUP(B4575,Enero!$B$2:$G$5822,4,0),"")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IFERROR(VLOOKUP(B4576,Enero!$B$2:$G$5822,4,0),"")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IFERROR(VLOOKUP(B4577,Enero!$B$2:$G$5822,4,0),"")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IFERROR(VLOOKUP(B4578,Enero!$B$2:$G$5822,4,0),"")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IFERROR(VLOOKUP(B4579,Enero!$B$2:$G$5822,4,0),"")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IFERROR(VLOOKUP(B4580,Enero!$B$2:$G$5822,4,0),"")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IFERROR(VLOOKUP(B4581,Enero!$B$2:$G$5822,4,0),"")</f>
        <v>BM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IFERROR(VLOOKUP(B4582,Enero!$B$2:$G$5822,4,0),"")</f>
        <v>ACTPETF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IFERROR(VLOOKUP(B4583,Enero!$B$2:$G$5822,4,0),"")</f>
        <v>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IFERROR(VLOOKUP(B4584,Enero!$B$2:$G$5822,4,0),"")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IFERROR(VLOOKUP(B4585,Enero!$B$2:$G$5822,4,0),"")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IFERROR(VLOOKUP(B4586,Enero!$B$2:$G$5822,4,0),"")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IFERROR(VLOOKUP(B4587,Enero!$B$2:$G$5822,4,0),"")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IFERROR(VLOOKUP(B4588,Enero!$B$2:$G$5822,4,0),"")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IFERROR(VLOOKUP(B4589,Enero!$B$2:$G$5822,4,0),"")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IFERROR(VLOOKUP(B4590,Enero!$B$2:$G$5822,4,0),"")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IFERROR(VLOOKUP(B4591,Enero!$B$2:$G$5822,4,0),"")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IFERROR(VLOOKUP(B4592,Enero!$B$2:$G$5822,4,0),"")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IFERROR(VLOOKUP(B4593,Enero!$B$2:$G$5822,4,0),"")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IFERROR(VLOOKUP(B4594,Enero!$B$2:$G$5822,4,0),"")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IFERROR(VLOOKUP(B4595,Enero!$B$2:$G$5822,4,0),"")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IFERROR(VLOOKUP(B4596,Enero!$B$2:$G$5822,4,0),"")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IFERROR(VLOOKUP(B4597,Enero!$B$2:$G$5822,4,0),"")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IFERROR(VLOOKUP(B4598,Enero!$B$2:$G$5822,4,0),"")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IFERROR(VLOOKUP(B4599,Enero!$B$2:$G$5822,4,0),"")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IFERROR(VLOOKUP(B4600,Enero!$B$2:$G$5822,4,0),"")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IFERROR(VLOOKUP(B4601,Enero!$B$2:$G$5822,4,0),"")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IFERROR(VLOOKUP(B4602,Enero!$B$2:$G$5822,4,0),"")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IFERROR(VLOOKUP(B4603,Enero!$B$2:$G$5822,4,0),"")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IFERROR(VLOOKUP(B4604,Enero!$B$2:$G$5822,4,0),"")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IFERROR(VLOOKUP(B4605,Enero!$B$2:$G$5822,4,0),"")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IFERROR(VLOOKUP(B4606,Enero!$B$2:$G$5822,4,0),"")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IFERROR(VLOOKUP(B4607,Enero!$B$2:$G$5822,4,0),"")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IFERROR(VLOOKUP(B4608,Enero!$B$2:$G$5822,4,0),"")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IFERROR(VLOOKUP(B4609,Enero!$B$2:$G$5822,4,0),"")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IFERROR(VLOOKUP(B4610,Enero!$B$2:$G$5822,4,0),"")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IFERROR(VLOOKUP(B4611,Enero!$B$2:$G$5822,4,0),"")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IFERROR(VLOOKUP(B4612,Enero!$B$2:$G$5822,4,0),"")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IFERROR(VLOOKUP(B4613,Enero!$B$2:$G$5822,4,0),"")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IFERROR(VLOOKUP(B4614,Enero!$B$2:$G$5822,4,0),"")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IFERROR(VLOOKUP(B4615,Enero!$B$2:$G$5822,4,0),"")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IFERROR(VLOOKUP(B4616,Enero!$B$2:$G$5822,4,0),"")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IFERROR(VLOOKUP(B4617,Enero!$B$2:$G$5822,4,0),"")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IFERROR(VLOOKUP(B4618,Enero!$B$2:$G$5822,4,0),"")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IFERROR(VLOOKUP(B4619,Enero!$B$2:$G$5822,4,0),"")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IFERROR(VLOOKUP(B4620,Enero!$B$2:$G$5822,4,0),"")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IFERROR(VLOOKUP(B4621,Enero!$B$2:$G$5822,4,0),"")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IFERROR(VLOOKUP(B4622,Enero!$B$2:$G$5822,4,0),"")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IFERROR(VLOOKUP(B4623,Enero!$B$2:$G$5822,4,0),"")</f>
        <v>APA_PC</v>
      </c>
    </row>
    <row r="4624" spans="1:7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IFERROR(VLOOKUP(B4624,Enero!$B$2:$G$5822,4,0),"")</f>
        <v>INACTPETF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IFERROR(VLOOKUP(B4625,Enero!$B$2:$G$5822,4,0),"")</f>
        <v>INACTPETF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IFERROR(VLOOKUP(B4626,Enero!$B$2:$G$5822,4,0),"")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IFERROR(VLOOKUP(B4627,Enero!$B$2:$G$5822,4,0),"")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IFERROR(VLOOKUP(B4628,Enero!$B$2:$G$5822,4,0),"")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IFERROR(VLOOKUP(B4629,Enero!$B$2:$G$5822,4,0),"")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IFERROR(VLOOKUP(B4630,Enero!$B$2:$G$5822,4,0),"")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IFERROR(VLOOKUP(B4631,Enero!$B$2:$G$5822,4,0),"")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IFERROR(VLOOKUP(B4632,Enero!$B$2:$G$5822,4,0),"")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IFERROR(VLOOKUP(B4633,Enero!$B$2:$G$5822,4,0),"")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IFERROR(VLOOKUP(B4634,Enero!$B$2:$G$5822,4,0),"")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IFERROR(VLOOKUP(B4635,Enero!$B$2:$G$5822,4,0),"")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IFERROR(VLOOKUP(B4636,Enero!$B$2:$G$5822,4,0),"")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IFERROR(VLOOKUP(B4637,Enero!$B$2:$G$5822,4,0),"")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IFERROR(VLOOKUP(B4638,Enero!$B$2:$G$5822,4,0),"")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IFERROR(VLOOKUP(B4639,Enero!$B$2:$G$5822,4,0),"")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IFERROR(VLOOKUP(B4640,Enero!$B$2:$G$5822,4,0),"")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IFERROR(VLOOKUP(B4641,Enero!$B$2:$G$5822,4,0),"")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IFERROR(VLOOKUP(B4642,Enero!$B$2:$G$5822,4,0),"")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IFERROR(VLOOKUP(B4643,Enero!$B$2:$G$5822,4,0),"")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IFERROR(VLOOKUP(B4644,Enero!$B$2:$G$5822,4,0),"")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IFERROR(VLOOKUP(B4645,Enero!$B$2:$G$5822,4,0),"")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IFERROR(VLOOKUP(B4646,Enero!$B$2:$G$5822,4,0),"")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IFERROR(VLOOKUP(B4647,Enero!$B$2:$G$5822,4,0),"")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IFERROR(VLOOKUP(B4648,Enero!$B$2:$G$5822,4,0),"")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IFERROR(VLOOKUP(B4649,Enero!$B$2:$G$5822,4,0),"")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IFERROR(VLOOKUP(B4650,Enero!$B$2:$G$5822,4,0),"")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IFERROR(VLOOKUP(B4651,Enero!$B$2:$G$5822,4,0),"")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IFERROR(VLOOKUP(B4652,Enero!$B$2:$G$5822,4,0),"")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IFERROR(VLOOKUP(B4653,Enero!$B$2:$G$5822,4,0),"")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IFERROR(VLOOKUP(B4654,Enero!$B$2:$G$5822,4,0),"")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IFERROR(VLOOKUP(B4655,Enero!$B$2:$G$5822,4,0),"")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IFERROR(VLOOKUP(B4656,Enero!$B$2:$G$5822,4,0),"")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IFERROR(VLOOKUP(B4657,Enero!$B$2:$G$5822,4,0),"")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IFERROR(VLOOKUP(B4658,Enero!$B$2:$G$5822,4,0),"")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IFERROR(VLOOKUP(B4659,Enero!$B$2:$G$5822,4,0),"")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IFERROR(VLOOKUP(B4660,Enero!$B$2:$G$5822,4,0),"")</f>
        <v>ACTPETS</v>
      </c>
    </row>
    <row r="4661" spans="1:7" x14ac:dyDescent="0.25">
      <c r="A4661" s="11"/>
      <c r="B4661" s="4" t="s">
        <v>4572</v>
      </c>
      <c r="C4661" s="4" t="s">
        <v>24</v>
      </c>
      <c r="D4661" s="4" t="s">
        <v>25</v>
      </c>
      <c r="E4661" s="4" t="s">
        <v>26</v>
      </c>
      <c r="F4661" s="4" t="s">
        <v>21</v>
      </c>
      <c r="G4661" s="5" t="str">
        <f>IFERROR(VLOOKUP(B4661,Enero!$B$2:$G$5822,4,0),"")</f>
        <v>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IFERROR(VLOOKUP(B4662,Enero!$B$2:$G$5822,4,0),"")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IFERROR(VLOOKUP(B4663,Enero!$B$2:$G$5822,4,0),"")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IFERROR(VLOOKUP(B4664,Enero!$B$2:$G$5822,4,0),"")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IFERROR(VLOOKUP(B4665,Enero!$B$2:$G$5822,4,0),"")</f>
        <v>ACTPETS</v>
      </c>
    </row>
    <row r="4666" spans="1:7" x14ac:dyDescent="0.25">
      <c r="A4666" s="11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IFERROR(VLOOKUP(B4666,Enero!$B$2:$G$5822,4,0),"")</f>
        <v>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IFERROR(VLOOKUP(B4667,Enero!$B$2:$G$5822,4,0),"")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IFERROR(VLOOKUP(B4668,Enero!$B$2:$G$5822,4,0),"")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IFERROR(VLOOKUP(B4669,Enero!$B$2:$G$5822,4,0),"")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IFERROR(VLOOKUP(B4670,Enero!$B$2:$G$5822,4,0),"")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IFERROR(VLOOKUP(B4671,Enero!$B$2:$G$5822,4,0),"")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IFERROR(VLOOKUP(B4672,Enero!$B$2:$G$5822,4,0),"")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IFERROR(VLOOKUP(B4673,Enero!$B$2:$G$5822,4,0),"")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IFERROR(VLOOKUP(B4674,Enero!$B$2:$G$5822,4,0),"")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IFERROR(VLOOKUP(B4675,Enero!$B$2:$G$5822,4,0),"")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IFERROR(VLOOKUP(B4676,Enero!$B$2:$G$5822,4,0),"")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IFERROR(VLOOKUP(B4677,Enero!$B$2:$G$5822,4,0),"")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IFERROR(VLOOKUP(B4678,Enero!$B$2:$G$5822,4,0),"")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IFERROR(VLOOKUP(B4679,Enero!$B$2:$G$5822,4,0),"")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IFERROR(VLOOKUP(B4680,Enero!$B$2:$G$5822,4,0),"")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IFERROR(VLOOKUP(B4681,Enero!$B$2:$G$5822,4,0),"")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IFERROR(VLOOKUP(B4682,Enero!$B$2:$G$5822,4,0),"")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IFERROR(VLOOKUP(B4683,Enero!$B$2:$G$5822,4,0),"")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IFERROR(VLOOKUP(B4684,Enero!$B$2:$G$5822,4,0),"")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IFERROR(VLOOKUP(B4685,Enero!$B$2:$G$5822,4,0),"")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IFERROR(VLOOKUP(B4686,Enero!$B$2:$G$5822,4,0),"")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IFERROR(VLOOKUP(B4687,Enero!$B$2:$G$5822,4,0),"")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IFERROR(VLOOKUP(B4688,Enero!$B$2:$G$5822,4,0),"")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IFERROR(VLOOKUP(B4689,Enero!$B$2:$G$5822,4,0),"")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IFERROR(VLOOKUP(B4690,Enero!$B$2:$G$5822,4,0),"")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IFERROR(VLOOKUP(B4691,Enero!$B$2:$G$5822,4,0),"")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IFERROR(VLOOKUP(B4692,Enero!$B$2:$G$5822,4,0),"")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IFERROR(VLOOKUP(B4693,Enero!$B$2:$G$5822,4,0),"")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IFERROR(VLOOKUP(B4694,Enero!$B$2:$G$5822,4,0),"")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IFERROR(VLOOKUP(B4695,Enero!$B$2:$G$5822,4,0),"")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IFERROR(VLOOKUP(B4696,Enero!$B$2:$G$5822,4,0),"")</f>
        <v>APA_PC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IFERROR(VLOOKUP(B4697,Enero!$B$2:$G$5822,4,0),"")</f>
        <v>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IFERROR(VLOOKUP(B4698,Enero!$B$2:$G$5822,4,0),"")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IFERROR(VLOOKUP(B4699,Enero!$B$2:$G$5822,4,0),"")</f>
        <v>APA_PC</v>
      </c>
    </row>
    <row r="4700" spans="1:7" x14ac:dyDescent="0.25">
      <c r="A4700" s="11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IFERROR(VLOOKUP(B4700,Enero!$B$2:$G$5822,4,0),"")</f>
        <v>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IFERROR(VLOOKUP(B4701,Enero!$B$2:$G$5822,4,0),"")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IFERROR(VLOOKUP(B4702,Enero!$B$2:$G$5822,4,0),"")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IFERROR(VLOOKUP(B4703,Enero!$B$2:$G$5822,4,0),"")</f>
        <v>INACTBM</v>
      </c>
    </row>
    <row r="4704" spans="1:7" x14ac:dyDescent="0.25">
      <c r="A4704" s="11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tr">
        <f>IFERROR(VLOOKUP(B4704,Enero!$B$2:$G$5822,4,0),"")</f>
        <v>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IFERROR(VLOOKUP(B4705,Enero!$B$2:$G$5822,4,0),"")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IFERROR(VLOOKUP(B4706,Enero!$B$2:$G$5822,4,0),"")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IFERROR(VLOOKUP(B4707,Enero!$B$2:$G$5822,4,0),"")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IFERROR(VLOOKUP(B4708,Enero!$B$2:$G$5822,4,0),"")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IFERROR(VLOOKUP(B4709,Enero!$B$2:$G$5822,4,0),"")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IFERROR(VLOOKUP(B4710,Enero!$B$2:$G$5822,4,0),"")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IFERROR(VLOOKUP(B4711,Enero!$B$2:$G$5822,4,0),"")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IFERROR(VLOOKUP(B4712,Enero!$B$2:$G$5822,4,0),"")</f>
        <v>ATAPET</v>
      </c>
    </row>
    <row r="4713" spans="1:7" x14ac:dyDescent="0.25">
      <c r="A4713" s="11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IFERROR(VLOOKUP(B4713,Enero!$B$2:$G$5822,4,0),"")</f>
        <v>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IFERROR(VLOOKUP(B4714,Enero!$B$2:$G$5822,4,0),"")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IFERROR(VLOOKUP(B4715,Enero!$B$2:$G$5822,4,0),"")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IFERROR(VLOOKUP(B4716,Enero!$B$2:$G$5822,4,0),"")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IFERROR(VLOOKUP(B4717,Enero!$B$2:$G$5822,4,0),"")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IFERROR(VLOOKUP(B4718,Enero!$B$2:$G$5822,4,0),"")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IFERROR(VLOOKUP(B4719,Enero!$B$2:$G$5822,4,0),"")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IFERROR(VLOOKUP(B4720,Enero!$B$2:$G$5822,4,0),"")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IFERROR(VLOOKUP(B4721,Enero!$B$2:$G$5822,4,0),"")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IFERROR(VLOOKUP(B4722,Enero!$B$2:$G$5822,4,0),"")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IFERROR(VLOOKUP(B4723,Enero!$B$2:$G$5822,4,0),"")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IFERROR(VLOOKUP(B4724,Enero!$B$2:$G$5822,4,0),"")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IFERROR(VLOOKUP(B4725,Enero!$B$2:$G$5822,4,0),"")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IFERROR(VLOOKUP(B4726,Enero!$B$2:$G$5822,4,0),"")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IFERROR(VLOOKUP(B4727,Enero!$B$2:$G$5822,4,0),"")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IFERROR(VLOOKUP(B4728,Enero!$B$2:$G$5822,4,0),"")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IFERROR(VLOOKUP(B4729,Enero!$B$2:$G$5822,4,0),"")</f>
        <v>APA_CNPC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IFERROR(VLOOKUP(B4730,Enero!$B$2:$G$5822,4,0),"")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IFERROR(VLOOKUP(B4731,Enero!$B$2:$G$5822,4,0),"")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IFERROR(VLOOKUP(B4732,Enero!$B$2:$G$5822,4,0),"")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IFERROR(VLOOKUP(B4733,Enero!$B$2:$G$5822,4,0),"")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IFERROR(VLOOKUP(B4734,Enero!$B$2:$G$5822,4,0),"")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IFERROR(VLOOKUP(B4735,Enero!$B$2:$G$5822,4,0),"")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IFERROR(VLOOKUP(B4736,Enero!$B$2:$G$5822,4,0),"")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IFERROR(VLOOKUP(B4737,Enero!$B$2:$G$5822,4,0),"")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IFERROR(VLOOKUP(B4738,Enero!$B$2:$G$5822,4,0),"")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IFERROR(VLOOKUP(B4739,Enero!$B$2:$G$5822,4,0),"")</f>
        <v>INACTPETS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IFERROR(VLOOKUP(B4740,Enero!$B$2:$G$5822,4,0),"")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IFERROR(VLOOKUP(B4741,Enero!$B$2:$G$5822,4,0),"")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IFERROR(VLOOKUP(B4742,Enero!$B$2:$G$5822,4,0),"")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IFERROR(VLOOKUP(B4743,Enero!$B$2:$G$5822,4,0),"")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IFERROR(VLOOKUP(B4744,Enero!$B$2:$G$5822,4,0),"")</f>
        <v>BM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IFERROR(VLOOKUP(B4745,Enero!$B$2:$G$5822,4,0),"")</f>
        <v>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IFERROR(VLOOKUP(B4746,Enero!$B$2:$G$5822,4,0),"")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IFERROR(VLOOKUP(B4747,Enero!$B$2:$G$5822,4,0),"")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IFERROR(VLOOKUP(B4748,Enero!$B$2:$G$5822,4,0),"")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IFERROR(VLOOKUP(B4749,Enero!$B$2:$G$5822,4,0),"")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IFERROR(VLOOKUP(B4750,Enero!$B$2:$G$5822,4,0),"")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IFERROR(VLOOKUP(B4751,Enero!$B$2:$G$5822,4,0),"")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IFERROR(VLOOKUP(B4752,Enero!$B$2:$G$5822,4,0),"")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IFERROR(VLOOKUP(B4753,Enero!$B$2:$G$5822,4,0),"")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IFERROR(VLOOKUP(B4754,Enero!$B$2:$G$5822,4,0),"")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IFERROR(VLOOKUP(B4755,Enero!$B$2:$G$5822,4,0),"")</f>
        <v>APA_PC</v>
      </c>
    </row>
    <row r="4756" spans="1:7" x14ac:dyDescent="0.25">
      <c r="A4756" s="11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IFERROR(VLOOKUP(B4756,Enero!$B$2:$G$5822,4,0),"")</f>
        <v>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IFERROR(VLOOKUP(B4757,Enero!$B$2:$G$5822,4,0),"")</f>
        <v>ACTPETF</v>
      </c>
    </row>
    <row r="4758" spans="1:7" x14ac:dyDescent="0.25">
      <c r="A4758" s="11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IFERROR(VLOOKUP(B4758,Enero!$B$2:$G$5822,4,0),"")</f>
        <v>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IFERROR(VLOOKUP(B4759,Enero!$B$2:$G$5822,4,0),"")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IFERROR(VLOOKUP(B4760,Enero!$B$2:$G$5822,4,0),"")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IFERROR(VLOOKUP(B4761,Enero!$B$2:$G$5822,4,0),"")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IFERROR(VLOOKUP(B4762,Enero!$B$2:$G$5822,4,0),"")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IFERROR(VLOOKUP(B4763,Enero!$B$2:$G$5822,4,0),"")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IFERROR(VLOOKUP(B4764,Enero!$B$2:$G$5822,4,0),"")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IFERROR(VLOOKUP(B4765,Enero!$B$2:$G$5822,4,0),"")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IFERROR(VLOOKUP(B4766,Enero!$B$2:$G$5822,4,0),"")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IFERROR(VLOOKUP(B4767,Enero!$B$2:$G$5822,4,0),"")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IFERROR(VLOOKUP(B4768,Enero!$B$2:$G$5822,4,0),"")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IFERROR(VLOOKUP(B4769,Enero!$B$2:$G$5822,4,0),"")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IFERROR(VLOOKUP(B4770,Enero!$B$2:$G$5822,4,0),"")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IFERROR(VLOOKUP(B4771,Enero!$B$2:$G$5822,4,0),"")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IFERROR(VLOOKUP(B4772,Enero!$B$2:$G$5822,4,0),"")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IFERROR(VLOOKUP(B4773,Enero!$B$2:$G$5822,4,0),"")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IFERROR(VLOOKUP(B4774,Enero!$B$2:$G$5822,4,0),"")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IFERROR(VLOOKUP(B4775,Enero!$B$2:$G$5822,4,0),"")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IFERROR(VLOOKUP(B4776,Enero!$B$2:$G$5822,4,0),"")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IFERROR(VLOOKUP(B4777,Enero!$B$2:$G$5822,4,0),"")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IFERROR(VLOOKUP(B4778,Enero!$B$2:$G$5822,4,0),"")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IFERROR(VLOOKUP(B4779,Enero!$B$2:$G$5822,4,0),"")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IFERROR(VLOOKUP(B4780,Enero!$B$2:$G$5822,4,0),"")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IFERROR(VLOOKUP(B4781,Enero!$B$2:$G$5822,4,0),"")</f>
        <v>ATAPET</v>
      </c>
    </row>
    <row r="4782" spans="1:7" x14ac:dyDescent="0.25">
      <c r="A4782" s="11"/>
      <c r="B4782" s="4" t="s">
        <v>4693</v>
      </c>
      <c r="C4782" s="4" t="s">
        <v>109</v>
      </c>
      <c r="D4782" s="4" t="s">
        <v>110</v>
      </c>
      <c r="E4782" s="4" t="s">
        <v>111</v>
      </c>
      <c r="F4782" s="4" t="s">
        <v>112</v>
      </c>
      <c r="G4782" s="5" t="str">
        <f>IFERROR(VLOOKUP(B4782,Enero!$B$2:$G$5822,4,0),"")</f>
        <v>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IFERROR(VLOOKUP(B4783,Enero!$B$2:$G$5822,4,0),"")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IFERROR(VLOOKUP(B4784,Enero!$B$2:$G$5822,4,0),"")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IFERROR(VLOOKUP(B4785,Enero!$B$2:$G$5822,4,0),"")</f>
        <v>APA_PC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IFERROR(VLOOKUP(B4786,Enero!$B$2:$G$5822,4,0),"")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IFERROR(VLOOKUP(B4787,Enero!$B$2:$G$5822,4,0),"")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IFERROR(VLOOKUP(B4788,Enero!$B$2:$G$5822,4,0),"")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IFERROR(VLOOKUP(B4789,Enero!$B$2:$G$5822,4,0),"")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IFERROR(VLOOKUP(B4790,Enero!$B$2:$G$5822,4,0),"")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IFERROR(VLOOKUP(B4791,Enero!$B$2:$G$5822,4,0),"")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IFERROR(VLOOKUP(B4792,Enero!$B$2:$G$5822,4,0),"")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IFERROR(VLOOKUP(B4793,Enero!$B$2:$G$5822,4,0),"")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IFERROR(VLOOKUP(B4794,Enero!$B$2:$G$5822,4,0),"")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IFERROR(VLOOKUP(B4795,Enero!$B$2:$G$5822,4,0),"")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IFERROR(VLOOKUP(B4796,Enero!$B$2:$G$5822,4,0),"")</f>
        <v>APA_PC</v>
      </c>
    </row>
    <row r="4797" spans="1:7" x14ac:dyDescent="0.25">
      <c r="A4797" s="11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IFERROR(VLOOKUP(B4797,Enero!$B$2:$G$5822,4,0),"")</f>
        <v>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IFERROR(VLOOKUP(B4798,Enero!$B$2:$G$5822,4,0),"")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IFERROR(VLOOKUP(B4799,Enero!$B$2:$G$5822,4,0),"")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IFERROR(VLOOKUP(B4800,Enero!$B$2:$G$5822,4,0),"")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IFERROR(VLOOKUP(B4801,Enero!$B$2:$G$5822,4,0),"")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IFERROR(VLOOKUP(B4802,Enero!$B$2:$G$5822,4,0),"")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IFERROR(VLOOKUP(B4803,Enero!$B$2:$G$5822,4,0),"")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IFERROR(VLOOKUP(B4804,Enero!$B$2:$G$5822,4,0),"")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IFERROR(VLOOKUP(B4805,Enero!$B$2:$G$5822,4,0),"")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IFERROR(VLOOKUP(B4806,Enero!$B$2:$G$5822,4,0),"")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IFERROR(VLOOKUP(B4807,Enero!$B$2:$G$5822,4,0),"")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IFERROR(VLOOKUP(B4808,Enero!$B$2:$G$5822,4,0),"")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IFERROR(VLOOKUP(B4809,Enero!$B$2:$G$5822,4,0),"")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IFERROR(VLOOKUP(B4810,Enero!$B$2:$G$5822,4,0),"")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IFERROR(VLOOKUP(B4811,Enero!$B$2:$G$5822,4,0),"")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IFERROR(VLOOKUP(B4812,Enero!$B$2:$G$5822,4,0),"")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IFERROR(VLOOKUP(B4813,Enero!$B$2:$G$5822,4,0),"")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IFERROR(VLOOKUP(B4814,Enero!$B$2:$G$5822,4,0),"")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IFERROR(VLOOKUP(B4815,Enero!$B$2:$G$5822,4,0),"")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IFERROR(VLOOKUP(B4816,Enero!$B$2:$G$5822,4,0),"")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IFERROR(VLOOKUP(B4817,Enero!$B$2:$G$5822,4,0),"")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IFERROR(VLOOKUP(B4818,Enero!$B$2:$G$5822,4,0),"")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IFERROR(VLOOKUP(B4819,Enero!$B$2:$G$5822,4,0),"")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IFERROR(VLOOKUP(B4820,Enero!$B$2:$G$5822,4,0),"")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IFERROR(VLOOKUP(B4821,Enero!$B$2:$G$5822,4,0),"")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IFERROR(VLOOKUP(B4822,Enero!$B$2:$G$5822,4,0),"")</f>
        <v>ACTPETF</v>
      </c>
    </row>
    <row r="4823" spans="1:7" x14ac:dyDescent="0.25">
      <c r="A4823" s="11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IFERROR(VLOOKUP(B4823,Enero!$B$2:$G$5822,4,0),"")</f>
        <v>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IFERROR(VLOOKUP(B4824,Enero!$B$2:$G$5822,4,0),"")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IFERROR(VLOOKUP(B4825,Enero!$B$2:$G$5822,4,0),"")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IFERROR(VLOOKUP(B4826,Enero!$B$2:$G$5822,4,0),"")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IFERROR(VLOOKUP(B4827,Enero!$B$2:$G$5822,4,0),"")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IFERROR(VLOOKUP(B4828,Enero!$B$2:$G$5822,4,0),"")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IFERROR(VLOOKUP(B4829,Enero!$B$2:$G$5822,4,0),"")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IFERROR(VLOOKUP(B4830,Enero!$B$2:$G$5822,4,0),"")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IFERROR(VLOOKUP(B4831,Enero!$B$2:$G$5822,4,0),"")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IFERROR(VLOOKUP(B4832,Enero!$B$2:$G$5822,4,0),"")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IFERROR(VLOOKUP(B4833,Enero!$B$2:$G$5822,4,0),"")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IFERROR(VLOOKUP(B4834,Enero!$B$2:$G$5822,4,0),"")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IFERROR(VLOOKUP(B4835,Enero!$B$2:$G$5822,4,0),"")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IFERROR(VLOOKUP(B4836,Enero!$B$2:$G$5822,4,0),"")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IFERROR(VLOOKUP(B4837,Enero!$B$2:$G$5822,4,0),"")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IFERROR(VLOOKUP(B4838,Enero!$B$2:$G$5822,4,0),"")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IFERROR(VLOOKUP(B4839,Enero!$B$2:$G$5822,4,0),"")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IFERROR(VLOOKUP(B4840,Enero!$B$2:$G$5822,4,0),"")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IFERROR(VLOOKUP(B4841,Enero!$B$2:$G$5822,4,0),"")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IFERROR(VLOOKUP(B4842,Enero!$B$2:$G$5822,4,0),"")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IFERROR(VLOOKUP(B4843,Enero!$B$2:$G$5822,4,0),"")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IFERROR(VLOOKUP(B4844,Enero!$B$2:$G$5822,4,0),"")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IFERROR(VLOOKUP(B4845,Enero!$B$2:$G$5822,4,0),"")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IFERROR(VLOOKUP(B4846,Enero!$B$2:$G$5822,4,0),"")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IFERROR(VLOOKUP(B4847,Enero!$B$2:$G$5822,4,0),"")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IFERROR(VLOOKUP(B4848,Enero!$B$2:$G$5822,4,0),"")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IFERROR(VLOOKUP(B4849,Enero!$B$2:$G$5822,4,0),"")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IFERROR(VLOOKUP(B4850,Enero!$B$2:$G$5822,4,0),"")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IFERROR(VLOOKUP(B4851,Enero!$B$2:$G$5822,4,0),"")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IFERROR(VLOOKUP(B4852,Enero!$B$2:$G$5822,4,0),"")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IFERROR(VLOOKUP(B4853,Enero!$B$2:$G$5822,4,0),"")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IFERROR(VLOOKUP(B4854,Enero!$B$2:$G$5822,4,0),"")</f>
        <v>ATAPET</v>
      </c>
    </row>
    <row r="4855" spans="1:7" x14ac:dyDescent="0.25">
      <c r="A4855" s="11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IFERROR(VLOOKUP(B4855,Enero!$B$2:$G$5822,4,0),"")</f>
        <v>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IFERROR(VLOOKUP(B4856,Enero!$B$2:$G$5822,4,0),"")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IFERROR(VLOOKUP(B4857,Enero!$B$2:$G$5822,4,0),"")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IFERROR(VLOOKUP(B4858,Enero!$B$2:$G$5822,4,0),"")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IFERROR(VLOOKUP(B4859,Enero!$B$2:$G$5822,4,0),"")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IFERROR(VLOOKUP(B4860,Enero!$B$2:$G$5822,4,0),"")</f>
        <v>INACTPETS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IFERROR(VLOOKUP(B4861,Enero!$B$2:$G$5822,4,0),"")</f>
        <v>ATAPET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IFERROR(VLOOKUP(B4862,Enero!$B$2:$G$5822,4,0),"")</f>
        <v>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IFERROR(VLOOKUP(B4863,Enero!$B$2:$G$5822,4,0),"")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IFERROR(VLOOKUP(B4864,Enero!$B$2:$G$5822,4,0),"")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IFERROR(VLOOKUP(B4865,Enero!$B$2:$G$5822,4,0),"")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IFERROR(VLOOKUP(B4866,Enero!$B$2:$G$5822,4,0),"")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IFERROR(VLOOKUP(B4867,Enero!$B$2:$G$5822,4,0),"")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IFERROR(VLOOKUP(B4868,Enero!$B$2:$G$5822,4,0),"")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IFERROR(VLOOKUP(B4869,Enero!$B$2:$G$5822,4,0),"")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IFERROR(VLOOKUP(B4870,Enero!$B$2:$G$5822,4,0),"")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IFERROR(VLOOKUP(B4871,Enero!$B$2:$G$5822,4,0),"")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IFERROR(VLOOKUP(B4872,Enero!$B$2:$G$5822,4,0),"")</f>
        <v>APA_PC</v>
      </c>
    </row>
    <row r="4873" spans="1:7" x14ac:dyDescent="0.25">
      <c r="A4873" s="11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IFERROR(VLOOKUP(B4873,Enero!$B$2:$G$5822,4,0),"")</f>
        <v>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IFERROR(VLOOKUP(B4874,Enero!$B$2:$G$5822,4,0),"")</f>
        <v>ATAPET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IFERROR(VLOOKUP(B4875,Enero!$B$2:$G$5822,4,0),"")</f>
        <v>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IFERROR(VLOOKUP(B4876,Enero!$B$2:$G$5822,4,0),"")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IFERROR(VLOOKUP(B4877,Enero!$B$2:$G$5822,4,0),"")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IFERROR(VLOOKUP(B4878,Enero!$B$2:$G$5822,4,0),"")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IFERROR(VLOOKUP(B4879,Enero!$B$2:$G$5822,4,0),"")</f>
        <v>ATAPET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IFERROR(VLOOKUP(B4880,Enero!$B$2:$G$5822,4,0),"")</f>
        <v>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IFERROR(VLOOKUP(B4881,Enero!$B$2:$G$5822,4,0),"")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IFERROR(VLOOKUP(B4882,Enero!$B$2:$G$5822,4,0),"")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IFERROR(VLOOKUP(B4883,Enero!$B$2:$G$5822,4,0),"")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IFERROR(VLOOKUP(B4884,Enero!$B$2:$G$5822,4,0),"")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IFERROR(VLOOKUP(B4885,Enero!$B$2:$G$5822,4,0),"")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IFERROR(VLOOKUP(B4886,Enero!$B$2:$G$5822,4,0),"")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IFERROR(VLOOKUP(B4887,Enero!$B$2:$G$5822,4,0),"")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IFERROR(VLOOKUP(B4888,Enero!$B$2:$G$5822,4,0),"")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IFERROR(VLOOKUP(B4889,Enero!$B$2:$G$5822,4,0),"")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IFERROR(VLOOKUP(B4890,Enero!$B$2:$G$5822,4,0),"")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IFERROR(VLOOKUP(B4891,Enero!$B$2:$G$5822,4,0),"")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IFERROR(VLOOKUP(B4892,Enero!$B$2:$G$5822,4,0),"")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IFERROR(VLOOKUP(B4893,Enero!$B$2:$G$5822,4,0),"")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IFERROR(VLOOKUP(B4894,Enero!$B$2:$G$5822,4,0),"")</f>
        <v>ACTPETF</v>
      </c>
    </row>
    <row r="4895" spans="1:7" x14ac:dyDescent="0.25">
      <c r="A4895" s="11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IFERROR(VLOOKUP(B4895,Enero!$B$2:$G$5822,4,0),"")</f>
        <v>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IFERROR(VLOOKUP(B4896,Enero!$B$2:$G$5822,4,0),"")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IFERROR(VLOOKUP(B4897,Enero!$B$2:$G$5822,4,0),"")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IFERROR(VLOOKUP(B4898,Enero!$B$2:$G$5822,4,0),"")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IFERROR(VLOOKUP(B4899,Enero!$B$2:$G$5822,4,0),"")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IFERROR(VLOOKUP(B4900,Enero!$B$2:$G$5822,4,0),"")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IFERROR(VLOOKUP(B4901,Enero!$B$2:$G$5822,4,0),"")</f>
        <v>APA_PC</v>
      </c>
    </row>
    <row r="4902" spans="1:7" x14ac:dyDescent="0.25">
      <c r="A4902" s="11"/>
      <c r="B4902" s="4" t="s">
        <v>4813</v>
      </c>
      <c r="C4902" s="4" t="s">
        <v>14</v>
      </c>
      <c r="D4902" s="4" t="s">
        <v>15</v>
      </c>
      <c r="E4902" s="4" t="s">
        <v>16</v>
      </c>
      <c r="F4902" s="4" t="s">
        <v>14</v>
      </c>
      <c r="G4902" s="5" t="str">
        <f>IFERROR(VLOOKUP(B4902,Enero!$B$2:$G$5822,4,0),"")</f>
        <v>ATAPET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IFERROR(VLOOKUP(B4903,Enero!$B$2:$G$5822,4,0),"")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IFERROR(VLOOKUP(B4904,Enero!$B$2:$G$5822,4,0),"")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IFERROR(VLOOKUP(B4905,Enero!$B$2:$G$5822,4,0),"")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IFERROR(VLOOKUP(B4906,Enero!$B$2:$G$5822,4,0),"")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IFERROR(VLOOKUP(B4907,Enero!$B$2:$G$5822,4,0),"")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IFERROR(VLOOKUP(B4908,Enero!$B$2:$G$5822,4,0),"")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IFERROR(VLOOKUP(B4909,Enero!$B$2:$G$5822,4,0),"")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IFERROR(VLOOKUP(B4910,Enero!$B$2:$G$5822,4,0),"")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IFERROR(VLOOKUP(B4911,Enero!$B$2:$G$5822,4,0),"")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IFERROR(VLOOKUP(B4912,Enero!$B$2:$G$5822,4,0),"")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IFERROR(VLOOKUP(B4913,Enero!$B$2:$G$5822,4,0),"")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IFERROR(VLOOKUP(B4914,Enero!$B$2:$G$5822,4,0),"")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IFERROR(VLOOKUP(B4915,Enero!$B$2:$G$5822,4,0),"")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IFERROR(VLOOKUP(B4916,Enero!$B$2:$G$5822,4,0),"")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IFERROR(VLOOKUP(B4917,Enero!$B$2:$G$5822,4,0),"")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IFERROR(VLOOKUP(B4918,Enero!$B$2:$G$5822,4,0),"")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IFERROR(VLOOKUP(B4919,Enero!$B$2:$G$5822,4,0),"")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IFERROR(VLOOKUP(B4920,Enero!$B$2:$G$5822,4,0),"")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IFERROR(VLOOKUP(B4921,Enero!$B$2:$G$5822,4,0),"")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IFERROR(VLOOKUP(B4922,Enero!$B$2:$G$5822,4,0),"")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IFERROR(VLOOKUP(B4923,Enero!$B$2:$G$5822,4,0),"")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IFERROR(VLOOKUP(B4924,Enero!$B$2:$G$5822,4,0),"")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IFERROR(VLOOKUP(B4925,Enero!$B$2:$G$5822,4,0),"")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IFERROR(VLOOKUP(B4926,Enero!$B$2:$G$5822,4,0),"")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IFERROR(VLOOKUP(B4927,Enero!$B$2:$G$5822,4,0),"")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IFERROR(VLOOKUP(B4928,Enero!$B$2:$G$5822,4,0),"")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IFERROR(VLOOKUP(B4929,Enero!$B$2:$G$5822,4,0),"")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IFERROR(VLOOKUP(B4930,Enero!$B$2:$G$5822,4,0),"")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IFERROR(VLOOKUP(B4931,Enero!$B$2:$G$5822,4,0),"")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IFERROR(VLOOKUP(B4932,Enero!$B$2:$G$5822,4,0),"")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IFERROR(VLOOKUP(B4933,Enero!$B$2:$G$5822,4,0),"")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IFERROR(VLOOKUP(B4934,Enero!$B$2:$G$5822,4,0),"")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IFERROR(VLOOKUP(B4935,Enero!$B$2:$G$5822,4,0),"")</f>
        <v>BM</v>
      </c>
    </row>
    <row r="4936" spans="1:7" x14ac:dyDescent="0.25">
      <c r="A4936" s="11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IFERROR(VLOOKUP(B4936,Enero!$B$2:$G$5822,4,0),"")</f>
        <v>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IFERROR(VLOOKUP(B4937,Enero!$B$2:$G$5822,4,0),"")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IFERROR(VLOOKUP(B4938,Enero!$B$2:$G$5822,4,0),"")</f>
        <v>BM</v>
      </c>
    </row>
    <row r="4939" spans="1:7" x14ac:dyDescent="0.25">
      <c r="A4939" s="11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IFERROR(VLOOKUP(B4939,Enero!$B$2:$G$5822,4,0),"")</f>
        <v>BM</v>
      </c>
    </row>
    <row r="4940" spans="1:7" x14ac:dyDescent="0.25">
      <c r="A4940" s="11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IFERROR(VLOOKUP(B4940,Enero!$B$2:$G$5822,4,0),"")</f>
        <v>BM</v>
      </c>
    </row>
    <row r="4941" spans="1:7" x14ac:dyDescent="0.25">
      <c r="A4941" s="11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IFERROR(VLOOKUP(B4941,Enero!$B$2:$G$5822,4,0),"")</f>
        <v>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IFERROR(VLOOKUP(B4942,Enero!$B$2:$G$5822,4,0),"")</f>
        <v>BM</v>
      </c>
    </row>
    <row r="4943" spans="1:7" x14ac:dyDescent="0.25">
      <c r="A4943" s="11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IFERROR(VLOOKUP(B4943,Enero!$B$2:$G$5822,4,0),"")</f>
        <v>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IFERROR(VLOOKUP(B4944,Enero!$B$2:$G$5822,4,0),"")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IFERROR(VLOOKUP(B4945,Enero!$B$2:$G$5822,4,0),"")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IFERROR(VLOOKUP(B4946,Enero!$B$2:$G$5822,4,0),"")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IFERROR(VLOOKUP(B4947,Enero!$B$2:$G$5822,4,0),"")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IFERROR(VLOOKUP(B4948,Enero!$B$2:$G$5822,4,0),"")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IFERROR(VLOOKUP(B4949,Enero!$B$2:$G$5822,4,0),"")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IFERROR(VLOOKUP(B4950,Enero!$B$2:$G$5822,4,0),"")</f>
        <v>BM</v>
      </c>
    </row>
    <row r="4951" spans="1:7" x14ac:dyDescent="0.25">
      <c r="A4951" s="11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IFERROR(VLOOKUP(B4951,Enero!$B$2:$G$5822,4,0),"")</f>
        <v>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IFERROR(VLOOKUP(B4952,Enero!$B$2:$G$5822,4,0),"")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IFERROR(VLOOKUP(B4953,Enero!$B$2:$G$5822,4,0),"")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IFERROR(VLOOKUP(B4954,Enero!$B$2:$G$5822,4,0),"")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IFERROR(VLOOKUP(B4955,Enero!$B$2:$G$5822,4,0),"")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IFERROR(VLOOKUP(B4956,Enero!$B$2:$G$5822,4,0),"")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IFERROR(VLOOKUP(B4957,Enero!$B$2:$G$5822,4,0),"")</f>
        <v>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IFERROR(VLOOKUP(B4958,Enero!$B$2:$G$5822,4,0),"")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IFERROR(VLOOKUP(B4959,Enero!$B$2:$G$5822,4,0),"")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IFERROR(VLOOKUP(B4960,Enero!$B$2:$G$5822,4,0),"")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IFERROR(VLOOKUP(B4961,Enero!$B$2:$G$5822,4,0),"")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IFERROR(VLOOKUP(B4962,Enero!$B$2:$G$5822,4,0),"")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IFERROR(VLOOKUP(B4963,Enero!$B$2:$G$5822,4,0),"")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IFERROR(VLOOKUP(B4964,Enero!$B$2:$G$5822,4,0),"")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IFERROR(VLOOKUP(B4965,Enero!$B$2:$G$5822,4,0),"")</f>
        <v>BM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IFERROR(VLOOKUP(B4966,Enero!$B$2:$G$5822,4,0),"")</f>
        <v>BM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IFERROR(VLOOKUP(B4967,Enero!$B$2:$G$5822,4,0),"")</f>
        <v>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IFERROR(VLOOKUP(B4968,Enero!$B$2:$G$5822,4,0),"")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IFERROR(VLOOKUP(B4969,Enero!$B$2:$G$5822,4,0),"")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IFERROR(VLOOKUP(B4970,Enero!$B$2:$G$5822,4,0),"")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IFERROR(VLOOKUP(B4971,Enero!$B$2:$G$5822,4,0),"")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IFERROR(VLOOKUP(B4972,Enero!$B$2:$G$5822,4,0),"")</f>
        <v>BM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IFERROR(VLOOKUP(B4973,Enero!$B$2:$G$5822,4,0),"")</f>
        <v>INACTBM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IFERROR(VLOOKUP(B4974,Enero!$B$2:$G$5822,4,0),"")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IFERROR(VLOOKUP(B4975,Enero!$B$2:$G$5822,4,0),"")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tr">
        <f>IFERROR(VLOOKUP(B4976,Enero!$B$2:$G$5822,4,0),"")</f>
        <v>INACTBM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IFERROR(VLOOKUP(B4977,Enero!$B$2:$G$5822,4,0),"")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IFERROR(VLOOKUP(B4978,Enero!$B$2:$G$5822,4,0),"")</f>
        <v>BM</v>
      </c>
    </row>
    <row r="4979" spans="1:7" x14ac:dyDescent="0.25">
      <c r="A4979" s="11"/>
      <c r="B4979" s="4" t="s">
        <v>4890</v>
      </c>
      <c r="C4979" s="4" t="s">
        <v>11</v>
      </c>
      <c r="D4979" s="4" t="s">
        <v>11</v>
      </c>
      <c r="E4979" s="4" t="s">
        <v>11</v>
      </c>
      <c r="F4979" s="4" t="s">
        <v>1822</v>
      </c>
      <c r="G4979" s="5" t="str">
        <f>IFERROR(VLOOKUP(B4979,Enero!$B$2:$G$5822,4,0),"")</f>
        <v>BM</v>
      </c>
    </row>
    <row r="4980" spans="1:7" x14ac:dyDescent="0.25">
      <c r="A4980" s="11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IFERROR(VLOOKUP(B4980,Enero!$B$2:$G$5822,4,0),"")</f>
        <v>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IFERROR(VLOOKUP(B4981,Enero!$B$2:$G$5822,4,0),"")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IFERROR(VLOOKUP(B4982,Enero!$B$2:$G$5822,4,0),"")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IFERROR(VLOOKUP(B4983,Enero!$B$2:$G$5822,4,0),"")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IFERROR(VLOOKUP(B4984,Enero!$B$2:$G$5822,4,0),"")</f>
        <v>BM</v>
      </c>
    </row>
    <row r="4985" spans="1:7" x14ac:dyDescent="0.25">
      <c r="A4985" s="11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tr">
        <f>IFERROR(VLOOKUP(B4985,Enero!$B$2:$G$5822,4,0),"")</f>
        <v>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IFERROR(VLOOKUP(B4986,Enero!$B$2:$G$5822,4,0),"")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IFERROR(VLOOKUP(B4987,Enero!$B$2:$G$5822,4,0),"")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IFERROR(VLOOKUP(B4988,Enero!$B$2:$G$5822,4,0),"")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IFERROR(VLOOKUP(B4989,Enero!$B$2:$G$5822,4,0),"")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IFERROR(VLOOKUP(B4990,Enero!$B$2:$G$5822,4,0),"")</f>
        <v>BM</v>
      </c>
    </row>
    <row r="4991" spans="1:7" x14ac:dyDescent="0.25">
      <c r="A4991" s="11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IFERROR(VLOOKUP(B4991,Enero!$B$2:$G$5822,4,0),"")</f>
        <v>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IFERROR(VLOOKUP(B4992,Enero!$B$2:$G$5822,4,0),"")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IFERROR(VLOOKUP(B4993,Enero!$B$2:$G$5822,4,0),"")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IFERROR(VLOOKUP(B4994,Enero!$B$2:$G$5822,4,0),"")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IFERROR(VLOOKUP(B4995,Enero!$B$2:$G$5822,4,0),"")</f>
        <v>BM</v>
      </c>
    </row>
    <row r="4996" spans="1:7" x14ac:dyDescent="0.25">
      <c r="A4996" s="11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IFERROR(VLOOKUP(B4996,Enero!$B$2:$G$5822,4,0),"")</f>
        <v>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IFERROR(VLOOKUP(B4997,Enero!$B$2:$G$5822,4,0),"")</f>
        <v>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IFERROR(VLOOKUP(B4998,Enero!$B$2:$G$5822,4,0),"")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IFERROR(VLOOKUP(B4999,Enero!$B$2:$G$5822,4,0),"")</f>
        <v>BM</v>
      </c>
    </row>
    <row r="5000" spans="1:7" x14ac:dyDescent="0.25">
      <c r="A5000" s="11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IFERROR(VLOOKUP(B5000,Enero!$B$2:$G$5822,4,0),"")</f>
        <v>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IFERROR(VLOOKUP(B5001,Enero!$B$2:$G$5822,4,0),"")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IFERROR(VLOOKUP(B5002,Enero!$B$2:$G$5822,4,0),"")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IFERROR(VLOOKUP(B5003,Enero!$B$2:$G$5822,4,0),"")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IFERROR(VLOOKUP(B5004,Enero!$B$2:$G$5822,4,0),"")</f>
        <v>BM</v>
      </c>
    </row>
    <row r="5005" spans="1:7" x14ac:dyDescent="0.25">
      <c r="A5005" s="11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IFERROR(VLOOKUP(B5005,Enero!$B$2:$G$5822,4,0),"")</f>
        <v>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IFERROR(VLOOKUP(B5006,Enero!$B$2:$G$5822,4,0),"")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IFERROR(VLOOKUP(B5007,Enero!$B$2:$G$5822,4,0),"")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IFERROR(VLOOKUP(B5008,Enero!$B$2:$G$5822,4,0),"")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IFERROR(VLOOKUP(B5009,Enero!$B$2:$G$5822,4,0),"")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IFERROR(VLOOKUP(B5010,Enero!$B$2:$G$5822,4,0),"")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IFERROR(VLOOKUP(B5011,Enero!$B$2:$G$5822,4,0),"")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IFERROR(VLOOKUP(B5012,Enero!$B$2:$G$5822,4,0),"")</f>
        <v>BM</v>
      </c>
    </row>
    <row r="5013" spans="1:7" x14ac:dyDescent="0.25">
      <c r="A5013" s="11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IFERROR(VLOOKUP(B5013,Enero!$B$2:$G$5822,4,0),"")</f>
        <v>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IFERROR(VLOOKUP(B5014,Enero!$B$2:$G$5822,4,0),"")</f>
        <v>BM</v>
      </c>
    </row>
    <row r="5015" spans="1:7" x14ac:dyDescent="0.25">
      <c r="A5015" s="11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IFERROR(VLOOKUP(B5015,Enero!$B$2:$G$5822,4,0),"")</f>
        <v>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IFERROR(VLOOKUP(B5016,Enero!$B$2:$G$5822,4,0),"")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IFERROR(VLOOKUP(B5017,Enero!$B$2:$G$5822,4,0),"")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IFERROR(VLOOKUP(B5018,Enero!$B$2:$G$5822,4,0),"")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IFERROR(VLOOKUP(B5019,Enero!$B$2:$G$5822,4,0),"")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IFERROR(VLOOKUP(B5020,Enero!$B$2:$G$5822,4,0),"")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IFERROR(VLOOKUP(B5021,Enero!$B$2:$G$5822,4,0),"")</f>
        <v>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IFERROR(VLOOKUP(B5022,Enero!$B$2:$G$5822,4,0),"")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IFERROR(VLOOKUP(B5023,Enero!$B$2:$G$5822,4,0),"")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IFERROR(VLOOKUP(B5024,Enero!$B$2:$G$5822,4,0),"")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IFERROR(VLOOKUP(B5025,Enero!$B$2:$G$5822,4,0),"")</f>
        <v>BM</v>
      </c>
    </row>
    <row r="5026" spans="1:7" x14ac:dyDescent="0.25">
      <c r="A5026" s="11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IFERROR(VLOOKUP(B5026,Enero!$B$2:$G$5822,4,0),"")</f>
        <v>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IFERROR(VLOOKUP(B5027,Enero!$B$2:$G$5822,4,0),"")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IFERROR(VLOOKUP(B5028,Enero!$B$2:$G$5822,4,0),"")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IFERROR(VLOOKUP(B5029,Enero!$B$2:$G$5822,4,0),"")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IFERROR(VLOOKUP(B5030,Enero!$B$2:$G$5822,4,0),"")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IFERROR(VLOOKUP(B5031,Enero!$B$2:$G$5822,4,0),"")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IFERROR(VLOOKUP(B5032,Enero!$B$2:$G$5822,4,0),"")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IFERROR(VLOOKUP(B5033,Enero!$B$2:$G$5822,4,0),"")</f>
        <v>BM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IFERROR(VLOOKUP(B5034,Enero!$B$2:$G$5822,4,0),"")</f>
        <v>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IFERROR(VLOOKUP(B5035,Enero!$B$2:$G$5822,4,0),"")</f>
        <v>BM</v>
      </c>
    </row>
    <row r="5036" spans="1:7" x14ac:dyDescent="0.25">
      <c r="A5036" s="11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IFERROR(VLOOKUP(B5036,Enero!$B$2:$G$5822,4,0),"")</f>
        <v>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IFERROR(VLOOKUP(B5037,Enero!$B$2:$G$5822,4,0),"")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IFERROR(VLOOKUP(B5038,Enero!$B$2:$G$5822,4,0),"")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IFERROR(VLOOKUP(B5039,Enero!$B$2:$G$5822,4,0),"")</f>
        <v>INACTBM</v>
      </c>
    </row>
    <row r="5040" spans="1:7" x14ac:dyDescent="0.25">
      <c r="A5040" s="11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tr">
        <f>IFERROR(VLOOKUP(B5040,Enero!$B$2:$G$5822,4,0),"")</f>
        <v>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IFERROR(VLOOKUP(B5041,Enero!$B$2:$G$5822,4,0),"")</f>
        <v>BM</v>
      </c>
    </row>
    <row r="5042" spans="1:7" x14ac:dyDescent="0.25">
      <c r="A5042" s="11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IFERROR(VLOOKUP(B5042,Enero!$B$2:$G$5822,4,0),"")</f>
        <v>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IFERROR(VLOOKUP(B5043,Enero!$B$2:$G$5822,4,0),"")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IFERROR(VLOOKUP(B5044,Enero!$B$2:$G$5822,4,0),"")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IFERROR(VLOOKUP(B5045,Enero!$B$2:$G$5822,4,0),"")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IFERROR(VLOOKUP(B5046,Enero!$B$2:$G$5822,4,0),"")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IFERROR(VLOOKUP(B5047,Enero!$B$2:$G$5822,4,0),"")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IFERROR(VLOOKUP(B5048,Enero!$B$2:$G$5822,4,0),"")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IFERROR(VLOOKUP(B5049,Enero!$B$2:$G$5822,4,0),"")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IFERROR(VLOOKUP(B5050,Enero!$B$2:$G$5822,4,0),"")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IFERROR(VLOOKUP(B5051,Enero!$B$2:$G$5822,4,0),"")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IFERROR(VLOOKUP(B5052,Enero!$B$2:$G$5822,4,0),"")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IFERROR(VLOOKUP(B5053,Enero!$B$2:$G$5822,4,0),"")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IFERROR(VLOOKUP(B5054,Enero!$B$2:$G$5822,4,0),"")</f>
        <v>BM</v>
      </c>
    </row>
    <row r="5055" spans="1:7" x14ac:dyDescent="0.25">
      <c r="A5055" s="11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IFERROR(VLOOKUP(B5055,Enero!$B$2:$G$5822,4,0),"")</f>
        <v>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IFERROR(VLOOKUP(B5056,Enero!$B$2:$G$5822,4,0),"")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IFERROR(VLOOKUP(B5057,Enero!$B$2:$G$5822,4,0),"")</f>
        <v>BM</v>
      </c>
    </row>
    <row r="5058" spans="1:7" x14ac:dyDescent="0.25">
      <c r="A5058" s="11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IFERROR(VLOOKUP(B5058,Enero!$B$2:$G$5822,4,0),"")</f>
        <v>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IFERROR(VLOOKUP(B5059,Enero!$B$2:$G$5822,4,0),"")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IFERROR(VLOOKUP(B5060,Enero!$B$2:$G$5822,4,0),"")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IFERROR(VLOOKUP(B5061,Enero!$B$2:$G$5822,4,0),"")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IFERROR(VLOOKUP(B5062,Enero!$B$2:$G$5822,4,0),"")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IFERROR(VLOOKUP(B5063,Enero!$B$2:$G$5822,4,0),"")</f>
        <v>BM</v>
      </c>
    </row>
    <row r="5064" spans="1:7" x14ac:dyDescent="0.25">
      <c r="A5064" s="11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IFERROR(VLOOKUP(B5064,Enero!$B$2:$G$5822,4,0),"")</f>
        <v>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IFERROR(VLOOKUP(B5065,Enero!$B$2:$G$5822,4,0),"")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IFERROR(VLOOKUP(B5066,Enero!$B$2:$G$5822,4,0),"")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IFERROR(VLOOKUP(B5067,Enero!$B$2:$G$5822,4,0),"")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IFERROR(VLOOKUP(B5068,Enero!$B$2:$G$5822,4,0),"")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IFERROR(VLOOKUP(B5069,Enero!$B$2:$G$5822,4,0),"")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IFERROR(VLOOKUP(B5070,Enero!$B$2:$G$5822,4,0),"")</f>
        <v>BM</v>
      </c>
    </row>
    <row r="5071" spans="1:7" x14ac:dyDescent="0.25">
      <c r="A5071" s="11"/>
      <c r="B5071" s="4" t="s">
        <v>4980</v>
      </c>
      <c r="C5071" s="4" t="s">
        <v>35</v>
      </c>
      <c r="D5071" s="4" t="s">
        <v>35</v>
      </c>
      <c r="E5071" s="4" t="s">
        <v>57</v>
      </c>
      <c r="F5071" s="4" t="s">
        <v>973</v>
      </c>
      <c r="G5071" s="5" t="str">
        <f>IFERROR(VLOOKUP(B5071,Enero!$B$2:$G$5822,4,0),"")</f>
        <v>BM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IFERROR(VLOOKUP(B5072,Enero!$B$2:$G$5822,4,0),"")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IFERROR(VLOOKUP(B5073,Enero!$B$2:$G$5822,4,0),"")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IFERROR(VLOOKUP(B5074,Enero!$B$2:$G$5822,4,0),"")</f>
        <v>BM</v>
      </c>
    </row>
    <row r="5075" spans="1:7" x14ac:dyDescent="0.25">
      <c r="A5075" s="11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IFERROR(VLOOKUP(B5075,Enero!$B$2:$G$5822,4,0),"")</f>
        <v>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IFERROR(VLOOKUP(B5076,Enero!$B$2:$G$5822,4,0),"")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IFERROR(VLOOKUP(B5077,Enero!$B$2:$G$5822,4,0),"")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IFERROR(VLOOKUP(B5078,Enero!$B$2:$G$5822,4,0),"")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IFERROR(VLOOKUP(B5079,Enero!$B$2:$G$5822,4,0),"")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IFERROR(VLOOKUP(B5080,Enero!$B$2:$G$5822,4,0),"")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IFERROR(VLOOKUP(B5081,Enero!$B$2:$G$5822,4,0),"")</f>
        <v>BM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tr">
        <f>IFERROR(VLOOKUP(B5082,Enero!$B$2:$G$5822,4,0),"")</f>
        <v>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IFERROR(VLOOKUP(B5083,Enero!$B$2:$G$5822,4,0),"")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IFERROR(VLOOKUP(B5084,Enero!$B$2:$G$5822,4,0),"")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IFERROR(VLOOKUP(B5085,Enero!$B$2:$G$5822,4,0),"")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IFERROR(VLOOKUP(B5086,Enero!$B$2:$G$5822,4,0),"")</f>
        <v>INACTBM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IFERROR(VLOOKUP(B5087,Enero!$B$2:$G$5822,4,0),"")</f>
        <v>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IFERROR(VLOOKUP(B5088,Enero!$B$2:$G$5822,4,0),"")</f>
        <v>BM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IFERROR(VLOOKUP(B5089,Enero!$B$2:$G$5822,4,0),"")</f>
        <v>BM</v>
      </c>
    </row>
    <row r="5090" spans="1:7" x14ac:dyDescent="0.25">
      <c r="A5090" s="11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IFERROR(VLOOKUP(B5090,Enero!$B$2:$G$5822,4,0),"")</f>
        <v>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IFERROR(VLOOKUP(B5091,Enero!$B$2:$G$5822,4,0),"")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IFERROR(VLOOKUP(B5092,Enero!$B$2:$G$5822,4,0),"")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IFERROR(VLOOKUP(B5093,Enero!$B$2:$G$5822,4,0),"")</f>
        <v>BM</v>
      </c>
    </row>
    <row r="5094" spans="1:7" x14ac:dyDescent="0.25">
      <c r="A5094" s="11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IFERROR(VLOOKUP(B5094,Enero!$B$2:$G$5822,4,0),"")</f>
        <v>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IFERROR(VLOOKUP(B5095,Enero!$B$2:$G$5822,4,0),"")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IFERROR(VLOOKUP(B5096,Enero!$B$2:$G$5822,4,0),"")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IFERROR(VLOOKUP(B5097,Enero!$B$2:$G$5822,4,0),"")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IFERROR(VLOOKUP(B5098,Enero!$B$2:$G$5822,4,0),"")</f>
        <v>BM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IFERROR(VLOOKUP(B5099,Enero!$B$2:$G$5822,4,0),"")</f>
        <v>BM</v>
      </c>
    </row>
    <row r="5100" spans="1:7" x14ac:dyDescent="0.25">
      <c r="A5100" s="11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IFERROR(VLOOKUP(B5100,Enero!$B$2:$G$5822,4,0),"")</f>
        <v>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IFERROR(VLOOKUP(B5101,Enero!$B$2:$G$5822,4,0),"")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IFERROR(VLOOKUP(B5102,Enero!$B$2:$G$5822,4,0),"")</f>
        <v>BM</v>
      </c>
    </row>
    <row r="5103" spans="1:7" x14ac:dyDescent="0.25">
      <c r="A5103" s="11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IFERROR(VLOOKUP(B5103,Enero!$B$2:$G$5822,4,0),"")</f>
        <v>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IFERROR(VLOOKUP(B5104,Enero!$B$2:$G$5822,4,0),"")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IFERROR(VLOOKUP(B5105,Enero!$B$2:$G$5822,4,0),"")</f>
        <v>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IFERROR(VLOOKUP(B5106,Enero!$B$2:$G$5822,4,0),"")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IFERROR(VLOOKUP(B5107,Enero!$B$2:$G$5822,4,0),"")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IFERROR(VLOOKUP(B5108,Enero!$B$2:$G$5822,4,0),"")</f>
        <v>BM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IFERROR(VLOOKUP(B5109,Enero!$B$2:$G$5822,4,0),"")</f>
        <v>BM</v>
      </c>
    </row>
    <row r="5110" spans="1:7" x14ac:dyDescent="0.25">
      <c r="A5110" s="11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IFERROR(VLOOKUP(B5110,Enero!$B$2:$G$5822,4,0),"")</f>
        <v>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IFERROR(VLOOKUP(B5111,Enero!$B$2:$G$5822,4,0),"")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IFERROR(VLOOKUP(B5112,Enero!$B$2:$G$5822,4,0),"")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IFERROR(VLOOKUP(B5113,Enero!$B$2:$G$5822,4,0),"")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IFERROR(VLOOKUP(B5114,Enero!$B$2:$G$5822,4,0),"")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IFERROR(VLOOKUP(B5115,Enero!$B$2:$G$5822,4,0),"")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IFERROR(VLOOKUP(B5116,Enero!$B$2:$G$5822,4,0),"")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IFERROR(VLOOKUP(B5117,Enero!$B$2:$G$5822,4,0),"")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IFERROR(VLOOKUP(B5118,Enero!$B$2:$G$5822,4,0),"")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IFERROR(VLOOKUP(B5119,Enero!$B$2:$G$5822,4,0),"")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IFERROR(VLOOKUP(B5120,Enero!$B$2:$G$5822,4,0),"")</f>
        <v>BM</v>
      </c>
    </row>
    <row r="5121" spans="1:7" x14ac:dyDescent="0.25">
      <c r="A5121" s="11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IFERROR(VLOOKUP(B5121,Enero!$B$2:$G$5822,4,0),"")</f>
        <v>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IFERROR(VLOOKUP(B5122,Enero!$B$2:$G$5822,4,0),"")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IFERROR(VLOOKUP(B5123,Enero!$B$2:$G$5822,4,0),"")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IFERROR(VLOOKUP(B5124,Enero!$B$2:$G$5822,4,0),"")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IFERROR(VLOOKUP(B5125,Enero!$B$2:$G$5822,4,0),"")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IFERROR(VLOOKUP(B5126,Enero!$B$2:$G$5822,4,0),"")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IFERROR(VLOOKUP(B5127,Enero!$B$2:$G$5822,4,0),"")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IFERROR(VLOOKUP(B5128,Enero!$B$2:$G$5822,4,0),"")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IFERROR(VLOOKUP(B5129,Enero!$B$2:$G$5822,4,0),"")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IFERROR(VLOOKUP(B5130,Enero!$B$2:$G$5822,4,0),"")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IFERROR(VLOOKUP(B5131,Enero!$B$2:$G$5822,4,0),"")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IFERROR(VLOOKUP(B5132,Enero!$B$2:$G$5822,4,0),"")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IFERROR(VLOOKUP(B5133,Enero!$B$2:$G$5822,4,0),"")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IFERROR(VLOOKUP(B5134,Enero!$B$2:$G$5822,4,0),"")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IFERROR(VLOOKUP(B5135,Enero!$B$2:$G$5822,4,0),"")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IFERROR(VLOOKUP(B5136,Enero!$B$2:$G$5822,4,0),"")</f>
        <v>BM</v>
      </c>
    </row>
    <row r="5137" spans="1:7" x14ac:dyDescent="0.25">
      <c r="A5137" s="11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tr">
        <f>IFERROR(VLOOKUP(B5137,Enero!$B$2:$G$5822,4,0),"")</f>
        <v>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IFERROR(VLOOKUP(B5138,Enero!$B$2:$G$5822,4,0),"")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IFERROR(VLOOKUP(B5139,Enero!$B$2:$G$5822,4,0),"")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IFERROR(VLOOKUP(B5140,Enero!$B$2:$G$5822,4,0),"")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IFERROR(VLOOKUP(B5141,Enero!$B$2:$G$5822,4,0),"")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IFERROR(VLOOKUP(B5142,Enero!$B$2:$G$5822,4,0),"")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IFERROR(VLOOKUP(B5143,Enero!$B$2:$G$5822,4,0),"")</f>
        <v>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IFERROR(VLOOKUP(B5144,Enero!$B$2:$G$5822,4,0),"")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IFERROR(VLOOKUP(B5145,Enero!$B$2:$G$5822,4,0),"")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IFERROR(VLOOKUP(B5146,Enero!$B$2:$G$5822,4,0),"")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IFERROR(VLOOKUP(B5147,Enero!$B$2:$G$5822,4,0),"")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IFERROR(VLOOKUP(B5148,Enero!$B$2:$G$5822,4,0),"")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IFERROR(VLOOKUP(B5149,Enero!$B$2:$G$5822,4,0),"")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IFERROR(VLOOKUP(B5150,Enero!$B$2:$G$5822,4,0),"")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IFERROR(VLOOKUP(B5151,Enero!$B$2:$G$5822,4,0),"")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IFERROR(VLOOKUP(B5152,Enero!$B$2:$G$5822,4,0),"")</f>
        <v>BM</v>
      </c>
    </row>
    <row r="5153" spans="1:7" x14ac:dyDescent="0.25">
      <c r="A5153" s="11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IFERROR(VLOOKUP(B5153,Enero!$B$2:$G$5822,4,0),"")</f>
        <v>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IFERROR(VLOOKUP(B5154,Enero!$B$2:$G$5822,4,0),"")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IFERROR(VLOOKUP(B5155,Enero!$B$2:$G$5822,4,0),"")</f>
        <v>BM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IFERROR(VLOOKUP(B5156,Enero!$B$2:$G$5822,4,0),"")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IFERROR(VLOOKUP(B5157,Enero!$B$2:$G$5822,4,0),"")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IFERROR(VLOOKUP(B5158,Enero!$B$2:$G$5822,4,0),"")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IFERROR(VLOOKUP(B5159,Enero!$B$2:$G$5822,4,0),"")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IFERROR(VLOOKUP(B5160,Enero!$B$2:$G$5822,4,0),"")</f>
        <v>BM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IFERROR(VLOOKUP(B5161,Enero!$B$2:$G$5822,4,0),"")</f>
        <v>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IFERROR(VLOOKUP(B5162,Enero!$B$2:$G$5822,4,0),"")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IFERROR(VLOOKUP(B5163,Enero!$B$2:$G$5822,4,0),"")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IFERROR(VLOOKUP(B5164,Enero!$B$2:$G$5822,4,0),"")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IFERROR(VLOOKUP(B5165,Enero!$B$2:$G$5822,4,0),"")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IFERROR(VLOOKUP(B5166,Enero!$B$2:$G$5822,4,0),"")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IFERROR(VLOOKUP(B5167,Enero!$B$2:$G$5822,4,0),"")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IFERROR(VLOOKUP(B5168,Enero!$B$2:$G$5822,4,0),"")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IFERROR(VLOOKUP(B5169,Enero!$B$2:$G$5822,4,0),"")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IFERROR(VLOOKUP(B5170,Enero!$B$2:$G$5822,4,0),"")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IFERROR(VLOOKUP(B5171,Enero!$B$2:$G$5822,4,0),"")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IFERROR(VLOOKUP(B5172,Enero!$B$2:$G$5822,4,0),"")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IFERROR(VLOOKUP(B5173,Enero!$B$2:$G$5822,4,0),"")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IFERROR(VLOOKUP(B5174,Enero!$B$2:$G$5822,4,0),"")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IFERROR(VLOOKUP(B5175,Enero!$B$2:$G$5822,4,0),"")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IFERROR(VLOOKUP(B5176,Enero!$B$2:$G$5822,4,0),"")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IFERROR(VLOOKUP(B5177,Enero!$B$2:$G$5822,4,0),"")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IFERROR(VLOOKUP(B5178,Enero!$B$2:$G$5822,4,0),"")</f>
        <v>BM</v>
      </c>
    </row>
    <row r="5179" spans="1:7" x14ac:dyDescent="0.25">
      <c r="A5179" s="11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IFERROR(VLOOKUP(B5179,Enero!$B$2:$G$5822,4,0),"")</f>
        <v>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IFERROR(VLOOKUP(B5180,Enero!$B$2:$G$5822,4,0),"")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IFERROR(VLOOKUP(B5181,Enero!$B$2:$G$5822,4,0),"")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IFERROR(VLOOKUP(B5182,Enero!$B$2:$G$5822,4,0),"")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IFERROR(VLOOKUP(B5183,Enero!$B$2:$G$5822,4,0),"")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IFERROR(VLOOKUP(B5184,Enero!$B$2:$G$5822,4,0),"")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IFERROR(VLOOKUP(B5185,Enero!$B$2:$G$5822,4,0),"")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IFERROR(VLOOKUP(B5186,Enero!$B$2:$G$5822,4,0),"")</f>
        <v>BM</v>
      </c>
    </row>
    <row r="5187" spans="1:7" x14ac:dyDescent="0.25">
      <c r="A5187" s="11"/>
      <c r="B5187" s="4" t="s">
        <v>5856</v>
      </c>
      <c r="C5187" s="4" t="s">
        <v>11</v>
      </c>
      <c r="D5187" s="4" t="s">
        <v>11</v>
      </c>
      <c r="E5187" s="4" t="s">
        <v>11</v>
      </c>
      <c r="F5187" s="4" t="s">
        <v>2014</v>
      </c>
      <c r="G5187" s="5" t="str">
        <f>IFERROR(VLOOKUP(B5187,Enero!$B$2:$G$5822,4,0),"")</f>
        <v>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IFERROR(VLOOKUP(B5188,Enero!$B$2:$G$5822,4,0),"")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IFERROR(VLOOKUP(B5189,Enero!$B$2:$G$5822,4,0),"")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IFERROR(VLOOKUP(B5190,Enero!$B$2:$G$5822,4,0),"")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IFERROR(VLOOKUP(B5191,Enero!$B$2:$G$5822,4,0),"")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IFERROR(VLOOKUP(B5192,Enero!$B$2:$G$5822,4,0),"")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IFERROR(VLOOKUP(B5193,Enero!$B$2:$G$5822,4,0),"")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IFERROR(VLOOKUP(B5194,Enero!$B$2:$G$5822,4,0),"")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IFERROR(VLOOKUP(B5195,Enero!$B$2:$G$5822,4,0),"")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IFERROR(VLOOKUP(B5196,Enero!$B$2:$G$5822,4,0),"")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IFERROR(VLOOKUP(B5197,Enero!$B$2:$G$5822,4,0),"")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IFERROR(VLOOKUP(B5198,Enero!$B$2:$G$5822,4,0),"")</f>
        <v>BM</v>
      </c>
    </row>
    <row r="5199" spans="1:7" x14ac:dyDescent="0.25">
      <c r="A5199" s="11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IFERROR(VLOOKUP(B5199,Enero!$B$2:$G$5822,4,0),"")</f>
        <v>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IFERROR(VLOOKUP(B5200,Enero!$B$2:$G$5822,4,0),"")</f>
        <v>BM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IFERROR(VLOOKUP(B5201,Enero!$B$2:$G$5822,4,0),"")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IFERROR(VLOOKUP(B5202,Enero!$B$2:$G$5822,4,0),"")</f>
        <v>BM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IFERROR(VLOOKUP(B5203,Enero!$B$2:$G$5822,4,0),"")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IFERROR(VLOOKUP(B5204,Enero!$B$2:$G$5822,4,0),"")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IFERROR(VLOOKUP(B5205,Enero!$B$2:$G$5822,4,0),"")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IFERROR(VLOOKUP(B5206,Enero!$B$2:$G$5822,4,0),"")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IFERROR(VLOOKUP(B5207,Enero!$B$2:$G$5822,4,0),"")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IFERROR(VLOOKUP(B5208,Enero!$B$2:$G$5822,4,0),"")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IFERROR(VLOOKUP(B5209,Enero!$B$2:$G$5822,4,0),"")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IFERROR(VLOOKUP(B5210,Enero!$B$2:$G$5822,4,0),"")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IFERROR(VLOOKUP(B5211,Enero!$B$2:$G$5822,4,0),"")</f>
        <v>BM</v>
      </c>
    </row>
    <row r="5212" spans="1:7" x14ac:dyDescent="0.25">
      <c r="A5212" s="11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IFERROR(VLOOKUP(B5212,Enero!$B$2:$G$5822,4,0),"")</f>
        <v>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IFERROR(VLOOKUP(B5213,Enero!$B$2:$G$5822,4,0),"")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IFERROR(VLOOKUP(B5214,Enero!$B$2:$G$5822,4,0),"")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IFERROR(VLOOKUP(B5215,Enero!$B$2:$G$5822,4,0),"")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IFERROR(VLOOKUP(B5216,Enero!$B$2:$G$5822,4,0),"")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IFERROR(VLOOKUP(B5217,Enero!$B$2:$G$5822,4,0),"")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IFERROR(VLOOKUP(B5218,Enero!$B$2:$G$5822,4,0),"")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IFERROR(VLOOKUP(B5219,Enero!$B$2:$G$5822,4,0),"")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IFERROR(VLOOKUP(B5220,Enero!$B$2:$G$5822,4,0),"")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IFERROR(VLOOKUP(B5221,Enero!$B$2:$G$5822,4,0),"")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IFERROR(VLOOKUP(B5222,Enero!$B$2:$G$5822,4,0),"")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IFERROR(VLOOKUP(B5223,Enero!$B$2:$G$5822,4,0),"")</f>
        <v>BM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IFERROR(VLOOKUP(B5224,Enero!$B$2:$G$5822,4,0),"")</f>
        <v>BM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IFERROR(VLOOKUP(B5225,Enero!$B$2:$G$5822,4,0),"")</f>
        <v>BM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tr">
        <f>IFERROR(VLOOKUP(B5226,Enero!$B$2:$G$5822,4,0),"")</f>
        <v>INACTBM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IFERROR(VLOOKUP(B5227,Enero!$B$2:$G$5822,4,0),"")</f>
        <v>BM</v>
      </c>
    </row>
    <row r="5228" spans="1:7" x14ac:dyDescent="0.25">
      <c r="A5228" s="11"/>
      <c r="B5228" s="4" t="s">
        <v>5608</v>
      </c>
      <c r="C5228" s="4" t="s">
        <v>11</v>
      </c>
      <c r="D5228" s="4" t="s">
        <v>11</v>
      </c>
      <c r="E5228" s="4" t="s">
        <v>11</v>
      </c>
      <c r="F5228" s="4" t="s">
        <v>1036</v>
      </c>
      <c r="G5228" s="5" t="str">
        <f>IFERROR(VLOOKUP(B5228,Enero!$B$2:$G$5822,4,0),"")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IFERROR(VLOOKUP(B5229,Enero!$B$2:$G$5822,4,0),"")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IFERROR(VLOOKUP(B5230,Enero!$B$2:$G$5822,4,0),"")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IFERROR(VLOOKUP(B5231,Enero!$B$2:$G$5822,4,0),"")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IFERROR(VLOOKUP(B5232,Enero!$B$2:$G$5822,4,0),"")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IFERROR(VLOOKUP(B5233,Enero!$B$2:$G$5822,4,0),"")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IFERROR(VLOOKUP(B5234,Enero!$B$2:$G$5822,4,0),"")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IFERROR(VLOOKUP(B5235,Enero!$B$2:$G$5822,4,0),"")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IFERROR(VLOOKUP(B5236,Enero!$B$2:$G$5822,4,0),"")</f>
        <v>INACTBM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tr">
        <f>IFERROR(VLOOKUP(B5237,Enero!$B$2:$G$5822,4,0),"")</f>
        <v>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IFERROR(VLOOKUP(B5238,Enero!$B$2:$G$5822,4,0),"")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IFERROR(VLOOKUP(B5239,Enero!$B$2:$G$5822,4,0),"")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IFERROR(VLOOKUP(B5240,Enero!$B$2:$G$5822,4,0),"")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IFERROR(VLOOKUP(B5241,Enero!$B$2:$G$5822,4,0),"")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IFERROR(VLOOKUP(B5242,Enero!$B$2:$G$5822,4,0),"")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IFERROR(VLOOKUP(B5243,Enero!$B$2:$G$5822,4,0),"")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IFERROR(VLOOKUP(B5244,Enero!$B$2:$G$5822,4,0),"")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IFERROR(VLOOKUP(B5245,Enero!$B$2:$G$5822,4,0),"")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IFERROR(VLOOKUP(B5246,Enero!$B$2:$G$5822,4,0),"")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IFERROR(VLOOKUP(B5247,Enero!$B$2:$G$5822,4,0),"")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IFERROR(VLOOKUP(B5248,Enero!$B$2:$G$5822,4,0),"")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IFERROR(VLOOKUP(B5249,Enero!$B$2:$G$5822,4,0),"")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IFERROR(VLOOKUP(B5250,Enero!$B$2:$G$5822,4,0),"")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IFERROR(VLOOKUP(B5251,Enero!$B$2:$G$5822,4,0),"")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IFERROR(VLOOKUP(B5252,Enero!$B$2:$G$5822,4,0),"")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IFERROR(VLOOKUP(B5253,Enero!$B$2:$G$5822,4,0),"")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IFERROR(VLOOKUP(B5254,Enero!$B$2:$G$5822,4,0),"")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IFERROR(VLOOKUP(B5255,Enero!$B$2:$G$5822,4,0),"")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IFERROR(VLOOKUP(B5256,Enero!$B$2:$G$5822,4,0),"")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IFERROR(VLOOKUP(B5257,Enero!$B$2:$G$5822,4,0),"")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IFERROR(VLOOKUP(B5258,Enero!$B$2:$G$5822,4,0),"")</f>
        <v>BM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IFERROR(VLOOKUP(B5259,Enero!$B$2:$G$5822,4,0),"")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IFERROR(VLOOKUP(B5260,Enero!$B$2:$G$5822,4,0),"")</f>
        <v>BM</v>
      </c>
    </row>
    <row r="5261" spans="1:7" x14ac:dyDescent="0.25">
      <c r="A5261" s="11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tr">
        <f>IFERROR(VLOOKUP(B5261,Enero!$B$2:$G$5822,4,0),"")</f>
        <v>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IFERROR(VLOOKUP(B5262,Enero!$B$2:$G$5822,4,0),"")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IFERROR(VLOOKUP(B5263,Enero!$B$2:$G$5822,4,0),"")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IFERROR(VLOOKUP(B5264,Enero!$B$2:$G$5822,4,0),"")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IFERROR(VLOOKUP(B5265,Enero!$B$2:$G$5822,4,0),"")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IFERROR(VLOOKUP(B5266,Enero!$B$2:$G$5822,4,0),"")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IFERROR(VLOOKUP(B5267,Enero!$B$2:$G$5822,4,0),"")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IFERROR(VLOOKUP(B5268,Enero!$B$2:$G$5822,4,0),"")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IFERROR(VLOOKUP(B5269,Enero!$B$2:$G$5822,4,0),"")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IFERROR(VLOOKUP(B5270,Enero!$B$2:$G$5822,4,0),"")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IFERROR(VLOOKUP(B5271,Enero!$B$2:$G$5822,4,0),"")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IFERROR(VLOOKUP(B5272,Enero!$B$2:$G$5822,4,0),"")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tr">
        <f>IFERROR(VLOOKUP(B5273,Enero!$B$2:$G$5822,4,0),"")</f>
        <v>INACTBM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IFERROR(VLOOKUP(B5274,Enero!$B$2:$G$5822,4,0),"")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IFERROR(VLOOKUP(B5275,Enero!$B$2:$G$5822,4,0),"")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IFERROR(VLOOKUP(B5276,Enero!$B$2:$G$5822,4,0),"")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IFERROR(VLOOKUP(B5277,Enero!$B$2:$G$5822,4,0),"")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IFERROR(VLOOKUP(B5278,Enero!$B$2:$G$5822,4,0),"")</f>
        <v>BM</v>
      </c>
    </row>
    <row r="5279" spans="1:7" x14ac:dyDescent="0.25">
      <c r="A5279" s="11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IFERROR(VLOOKUP(B5279,Enero!$B$2:$G$5822,4,0),"")</f>
        <v>BM</v>
      </c>
    </row>
    <row r="5280" spans="1:7" x14ac:dyDescent="0.25">
      <c r="A5280" s="11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IFERROR(VLOOKUP(B5280,Enero!$B$2:$G$5822,4,0),"")</f>
        <v>BM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IFERROR(VLOOKUP(B5281,Enero!$B$2:$G$5822,4,0),"")</f>
        <v>BM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tr">
        <f>IFERROR(VLOOKUP(B5282,Enero!$B$2:$G$5822,4,0),"")</f>
        <v>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IFERROR(VLOOKUP(B5283,Enero!$B$2:$G$5822,4,0),"")</f>
        <v>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IFERROR(VLOOKUP(B5284,Enero!$B$2:$G$5822,4,0),"")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IFERROR(VLOOKUP(B5285,Enero!$B$2:$G$5822,4,0),"")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IFERROR(VLOOKUP(B5286,Enero!$B$2:$G$5822,4,0),"")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IFERROR(VLOOKUP(B5287,Enero!$B$2:$G$5822,4,0),"")</f>
        <v>BM</v>
      </c>
    </row>
    <row r="5288" spans="1:7" x14ac:dyDescent="0.25">
      <c r="A5288" s="11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IFERROR(VLOOKUP(B5288,Enero!$B$2:$G$5822,4,0),"")</f>
        <v>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IFERROR(VLOOKUP(B5289,Enero!$B$2:$G$5822,4,0),"")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IFERROR(VLOOKUP(B5290,Enero!$B$2:$G$5822,4,0),"")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IFERROR(VLOOKUP(B5291,Enero!$B$2:$G$5822,4,0),"")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IFERROR(VLOOKUP(B5292,Enero!$B$2:$G$5822,4,0),"")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IFERROR(VLOOKUP(B5293,Enero!$B$2:$G$5822,4,0),"")</f>
        <v>BM</v>
      </c>
    </row>
    <row r="5294" spans="1:7" x14ac:dyDescent="0.25">
      <c r="A5294" s="11"/>
      <c r="B5294" s="4" t="s">
        <v>5772</v>
      </c>
      <c r="C5294" s="4" t="s">
        <v>11</v>
      </c>
      <c r="D5294" s="4" t="s">
        <v>11</v>
      </c>
      <c r="E5294" s="4" t="s">
        <v>11</v>
      </c>
      <c r="F5294" s="4" t="s">
        <v>1191</v>
      </c>
      <c r="G5294" s="5" t="str">
        <f>IFERROR(VLOOKUP(B5294,Enero!$B$2:$G$5822,4,0),"")</f>
        <v>BM</v>
      </c>
    </row>
    <row r="5295" spans="1:7" x14ac:dyDescent="0.25">
      <c r="A5295" s="11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IFERROR(VLOOKUP(B5295,Enero!$B$2:$G$5822,4,0),"")</f>
        <v>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IFERROR(VLOOKUP(B5296,Enero!$B$2:$G$5822,4,0),"")</f>
        <v>BM</v>
      </c>
    </row>
    <row r="5297" spans="1:7" x14ac:dyDescent="0.25">
      <c r="A5297" s="11"/>
      <c r="B5297" s="4" t="s">
        <v>5654</v>
      </c>
      <c r="C5297" s="4" t="s">
        <v>11</v>
      </c>
      <c r="D5297" s="4" t="s">
        <v>11</v>
      </c>
      <c r="E5297" s="4" t="s">
        <v>11</v>
      </c>
      <c r="F5297" s="4" t="s">
        <v>1187</v>
      </c>
      <c r="G5297" s="5" t="str">
        <f>IFERROR(VLOOKUP(B5297,Enero!$B$2:$G$5822,4,0),"")</f>
        <v>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IFERROR(VLOOKUP(B5298,Enero!$B$2:$G$5822,4,0),"")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IFERROR(VLOOKUP(B5299,Enero!$B$2:$G$5822,4,0),"")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IFERROR(VLOOKUP(B5300,Enero!$B$2:$G$5822,4,0),"")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IFERROR(VLOOKUP(B5301,Enero!$B$2:$G$5822,4,0),"")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IFERROR(VLOOKUP(B5302,Enero!$B$2:$G$5822,4,0),"")</f>
        <v>BM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IFERROR(VLOOKUP(B5303,Enero!$B$2:$G$5822,4,0),"")</f>
        <v>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IFERROR(VLOOKUP(B5304,Enero!$B$2:$G$5822,4,0),"")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IFERROR(VLOOKUP(B5305,Enero!$B$2:$G$5822,4,0),"")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IFERROR(VLOOKUP(B5306,Enero!$B$2:$G$5822,4,0),"")</f>
        <v>BM</v>
      </c>
    </row>
    <row r="5307" spans="1:7" x14ac:dyDescent="0.25">
      <c r="A5307" s="11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IFERROR(VLOOKUP(B5307,Enero!$B$2:$G$5822,4,0),"")</f>
        <v>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IFERROR(VLOOKUP(B5308,Enero!$B$2:$G$5822,4,0),"")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IFERROR(VLOOKUP(B5309,Enero!$B$2:$G$5822,4,0),"")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IFERROR(VLOOKUP(B5310,Enero!$B$2:$G$5822,4,0),"")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IFERROR(VLOOKUP(B5311,Enero!$B$2:$G$5822,4,0),"")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IFERROR(VLOOKUP(B5312,Enero!$B$2:$G$5822,4,0),"")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IFERROR(VLOOKUP(B5313,Enero!$B$2:$G$5822,4,0),"")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IFERROR(VLOOKUP(B5314,Enero!$B$2:$G$5822,4,0),"")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IFERROR(VLOOKUP(B5315,Enero!$B$2:$G$5822,4,0),"")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IFERROR(VLOOKUP(B5316,Enero!$B$2:$G$5822,4,0),"")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IFERROR(VLOOKUP(B5317,Enero!$B$2:$G$5822,4,0),"")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IFERROR(VLOOKUP(B5318,Enero!$B$2:$G$5822,4,0),"")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IFERROR(VLOOKUP(B5319,Enero!$B$2:$G$5822,4,0),"")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IFERROR(VLOOKUP(B5320,Enero!$B$2:$G$5822,4,0),"")</f>
        <v>INACTBM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IFERROR(VLOOKUP(B5321,Enero!$B$2:$G$5822,4,0),"")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IFERROR(VLOOKUP(B5322,Enero!$B$2:$G$5822,4,0),"")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IFERROR(VLOOKUP(B5323,Enero!$B$2:$G$5822,4,0),"")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IFERROR(VLOOKUP(B5324,Enero!$B$2:$G$5822,4,0),"")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IFERROR(VLOOKUP(B5325,Enero!$B$2:$G$5822,4,0),"")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IFERROR(VLOOKUP(B5326,Enero!$B$2:$G$5822,4,0),"")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IFERROR(VLOOKUP(B5327,Enero!$B$2:$G$5822,4,0),"")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IFERROR(VLOOKUP(B5328,Enero!$B$2:$G$5822,4,0),"")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IFERROR(VLOOKUP(B5329,Enero!$B$2:$G$5822,4,0),"")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IFERROR(VLOOKUP(B5330,Enero!$B$2:$G$5822,4,0),"")</f>
        <v>BM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IFERROR(VLOOKUP(B5331,Enero!$B$2:$G$5822,4,0),"")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IFERROR(VLOOKUP(B5332,Enero!$B$2:$G$5822,4,0),"")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IFERROR(VLOOKUP(B5333,Enero!$B$2:$G$5822,4,0),"")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IFERROR(VLOOKUP(B5334,Enero!$B$2:$G$5822,4,0),"")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IFERROR(VLOOKUP(B5335,Enero!$B$2:$G$5822,4,0),"")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IFERROR(VLOOKUP(B5336,Enero!$B$2:$G$5822,4,0),"")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IFERROR(VLOOKUP(B5337,Enero!$B$2:$G$5822,4,0),"")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IFERROR(VLOOKUP(B5338,Enero!$B$2:$G$5822,4,0),"")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IFERROR(VLOOKUP(B5339,Enero!$B$2:$G$5822,4,0),"")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IFERROR(VLOOKUP(B5340,Enero!$B$2:$G$5822,4,0),"")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IFERROR(VLOOKUP(B5341,Enero!$B$2:$G$5822,4,0),"")</f>
        <v>BM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IFERROR(VLOOKUP(B5342,Enero!$B$2:$G$5822,4,0),"")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IFERROR(VLOOKUP(B5343,Enero!$B$2:$G$5822,4,0),"")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IFERROR(VLOOKUP(B5344,Enero!$B$2:$G$5822,4,0),"")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IFERROR(VLOOKUP(B5345,Enero!$B$2:$G$5822,4,0),"")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IFERROR(VLOOKUP(B5346,Enero!$B$2:$G$5822,4,0),"")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IFERROR(VLOOKUP(B5347,Enero!$B$2:$G$5822,4,0),"")</f>
        <v>BM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IFERROR(VLOOKUP(B5348,Enero!$B$2:$G$5822,4,0),"")</f>
        <v>BM</v>
      </c>
    </row>
    <row r="5349" spans="1:7" x14ac:dyDescent="0.25">
      <c r="A5349" s="11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IFERROR(VLOOKUP(B5349,Enero!$B$2:$G$5822,4,0),"")</f>
        <v>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IFERROR(VLOOKUP(B5350,Enero!$B$2:$G$5822,4,0),"")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IFERROR(VLOOKUP(B5351,Enero!$B$2:$G$5822,4,0),"")</f>
        <v>BM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IFERROR(VLOOKUP(B5352,Enero!$B$2:$G$5822,4,0),"")</f>
        <v>BM</v>
      </c>
    </row>
    <row r="5353" spans="1:7" x14ac:dyDescent="0.25">
      <c r="A5353" s="11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IFERROR(VLOOKUP(B5353,Enero!$B$2:$G$5822,4,0),"")</f>
        <v>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IFERROR(VLOOKUP(B5354,Enero!$B$2:$G$5822,4,0),"")</f>
        <v>BM</v>
      </c>
    </row>
    <row r="5355" spans="1:7" x14ac:dyDescent="0.25">
      <c r="A5355" s="11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tr">
        <f>IFERROR(VLOOKUP(B5355,Enero!$B$2:$G$5822,4,0),"")</f>
        <v>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IFERROR(VLOOKUP(B5356,Enero!$B$2:$G$5822,4,0),"")</f>
        <v>BM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IFERROR(VLOOKUP(B5357,Enero!$B$2:$G$5822,4,0),"")</f>
        <v>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IFERROR(VLOOKUP(B5358,Enero!$B$2:$G$5822,4,0),"")</f>
        <v>BM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IFERROR(VLOOKUP(B5359,Enero!$B$2:$G$5822,4,0),"")</f>
        <v>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IFERROR(VLOOKUP(B5360,Enero!$B$2:$G$5822,4,0),"")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IFERROR(VLOOKUP(B5361,Enero!$B$2:$G$5822,4,0),"")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IFERROR(VLOOKUP(B5362,Enero!$B$2:$G$5822,4,0),"")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IFERROR(VLOOKUP(B5363,Enero!$B$2:$G$5822,4,0),"")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IFERROR(VLOOKUP(B5364,Enero!$B$2:$G$5822,4,0),"")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IFERROR(VLOOKUP(B5365,Enero!$B$2:$G$5822,4,0),"")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IFERROR(VLOOKUP(B5366,Enero!$B$2:$G$5822,4,0),"")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IFERROR(VLOOKUP(B5367,Enero!$B$2:$G$5822,4,0),"")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IFERROR(VLOOKUP(B5368,Enero!$B$2:$G$5822,4,0),"")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IFERROR(VLOOKUP(B5369,Enero!$B$2:$G$5822,4,0),"")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IFERROR(VLOOKUP(B5370,Enero!$B$2:$G$5822,4,0),"")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IFERROR(VLOOKUP(B5371,Enero!$B$2:$G$5822,4,0),"")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IFERROR(VLOOKUP(B5372,Enero!$B$2:$G$5822,4,0),"")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IFERROR(VLOOKUP(B5373,Enero!$B$2:$G$5822,4,0),"")</f>
        <v>BM</v>
      </c>
    </row>
    <row r="5374" spans="1:7" x14ac:dyDescent="0.25">
      <c r="A5374" s="11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5" t="str">
        <f>IFERROR(VLOOKUP(B5374,Enero!$B$2:$G$5822,4,0),"")</f>
        <v>INACTBM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IFERROR(VLOOKUP(B5375,Enero!$B$2:$G$5822,4,0),"")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IFERROR(VLOOKUP(B5376,Enero!$B$2:$G$5822,4,0),"")</f>
        <v>BM</v>
      </c>
    </row>
    <row r="5377" spans="1:7" x14ac:dyDescent="0.25">
      <c r="A5377" s="11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IFERROR(VLOOKUP(B5377,Enero!$B$2:$G$5822,4,0),"")</f>
        <v>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IFERROR(VLOOKUP(B5378,Enero!$B$2:$G$5822,4,0),"")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IFERROR(VLOOKUP(B5379,Enero!$B$2:$G$5822,4,0),"")</f>
        <v>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IFERROR(VLOOKUP(B5380,Enero!$B$2:$G$5822,4,0),"")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IFERROR(VLOOKUP(B5381,Enero!$B$2:$G$5822,4,0),"")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IFERROR(VLOOKUP(B5382,Enero!$B$2:$G$5822,4,0),"")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IFERROR(VLOOKUP(B5383,Enero!$B$2:$G$5822,4,0),"")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IFERROR(VLOOKUP(B5384,Enero!$B$2:$G$5822,4,0),"")</f>
        <v>BM</v>
      </c>
    </row>
    <row r="5385" spans="1:7" x14ac:dyDescent="0.25">
      <c r="A5385" s="11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IFERROR(VLOOKUP(B5385,Enero!$B$2:$G$5822,4,0),"")</f>
        <v>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IFERROR(VLOOKUP(B5386,Enero!$B$2:$G$5822,4,0),"")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IFERROR(VLOOKUP(B5387,Enero!$B$2:$G$5822,4,0),"")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IFERROR(VLOOKUP(B5388,Enero!$B$2:$G$5822,4,0),"")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IFERROR(VLOOKUP(B5389,Enero!$B$2:$G$5822,4,0),"")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IFERROR(VLOOKUP(B5390,Enero!$B$2:$G$5822,4,0),"")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IFERROR(VLOOKUP(B5391,Enero!$B$2:$G$5822,4,0),"")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IFERROR(VLOOKUP(B5392,Enero!$B$2:$G$5822,4,0),"")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IFERROR(VLOOKUP(B5393,Enero!$B$2:$G$5822,4,0),"")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IFERROR(VLOOKUP(B5394,Enero!$B$2:$G$5822,4,0),"")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IFERROR(VLOOKUP(B5395,Enero!$B$2:$G$5822,4,0),"")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IFERROR(VLOOKUP(B5396,Enero!$B$2:$G$5822,4,0),"")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IFERROR(VLOOKUP(B5397,Enero!$B$2:$G$5822,4,0),"")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IFERROR(VLOOKUP(B5398,Enero!$B$2:$G$5822,4,0),"")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IFERROR(VLOOKUP(B5399,Enero!$B$2:$G$5822,4,0),"")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IFERROR(VLOOKUP(B5400,Enero!$B$2:$G$5822,4,0),"")</f>
        <v>BM</v>
      </c>
    </row>
    <row r="5401" spans="1:7" x14ac:dyDescent="0.25">
      <c r="A5401" s="11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5" t="str">
        <f>IFERROR(VLOOKUP(B5401,Enero!$B$2:$G$5822,4,0),"")</f>
        <v>INACTBM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IFERROR(VLOOKUP(B5402,Enero!$B$2:$G$5822,4,0),"")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IFERROR(VLOOKUP(B5403,Enero!$B$2:$G$5822,4,0),"")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IFERROR(VLOOKUP(B5404,Enero!$B$2:$G$5822,4,0),"")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IFERROR(VLOOKUP(B5405,Enero!$B$2:$G$5822,4,0),"")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IFERROR(VLOOKUP(B5406,Enero!$B$2:$G$5822,4,0),"")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IFERROR(VLOOKUP(B5407,Enero!$B$2:$G$5822,4,0),"")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IFERROR(VLOOKUP(B5408,Enero!$B$2:$G$5822,4,0),"")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IFERROR(VLOOKUP(B5409,Enero!$B$2:$G$5822,4,0),"")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IFERROR(VLOOKUP(B5410,Enero!$B$2:$G$5822,4,0),"")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IFERROR(VLOOKUP(B5411,Enero!$B$2:$G$5822,4,0),"")</f>
        <v>BM</v>
      </c>
    </row>
    <row r="5412" spans="1:7" x14ac:dyDescent="0.25">
      <c r="A5412" s="11"/>
      <c r="B5412" s="4" t="s">
        <v>5841</v>
      </c>
      <c r="C5412" s="4" t="s">
        <v>11</v>
      </c>
      <c r="D5412" s="4" t="s">
        <v>11</v>
      </c>
      <c r="E5412" s="4" t="s">
        <v>11</v>
      </c>
      <c r="F5412" s="4" t="s">
        <v>137</v>
      </c>
      <c r="G5412" s="5" t="str">
        <f>IFERROR(VLOOKUP(B5412,Enero!$B$2:$G$5822,4,0),"")</f>
        <v>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IFERROR(VLOOKUP(B5413,Enero!$B$2:$G$5822,4,0),"")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IFERROR(VLOOKUP(B5414,Enero!$B$2:$G$5822,4,0),"")</f>
        <v>BM</v>
      </c>
    </row>
    <row r="5415" spans="1:7" x14ac:dyDescent="0.25">
      <c r="A5415" s="11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IFERROR(VLOOKUP(B5415,Enero!$B$2:$G$5822,4,0),"")</f>
        <v>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IFERROR(VLOOKUP(B5416,Enero!$B$2:$G$5822,4,0),"")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IFERROR(VLOOKUP(B5417,Enero!$B$2:$G$5822,4,0),"")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IFERROR(VLOOKUP(B5418,Enero!$B$2:$G$5822,4,0),"")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IFERROR(VLOOKUP(B5419,Enero!$B$2:$G$5822,4,0),"")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IFERROR(VLOOKUP(B5420,Enero!$B$2:$G$5822,4,0),"")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IFERROR(VLOOKUP(B5421,Enero!$B$2:$G$5822,4,0),"")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IFERROR(VLOOKUP(B5422,Enero!$B$2:$G$5822,4,0),"")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IFERROR(VLOOKUP(B5423,Enero!$B$2:$G$5822,4,0),"")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IFERROR(VLOOKUP(B5424,Enero!$B$2:$G$5822,4,0),"")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IFERROR(VLOOKUP(B5425,Enero!$B$2:$G$5822,4,0),"")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IFERROR(VLOOKUP(B5426,Enero!$B$2:$G$5822,4,0),"")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IFERROR(VLOOKUP(B5427,Enero!$B$2:$G$5822,4,0),"")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IFERROR(VLOOKUP(B5428,Enero!$B$2:$G$5822,4,0),"")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IFERROR(VLOOKUP(B5429,Enero!$B$2:$G$5822,4,0),"")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IFERROR(VLOOKUP(B5430,Enero!$B$2:$G$5822,4,0),"")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IFERROR(VLOOKUP(B5431,Enero!$B$2:$G$5822,4,0),"")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IFERROR(VLOOKUP(B5432,Enero!$B$2:$G$5822,4,0),"")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IFERROR(VLOOKUP(B5433,Enero!$B$2:$G$5822,4,0),"")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IFERROR(VLOOKUP(B5434,Enero!$B$2:$G$5822,4,0),"")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IFERROR(VLOOKUP(B5435,Enero!$B$2:$G$5822,4,0),"")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IFERROR(VLOOKUP(B5436,Enero!$B$2:$G$5822,4,0),"")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IFERROR(VLOOKUP(B5437,Enero!$B$2:$G$5822,4,0),"")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IFERROR(VLOOKUP(B5438,Enero!$B$2:$G$5822,4,0),"")</f>
        <v>APAPET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IFERROR(VLOOKUP(B5439,Enero!$B$2:$G$5822,4,0),"")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IFERROR(VLOOKUP(B5440,Enero!$B$2:$G$5822,4,0),"")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IFERROR(VLOOKUP(B5441,Enero!$B$2:$G$5822,4,0),"")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IFERROR(VLOOKUP(B5442,Enero!$B$2:$G$5822,4,0),"")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IFERROR(VLOOKUP(B5443,Enero!$B$2:$G$5822,4,0),"")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IFERROR(VLOOKUP(B5444,Enero!$B$2:$G$5822,4,0),"")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IFERROR(VLOOKUP(B5445,Enero!$B$2:$G$5822,4,0),"")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IFERROR(VLOOKUP(B5446,Enero!$B$2:$G$5822,4,0),"")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IFERROR(VLOOKUP(B5447,Enero!$B$2:$G$5822,4,0),"")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IFERROR(VLOOKUP(B5448,Enero!$B$2:$G$5822,4,0),"")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IFERROR(VLOOKUP(B5449,Enero!$B$2:$G$5822,4,0),"")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IFERROR(VLOOKUP(B5450,Enero!$B$2:$G$5822,4,0),"")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IFERROR(VLOOKUP(B5451,Enero!$B$2:$G$5822,4,0),"")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IFERROR(VLOOKUP(B5452,Enero!$B$2:$G$5822,4,0),"")</f>
        <v>APAPET</v>
      </c>
    </row>
    <row r="5453" spans="1:7" x14ac:dyDescent="0.25">
      <c r="A5453" s="11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tr">
        <f>IFERROR(VLOOKUP(B5453,Enero!$B$2:$G$5822,4,0),"")</f>
        <v>ACTPETS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IFERROR(VLOOKUP(B5454,Enero!$B$2:$G$5822,4,0),"")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IFERROR(VLOOKUP(B5455,Enero!$B$2:$G$5822,4,0),"")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IFERROR(VLOOKUP(B5456,Enero!$B$2:$G$5822,4,0),"")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IFERROR(VLOOKUP(B5457,Enero!$B$2:$G$5822,4,0),"")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IFERROR(VLOOKUP(B5458,Enero!$B$2:$G$5822,4,0),"")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IFERROR(VLOOKUP(B5459,Enero!$B$2:$G$5822,4,0),"")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IFERROR(VLOOKUP(B5460,Enero!$B$2:$G$5822,4,0),"")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IFERROR(VLOOKUP(B5461,Enero!$B$2:$G$5822,4,0),"")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IFERROR(VLOOKUP(B5462,Enero!$B$2:$G$5822,4,0),"")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IFERROR(VLOOKUP(B5463,Enero!$B$2:$G$5822,4,0),"")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IFERROR(VLOOKUP(B5464,Enero!$B$2:$G$5822,4,0),"")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IFERROR(VLOOKUP(B5465,Enero!$B$2:$G$5822,4,0),"")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IFERROR(VLOOKUP(B5466,Enero!$B$2:$G$5822,4,0),"")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IFERROR(VLOOKUP(B5467,Enero!$B$2:$G$5822,4,0),"")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IFERROR(VLOOKUP(B5468,Enero!$B$2:$G$5822,4,0),"")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IFERROR(VLOOKUP(B5469,Enero!$B$2:$G$5822,4,0),"")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IFERROR(VLOOKUP(B5470,Enero!$B$2:$G$5822,4,0),"")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IFERROR(VLOOKUP(B5471,Enero!$B$2:$G$5822,4,0),"")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IFERROR(VLOOKUP(B5472,Enero!$B$2:$G$5822,4,0),"")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IFERROR(VLOOKUP(B5473,Enero!$B$2:$G$5822,4,0),"")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IFERROR(VLOOKUP(B5474,Enero!$B$2:$G$5822,4,0),"")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IFERROR(VLOOKUP(B5475,Enero!$B$2:$G$5822,4,0),"")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IFERROR(VLOOKUP(B5476,Enero!$B$2:$G$5822,4,0),"")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IFERROR(VLOOKUP(B5477,Enero!$B$2:$G$5822,4,0),"")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IFERROR(VLOOKUP(B5478,Enero!$B$2:$G$5822,4,0),"")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IFERROR(VLOOKUP(B5479,Enero!$B$2:$G$5822,4,0),"")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IFERROR(VLOOKUP(B5480,Enero!$B$2:$G$5822,4,0),"")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IFERROR(VLOOKUP(B5481,Enero!$B$2:$G$5822,4,0),"")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IFERROR(VLOOKUP(B5482,Enero!$B$2:$G$5822,4,0),"")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IFERROR(VLOOKUP(B5483,Enero!$B$2:$G$5822,4,0),"")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IFERROR(VLOOKUP(B5484,Enero!$B$2:$G$5822,4,0),"")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IFERROR(VLOOKUP(B5485,Enero!$B$2:$G$5822,4,0),"")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IFERROR(VLOOKUP(B5486,Enero!$B$2:$G$5822,4,0),"")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IFERROR(VLOOKUP(B5487,Enero!$B$2:$G$5822,4,0),"")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IFERROR(VLOOKUP(B5488,Enero!$B$2:$G$5822,4,0),"")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IFERROR(VLOOKUP(B5489,Enero!$B$2:$G$5822,4,0),"")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IFERROR(VLOOKUP(B5490,Enero!$B$2:$G$5822,4,0),"")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IFERROR(VLOOKUP(B5491,Enero!$B$2:$G$5822,4,0),"")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IFERROR(VLOOKUP(B5492,Enero!$B$2:$G$5822,4,0),"")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IFERROR(VLOOKUP(B5493,Enero!$B$2:$G$5822,4,0),"")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IFERROR(VLOOKUP(B5494,Enero!$B$2:$G$5822,4,0),"")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IFERROR(VLOOKUP(B5495,Enero!$B$2:$G$5822,4,0),"")</f>
        <v>APAPET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IFERROR(VLOOKUP(B5496,Enero!$B$2:$G$5822,4,0),"")</f>
        <v>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IFERROR(VLOOKUP(B5497,Enero!$B$2:$G$5822,4,0),"")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IFERROR(VLOOKUP(B5498,Enero!$B$2:$G$5822,4,0),"")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IFERROR(VLOOKUP(B5499,Enero!$B$2:$G$5822,4,0),"")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IFERROR(VLOOKUP(B5500,Enero!$B$2:$G$5822,4,0),"")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IFERROR(VLOOKUP(B5501,Enero!$B$2:$G$5822,4,0),"")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IFERROR(VLOOKUP(B5502,Enero!$B$2:$G$5822,4,0),"")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IFERROR(VLOOKUP(B5503,Enero!$B$2:$G$5822,4,0),"")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IFERROR(VLOOKUP(B5504,Enero!$B$2:$G$5822,4,0),"")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IFERROR(VLOOKUP(B5505,Enero!$B$2:$G$5822,4,0),"")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IFERROR(VLOOKUP(B5506,Enero!$B$2:$G$5822,4,0),"")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IFERROR(VLOOKUP(B5507,Enero!$B$2:$G$5822,4,0),"")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IFERROR(VLOOKUP(B5508,Enero!$B$2:$G$5822,4,0),"")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IFERROR(VLOOKUP(B5509,Enero!$B$2:$G$5822,4,0),"")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IFERROR(VLOOKUP(B5510,Enero!$B$2:$G$5822,4,0),"")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IFERROR(VLOOKUP(B5511,Enero!$B$2:$G$5822,4,0),"")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IFERROR(VLOOKUP(B5512,Enero!$B$2:$G$5822,4,0),"")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IFERROR(VLOOKUP(B5513,Enero!$B$2:$G$5822,4,0),"")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IFERROR(VLOOKUP(B5514,Enero!$B$2:$G$5822,4,0),"")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IFERROR(VLOOKUP(B5515,Enero!$B$2:$G$5822,4,0),"")</f>
        <v>APA_PC</v>
      </c>
    </row>
    <row r="5516" spans="1:7" x14ac:dyDescent="0.25">
      <c r="A5516" s="11"/>
      <c r="B5516" s="9" t="s">
        <v>5196</v>
      </c>
      <c r="C5516" s="9" t="s">
        <v>18</v>
      </c>
      <c r="D5516" s="9" t="s">
        <v>19</v>
      </c>
      <c r="E5516" s="9" t="s">
        <v>20</v>
      </c>
      <c r="F5516" s="9" t="s">
        <v>21</v>
      </c>
      <c r="G5516" s="5" t="str">
        <f>IFERROR(VLOOKUP(B5516,Enero!$B$2:$G$5822,4,0),"")</f>
        <v>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IFERROR(VLOOKUP(B5517,Enero!$B$2:$G$5822,4,0),"")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IFERROR(VLOOKUP(B5518,Enero!$B$2:$G$5822,4,0),"")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IFERROR(VLOOKUP(B5519,Enero!$B$2:$G$5822,4,0),"")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IFERROR(VLOOKUP(B5520,Enero!$B$2:$G$5822,4,0),"")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IFERROR(VLOOKUP(B5521,Enero!$B$2:$G$5822,4,0),"")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IFERROR(VLOOKUP(B5522,Enero!$B$2:$G$5822,4,0),"")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IFERROR(VLOOKUP(B5523,Enero!$B$2:$G$5822,4,0),"")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IFERROR(VLOOKUP(B5524,Enero!$B$2:$G$5822,4,0),"")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IFERROR(VLOOKUP(B5525,Enero!$B$2:$G$5822,4,0),"")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IFERROR(VLOOKUP(B5526,Enero!$B$2:$G$5822,4,0),"")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IFERROR(VLOOKUP(B5527,Enero!$B$2:$G$5822,4,0),"")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IFERROR(VLOOKUP(B5528,Enero!$B$2:$G$5822,4,0),"")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IFERROR(VLOOKUP(B5529,Enero!$B$2:$G$5822,4,0),"")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IFERROR(VLOOKUP(B5530,Enero!$B$2:$G$5822,4,0),"")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IFERROR(VLOOKUP(B5531,Enero!$B$2:$G$5822,4,0),"")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IFERROR(VLOOKUP(B5532,Enero!$B$2:$G$5822,4,0),"")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IFERROR(VLOOKUP(B5533,Enero!$B$2:$G$5822,4,0),"")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IFERROR(VLOOKUP(B5534,Enero!$B$2:$G$5822,4,0),"")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IFERROR(VLOOKUP(B5535,Enero!$B$2:$G$5822,4,0),"")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IFERROR(VLOOKUP(B5536,Enero!$B$2:$G$5822,4,0),"")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IFERROR(VLOOKUP(B5537,Enero!$B$2:$G$5822,4,0),"")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IFERROR(VLOOKUP(B5538,Enero!$B$2:$G$5822,4,0),"")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IFERROR(VLOOKUP(B5539,Enero!$B$2:$G$5822,4,0),"")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IFERROR(VLOOKUP(B5540,Enero!$B$2:$G$5822,4,0),"")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IFERROR(VLOOKUP(B5541,Enero!$B$2:$G$5822,4,0),"")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IFERROR(VLOOKUP(B5542,Enero!$B$2:$G$5822,4,0),"")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IFERROR(VLOOKUP(B5543,Enero!$B$2:$G$5822,4,0),"")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IFERROR(VLOOKUP(B5544,Enero!$B$2:$G$5822,4,0),"")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IFERROR(VLOOKUP(B5545,Enero!$B$2:$G$5822,4,0),"")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IFERROR(VLOOKUP(B5546,Enero!$B$2:$G$5822,4,0),"")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IFERROR(VLOOKUP(B5547,Enero!$B$2:$G$5822,4,0),"")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IFERROR(VLOOKUP(B5548,Enero!$B$2:$G$5822,4,0),"")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IFERROR(VLOOKUP(B5549,Enero!$B$2:$G$5822,4,0),"")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IFERROR(VLOOKUP(B5550,Enero!$B$2:$G$5822,4,0),"")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IFERROR(VLOOKUP(B5551,Enero!$B$2:$G$5822,4,0),"")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IFERROR(VLOOKUP(B5552,Enero!$B$2:$G$5822,4,0),"")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IFERROR(VLOOKUP(B5553,Enero!$B$2:$G$5822,4,0),"")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IFERROR(VLOOKUP(B5554,Enero!$B$2:$G$5822,4,0),"")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IFERROR(VLOOKUP(B5555,Enero!$B$2:$G$5822,4,0),"")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IFERROR(VLOOKUP(B5556,Enero!$B$2:$G$5822,4,0),"")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IFERROR(VLOOKUP(B5557,Enero!$B$2:$G$5822,4,0),"")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IFERROR(VLOOKUP(B5558,Enero!$B$2:$G$5822,4,0),"")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IFERROR(VLOOKUP(B5559,Enero!$B$2:$G$5822,4,0),"")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IFERROR(VLOOKUP(B5560,Enero!$B$2:$G$5822,4,0),"")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IFERROR(VLOOKUP(B5561,Enero!$B$2:$G$5822,4,0),"")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IFERROR(VLOOKUP(B5562,Enero!$B$2:$G$5822,4,0),"")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IFERROR(VLOOKUP(B5563,Enero!$B$2:$G$5822,4,0),"")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IFERROR(VLOOKUP(B5564,Enero!$B$2:$G$5822,4,0),"")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IFERROR(VLOOKUP(B5565,Enero!$B$2:$G$5822,4,0),"")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IFERROR(VLOOKUP(B5566,Enero!$B$2:$G$5822,4,0),"")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IFERROR(VLOOKUP(B5567,Enero!$B$2:$G$5822,4,0),"")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IFERROR(VLOOKUP(B5568,Enero!$B$2:$G$5822,4,0),"")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IFERROR(VLOOKUP(B5569,Enero!$B$2:$G$5822,4,0),"")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IFERROR(VLOOKUP(B5570,Enero!$B$2:$G$5822,4,0),"")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IFERROR(VLOOKUP(B5571,Enero!$B$2:$G$5822,4,0),"")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IFERROR(VLOOKUP(B5572,Enero!$B$2:$G$5822,4,0),"")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IFERROR(VLOOKUP(B5573,Enero!$B$2:$G$5822,4,0),"")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IFERROR(VLOOKUP(B5574,Enero!$B$2:$G$5822,4,0),"")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IFERROR(VLOOKUP(B5575,Enero!$B$2:$G$5822,4,0),"")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IFERROR(VLOOKUP(B5576,Enero!$B$2:$G$5822,4,0),"")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IFERROR(VLOOKUP(B5577,Enero!$B$2:$G$5822,4,0),"")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IFERROR(VLOOKUP(B5578,Enero!$B$2:$G$5822,4,0),"")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IFERROR(VLOOKUP(B5579,Enero!$B$2:$G$5822,4,0),"")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IFERROR(VLOOKUP(B5580,Enero!$B$2:$G$5822,4,0),"")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IFERROR(VLOOKUP(B5581,Enero!$B$2:$G$5822,4,0),"")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IFERROR(VLOOKUP(B5582,Enero!$B$2:$G$5822,4,0),"")</f>
        <v>APA_CNPC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IFERROR(VLOOKUP(B5583,Enero!$B$2:$G$5822,4,0),"")</f>
        <v>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IFERROR(VLOOKUP(B5584,Enero!$B$2:$G$5822,4,0),"")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IFERROR(VLOOKUP(B5585,Enero!$B$2:$G$5822,4,0),"")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IFERROR(VLOOKUP(B5586,Enero!$B$2:$G$5822,4,0),"")</f>
        <v>ATAPET</v>
      </c>
    </row>
    <row r="5587" spans="1:7" x14ac:dyDescent="0.25">
      <c r="A5587" s="11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tr">
        <f>IFERROR(VLOOKUP(B5587,Enero!$B$2:$G$5822,4,0),"")</f>
        <v>INACTPETS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IFERROR(VLOOKUP(B5588,Enero!$B$2:$G$5822,4,0),"")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IFERROR(VLOOKUP(B5589,Enero!$B$2:$G$5822,4,0),"")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IFERROR(VLOOKUP(B5590,Enero!$B$2:$G$5822,4,0),"")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IFERROR(VLOOKUP(B5591,Enero!$B$2:$G$5822,4,0),"")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IFERROR(VLOOKUP(B5592,Enero!$B$2:$G$5822,4,0),"")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IFERROR(VLOOKUP(B5593,Enero!$B$2:$G$5822,4,0),"")</f>
        <v>ACTPETS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IFERROR(VLOOKUP(B5594,Enero!$B$2:$G$5822,4,0),"")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IFERROR(VLOOKUP(B5595,Enero!$B$2:$G$5822,4,0),"")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IFERROR(VLOOKUP(B5596,Enero!$B$2:$G$5822,4,0),"")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IFERROR(VLOOKUP(B5597,Enero!$B$2:$G$5822,4,0),"")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IFERROR(VLOOKUP(B5598,Enero!$B$2:$G$5822,4,0),"")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IFERROR(VLOOKUP(B5599,Enero!$B$2:$G$5822,4,0),"")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IFERROR(VLOOKUP(B5600,Enero!$B$2:$G$5822,4,0),"")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IFERROR(VLOOKUP(B5601,Enero!$B$2:$G$5822,4,0),"")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IFERROR(VLOOKUP(B5602,Enero!$B$2:$G$5822,4,0),"")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IFERROR(VLOOKUP(B5603,Enero!$B$2:$G$5822,4,0),"")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IFERROR(VLOOKUP(B5604,Enero!$B$2:$G$5822,4,0),"")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IFERROR(VLOOKUP(B5605,Enero!$B$2:$G$5822,4,0),"")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IFERROR(VLOOKUP(B5606,Enero!$B$2:$G$5822,4,0),"")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IFERROR(VLOOKUP(B5607,Enero!$B$2:$G$5822,4,0),"")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IFERROR(VLOOKUP(B5608,Enero!$B$2:$G$5822,4,0),"")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IFERROR(VLOOKUP(B5609,Enero!$B$2:$G$5822,4,0),"")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IFERROR(VLOOKUP(B5610,Enero!$B$2:$G$5822,4,0),"")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IFERROR(VLOOKUP(B5611,Enero!$B$2:$G$5822,4,0),"")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IFERROR(VLOOKUP(B5612,Enero!$B$2:$G$5822,4,0),"")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IFERROR(VLOOKUP(B5613,Enero!$B$2:$G$5822,4,0),"")</f>
        <v>ATAPET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IFERROR(VLOOKUP(B5614,Enero!$B$2:$G$5822,4,0),"")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IFERROR(VLOOKUP(B5615,Enero!$B$2:$G$5822,4,0),"")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IFERROR(VLOOKUP(B5616,Enero!$B$2:$G$5822,4,0),"")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IFERROR(VLOOKUP(B5617,Enero!$B$2:$G$5822,4,0),"")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IFERROR(VLOOKUP(B5618,Enero!$B$2:$G$5822,4,0),"")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IFERROR(VLOOKUP(B5619,Enero!$B$2:$G$5822,4,0),"")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IFERROR(VLOOKUP(B5620,Enero!$B$2:$G$5822,4,0),"")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IFERROR(VLOOKUP(B5621,Enero!$B$2:$G$5822,4,0),"")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IFERROR(VLOOKUP(B5622,Enero!$B$2:$G$5822,4,0),"")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IFERROR(VLOOKUP(B5623,Enero!$B$2:$G$5822,4,0),"")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IFERROR(VLOOKUP(B5624,Enero!$B$2:$G$5822,4,0),"")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IFERROR(VLOOKUP(B5625,Enero!$B$2:$G$5822,4,0),"")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IFERROR(VLOOKUP(B5626,Enero!$B$2:$G$5822,4,0),"")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IFERROR(VLOOKUP(B5627,Enero!$B$2:$G$5822,4,0),"")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IFERROR(VLOOKUP(B5628,Enero!$B$2:$G$5822,4,0),"")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IFERROR(VLOOKUP(B5629,Enero!$B$2:$G$5822,4,0),"")</f>
        <v>ACTPETS</v>
      </c>
    </row>
    <row r="5630" spans="1:7" x14ac:dyDescent="0.25">
      <c r="A5630" s="11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tr">
        <f>IFERROR(VLOOKUP(B5630,Enero!$B$2:$G$5822,4,0),"")</f>
        <v>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IFERROR(VLOOKUP(B5631,Enero!$B$2:$G$5822,4,0),"")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IFERROR(VLOOKUP(B5632,Enero!$B$2:$G$5822,4,0),"")</f>
        <v>BM</v>
      </c>
    </row>
    <row r="5633" spans="1:7" x14ac:dyDescent="0.25">
      <c r="A5633" s="11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IFERROR(VLOOKUP(B5633,Enero!$B$2:$G$5822,4,0),"")</f>
        <v>INACTPETF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IFERROR(VLOOKUP(B5634,Enero!$B$2:$G$5822,4,0),"")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IFERROR(VLOOKUP(B5635,Enero!$B$2:$G$5822,4,0),"")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IFERROR(VLOOKUP(B5636,Enero!$B$2:$G$5822,4,0),"")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IFERROR(VLOOKUP(B5637,Enero!$B$2:$G$5822,4,0),"")</f>
        <v>ACTPETS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IFERROR(VLOOKUP(B5638,Enero!$B$2:$G$5822,4,0),"")</f>
        <v>INACTPETS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IFERROR(VLOOKUP(B5639,Enero!$B$2:$G$5822,4,0),"")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IFERROR(VLOOKUP(B5640,Enero!$B$2:$G$5822,4,0),"")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IFERROR(VLOOKUP(B5641,Enero!$B$2:$G$5822,4,0),"")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IFERROR(VLOOKUP(B5642,Enero!$B$2:$G$5822,4,0),"")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IFERROR(VLOOKUP(B5643,Enero!$B$2:$G$5822,4,0),"")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IFERROR(VLOOKUP(B5644,Enero!$B$2:$G$5822,4,0),"")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IFERROR(VLOOKUP(B5645,Enero!$B$2:$G$5822,4,0),"")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IFERROR(VLOOKUP(B5646,Enero!$B$2:$G$5822,4,0),"")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IFERROR(VLOOKUP(B5647,Enero!$B$2:$G$5822,4,0),"")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IFERROR(VLOOKUP(B5648,Enero!$B$2:$G$5822,4,0),"")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IFERROR(VLOOKUP(B5649,Enero!$B$2:$G$5822,4,0),"")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IFERROR(VLOOKUP(B5650,Enero!$B$2:$G$5822,4,0),"")</f>
        <v>ACTPETS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IFERROR(VLOOKUP(B5651,Enero!$B$2:$G$5822,4,0),"")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IFERROR(VLOOKUP(B5652,Enero!$B$2:$G$5822,4,0),"")</f>
        <v>ATAPET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IFERROR(VLOOKUP(B5653,Enero!$B$2:$G$5822,4,0),"")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IFERROR(VLOOKUP(B5654,Enero!$B$2:$G$5822,4,0),"")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IFERROR(VLOOKUP(B5655,Enero!$B$2:$G$5822,4,0),"")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IFERROR(VLOOKUP(B5656,Enero!$B$2:$G$5822,4,0),"")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IFERROR(VLOOKUP(B5657,Enero!$B$2:$G$5822,4,0),"")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IFERROR(VLOOKUP(B5658,Enero!$B$2:$G$5822,4,0),"")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IFERROR(VLOOKUP(B5659,Enero!$B$2:$G$5822,4,0),"")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IFERROR(VLOOKUP(B5660,Enero!$B$2:$G$5822,4,0),"")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IFERROR(VLOOKUP(B5661,Enero!$B$2:$G$5822,4,0),"")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IFERROR(VLOOKUP(B5662,Enero!$B$2:$G$5822,4,0),"")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IFERROR(VLOOKUP(B5663,Enero!$B$2:$G$5822,4,0),"")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IFERROR(VLOOKUP(B5664,Enero!$B$2:$G$5822,4,0),"")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IFERROR(VLOOKUP(B5665,Enero!$B$2:$G$5822,4,0),"")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IFERROR(VLOOKUP(B5666,Enero!$B$2:$G$5822,4,0),"")</f>
        <v>BM</v>
      </c>
    </row>
    <row r="5667" spans="1:7" x14ac:dyDescent="0.25">
      <c r="A5667" s="11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IFERROR(VLOOKUP(B5667,Enero!$B$2:$G$5822,4,0),"")</f>
        <v>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IFERROR(VLOOKUP(B5668,Enero!$B$2:$G$5822,4,0),"")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IFERROR(VLOOKUP(B5669,Enero!$B$2:$G$5822,4,0),"")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IFERROR(VLOOKUP(B5670,Enero!$B$2:$G$5822,4,0),"")</f>
        <v>ATAPET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IFERROR(VLOOKUP(B5671,Enero!$B$2:$G$5822,4,0),"")</f>
        <v>INACTPETF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IFERROR(VLOOKUP(B5672,Enero!$B$2:$G$5822,4,0),"")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IFERROR(VLOOKUP(B5673,Enero!$B$2:$G$5822,4,0),"")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IFERROR(VLOOKUP(B5674,Enero!$B$2:$G$5822,4,0),"")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IFERROR(VLOOKUP(B5675,Enero!$B$2:$G$5822,4,0),"")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IFERROR(VLOOKUP(B5676,Enero!$B$2:$G$5822,4,0),"")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IFERROR(VLOOKUP(B5677,Enero!$B$2:$G$5822,4,0),"")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IFERROR(VLOOKUP(B5678,Enero!$B$2:$G$5822,4,0),"")</f>
        <v>INACTBM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IFERROR(VLOOKUP(B5679,Enero!$B$2:$G$5822,4,0),"")</f>
        <v>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IFERROR(VLOOKUP(B5680,Enero!$B$2:$G$5822,4,0),"")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IFERROR(VLOOKUP(B5681,Enero!$B$2:$G$5822,4,0),"")</f>
        <v>INACTBM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IFERROR(VLOOKUP(B5682,Enero!$B$2:$G$5822,4,0),"")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IFERROR(VLOOKUP(B5683,Enero!$B$2:$G$5822,4,0),"")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IFERROR(VLOOKUP(B5684,Enero!$B$2:$G$5822,4,0),"")</f>
        <v>BM</v>
      </c>
    </row>
    <row r="5685" spans="1:7" x14ac:dyDescent="0.25">
      <c r="A5685" s="11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IFERROR(VLOOKUP(B5685,Enero!$B$2:$G$5822,4,0),"")</f>
        <v>ACTPETF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IFERROR(VLOOKUP(B5686,Enero!$B$2:$G$5822,4,0),"")</f>
        <v>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IFERROR(VLOOKUP(B5687,Enero!$B$2:$G$5822,4,0),"")</f>
        <v>BM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IFERROR(VLOOKUP(B5688,Enero!$B$2:$G$5822,4,0),"")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IFERROR(VLOOKUP(B5689,Enero!$B$2:$G$5822,4,0),"")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IFERROR(VLOOKUP(B5690,Enero!$B$2:$G$5822,4,0),"")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IFERROR(VLOOKUP(B5691,Enero!$B$2:$G$5822,4,0),"")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IFERROR(VLOOKUP(B5692,Enero!$B$2:$G$5822,4,0),"")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IFERROR(VLOOKUP(B5693,Enero!$B$2:$G$5822,4,0),"")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IFERROR(VLOOKUP(B5694,Enero!$B$2:$G$5822,4,0),"")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IFERROR(VLOOKUP(B5695,Enero!$B$2:$G$5822,4,0),"")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IFERROR(VLOOKUP(B5696,Enero!$B$2:$G$5822,4,0),"")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IFERROR(VLOOKUP(B5697,Enero!$B$2:$G$5822,4,0),"")</f>
        <v>APA_PC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IFERROR(VLOOKUP(B5698,Enero!$B$2:$G$5822,4,0),"")</f>
        <v>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IFERROR(VLOOKUP(B5699,Enero!$B$2:$G$5822,4,0),"")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IFERROR(VLOOKUP(B5700,Enero!$B$2:$G$5822,4,0),"")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IFERROR(VLOOKUP(B5701,Enero!$B$2:$G$5822,4,0),"")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IFERROR(VLOOKUP(B5702,Enero!$B$2:$G$5822,4,0),"")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IFERROR(VLOOKUP(B5703,Enero!$B$2:$G$5822,4,0),"")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IFERROR(VLOOKUP(B5704,Enero!$B$2:$G$5822,4,0),"")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IFERROR(VLOOKUP(B5705,Enero!$B$2:$G$5822,4,0),"")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IFERROR(VLOOKUP(B5706,Enero!$B$2:$G$5822,4,0),"")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IFERROR(VLOOKUP(B5707,Enero!$B$2:$G$5822,4,0),"")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IFERROR(VLOOKUP(B5708,Enero!$B$2:$G$5822,4,0),"")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IFERROR(VLOOKUP(B5709,Enero!$B$2:$G$5822,4,0),"")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IFERROR(VLOOKUP(B5710,Enero!$B$2:$G$5822,4,0),"")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IFERROR(VLOOKUP(B5711,Enero!$B$2:$G$5822,4,0),"")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IFERROR(VLOOKUP(B5712,Enero!$B$2:$G$5822,4,0),"")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IFERROR(VLOOKUP(B5713,Enero!$B$2:$G$5822,4,0),"")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IFERROR(VLOOKUP(B5714,Enero!$B$2:$G$5822,4,0),"")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IFERROR(VLOOKUP(B5715,Enero!$B$2:$G$5822,4,0),"")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IFERROR(VLOOKUP(B5716,Enero!$B$2:$G$5822,4,0),"")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IFERROR(VLOOKUP(B5717,Enero!$B$2:$G$5822,4,0),"")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IFERROR(VLOOKUP(B5718,Enero!$B$2:$G$5822,4,0),"")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IFERROR(VLOOKUP(B5719,Enero!$B$2:$G$5822,4,0),"")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IFERROR(VLOOKUP(B5720,Enero!$B$2:$G$5822,4,0),"")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IFERROR(VLOOKUP(B5721,Enero!$B$2:$G$5822,4,0),"")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IFERROR(VLOOKUP(B5722,Enero!$B$2:$G$5822,4,0),"")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IFERROR(VLOOKUP(B5723,Enero!$B$2:$G$5822,4,0),"")</f>
        <v>ATAPET</v>
      </c>
    </row>
    <row r="5724" spans="1:7" x14ac:dyDescent="0.25">
      <c r="A5724" s="11"/>
      <c r="B5724" s="4" t="s">
        <v>5404</v>
      </c>
      <c r="C5724" s="4" t="s">
        <v>14</v>
      </c>
      <c r="D5724" s="4" t="s">
        <v>15</v>
      </c>
      <c r="E5724" s="4" t="s">
        <v>16</v>
      </c>
      <c r="F5724" s="4" t="s">
        <v>14</v>
      </c>
      <c r="G5724" s="5" t="str">
        <f>IFERROR(VLOOKUP(B5724,Enero!$B$2:$G$5822,4,0),"")</f>
        <v>ATAPET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IFERROR(VLOOKUP(B5725,Enero!$B$2:$G$5822,4,0),"")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IFERROR(VLOOKUP(B5726,Enero!$B$2:$G$5822,4,0),"")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IFERROR(VLOOKUP(B5727,Enero!$B$2:$G$5822,4,0),"")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IFERROR(VLOOKUP(B5728,Enero!$B$2:$G$5822,4,0),"")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IFERROR(VLOOKUP(B5729,Enero!$B$2:$G$5822,4,0),"")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IFERROR(VLOOKUP(B5730,Enero!$B$2:$G$5822,4,0),"")</f>
        <v>APA_PC</v>
      </c>
    </row>
    <row r="5731" spans="1:7" x14ac:dyDescent="0.25">
      <c r="A5731" s="11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IFERROR(VLOOKUP(B5731,Enero!$B$2:$G$5822,4,0),"")</f>
        <v>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IFERROR(VLOOKUP(B5732,Enero!$B$2:$G$5822,4,0),"")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IFERROR(VLOOKUP(B5733,Enero!$B$2:$G$5822,4,0),"")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IFERROR(VLOOKUP(B5734,Enero!$B$2:$G$5822,4,0),"")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IFERROR(VLOOKUP(B5735,Enero!$B$2:$G$5822,4,0),"")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IFERROR(VLOOKUP(B5736,Enero!$B$2:$G$5822,4,0),"")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IFERROR(VLOOKUP(B5737,Enero!$B$2:$G$5822,4,0),"")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IFERROR(VLOOKUP(B5738,Enero!$B$2:$G$5822,4,0),"")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IFERROR(VLOOKUP(B5739,Enero!$B$2:$G$5822,4,0),"")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IFERROR(VLOOKUP(B5740,Enero!$B$2:$G$5822,4,0),"")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IFERROR(VLOOKUP(B5741,Enero!$B$2:$G$5822,4,0),"")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IFERROR(VLOOKUP(B5742,Enero!$B$2:$G$5822,4,0),"")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IFERROR(VLOOKUP(B5743,Enero!$B$2:$G$5822,4,0),"")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IFERROR(VLOOKUP(B5744,Enero!$B$2:$G$5822,4,0),"")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IFERROR(VLOOKUP(B5745,Enero!$B$2:$G$5822,4,0),"")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IFERROR(VLOOKUP(B5746,Enero!$B$2:$G$5822,4,0),"")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IFERROR(VLOOKUP(B5747,Enero!$B$2:$G$5822,4,0),"")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IFERROR(VLOOKUP(B5748,Enero!$B$2:$G$5822,4,0),"")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IFERROR(VLOOKUP(B5749,Enero!$B$2:$G$5822,4,0),"")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IFERROR(VLOOKUP(B5750,Enero!$B$2:$G$5822,4,0),"")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IFERROR(VLOOKUP(B5751,Enero!$B$2:$G$5822,4,0),"")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IFERROR(VLOOKUP(B5752,Enero!$B$2:$G$5822,4,0),"")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IFERROR(VLOOKUP(B5753,Enero!$B$2:$G$5822,4,0),"")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IFERROR(VLOOKUP(B5754,Enero!$B$2:$G$5822,4,0),"")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IFERROR(VLOOKUP(B5755,Enero!$B$2:$G$5822,4,0),"")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IFERROR(VLOOKUP(B5756,Enero!$B$2:$G$5822,4,0),"")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IFERROR(VLOOKUP(B5757,Enero!$B$2:$G$5822,4,0),"")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IFERROR(VLOOKUP(B5758,Enero!$B$2:$G$5822,4,0),"")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IFERROR(VLOOKUP(B5759,Enero!$B$2:$G$5822,4,0),"")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IFERROR(VLOOKUP(B5760,Enero!$B$2:$G$5822,4,0),"")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IFERROR(VLOOKUP(B5761,Enero!$B$2:$G$5822,4,0),"")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IFERROR(VLOOKUP(B5762,Enero!$B$2:$G$5822,4,0),"")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IFERROR(VLOOKUP(B5763,Enero!$B$2:$G$5822,4,0),"")</f>
        <v>APA_CNPC</v>
      </c>
    </row>
    <row r="5764" spans="1:7" x14ac:dyDescent="0.25">
      <c r="A5764" s="11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IFERROR(VLOOKUP(B5764,Enero!$B$2:$G$5822,4,0),"")</f>
        <v>BM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IFERROR(VLOOKUP(B5765,Enero!$B$2:$G$5822,4,0),"")</f>
        <v>INACTINYG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IFERROR(VLOOKUP(B5766,Enero!$B$2:$G$5822,4,0),"")</f>
        <v>ATAPET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IFERROR(VLOOKUP(B5767,Enero!$B$2:$G$5822,4,0),"")</f>
        <v>INACTINYG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IFERROR(VLOOKUP(B5768,Enero!$B$2:$G$5822,4,0),"")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IFERROR(VLOOKUP(B5769,Enero!$B$2:$G$5822,4,0),"")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IFERROR(VLOOKUP(B5770,Enero!$B$2:$G$5822,4,0),"")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IFERROR(VLOOKUP(B5771,Enero!$B$2:$G$5822,4,0),"")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IFERROR(VLOOKUP(B5772,Enero!$B$2:$G$5822,4,0),"")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IFERROR(VLOOKUP(B5773,Enero!$B$2:$G$5822,4,0),"")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IFERROR(VLOOKUP(B5774,Enero!$B$2:$G$5822,4,0),"")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IFERROR(VLOOKUP(B5775,Enero!$B$2:$G$5822,4,0),"")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IFERROR(VLOOKUP(B5776,Enero!$B$2:$G$5822,4,0),"")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IFERROR(VLOOKUP(B5777,Enero!$B$2:$G$5822,4,0),"")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IFERROR(VLOOKUP(B5778,Enero!$B$2:$G$5822,4,0),"")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IFERROR(VLOOKUP(B5779,Enero!$B$2:$G$5822,4,0),"")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IFERROR(VLOOKUP(B5780,Enero!$B$2:$G$5822,4,0),"")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IFERROR(VLOOKUP(B5781,Enero!$B$2:$G$5822,4,0),"")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IFERROR(VLOOKUP(B5782,Enero!$B$2:$G$5822,4,0),"")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IFERROR(VLOOKUP(B5783,Enero!$B$2:$G$5822,4,0),"")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IFERROR(VLOOKUP(B5784,Enero!$B$2:$G$5822,4,0),"")</f>
        <v>BM</v>
      </c>
    </row>
    <row r="5785" spans="1:7" x14ac:dyDescent="0.25">
      <c r="A5785" s="11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IFERROR(VLOOKUP(B5785,Enero!$B$2:$G$5822,4,0),"")</f>
        <v>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IFERROR(VLOOKUP(B5786,Enero!$B$2:$G$5822,4,0),"")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IFERROR(VLOOKUP(B5787,Enero!$B$2:$G$5822,4,0),"")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IFERROR(VLOOKUP(B5788,Enero!$B$2:$G$5822,4,0),"")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IFERROR(VLOOKUP(B5789,Enero!$B$2:$G$5822,4,0),"")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IFERROR(VLOOKUP(B5790,Enero!$B$2:$G$5822,4,0),"")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IFERROR(VLOOKUP(B5791,Enero!$B$2:$G$5822,4,0),"")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IFERROR(VLOOKUP(B5792,Enero!$B$2:$G$5822,4,0),"")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IFERROR(VLOOKUP(B5793,Enero!$B$2:$G$5822,4,0),"")</f>
        <v>BM</v>
      </c>
    </row>
    <row r="5794" spans="1:7" x14ac:dyDescent="0.25">
      <c r="A5794" s="11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IFERROR(VLOOKUP(B5794,Enero!$B$2:$G$5822,4,0),"")</f>
        <v>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IFERROR(VLOOKUP(B5795,Enero!$B$2:$G$5822,4,0),"")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IFERROR(VLOOKUP(B5796,Enero!$B$2:$G$5822,4,0),"")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IFERROR(VLOOKUP(B5797,Enero!$B$2:$G$5822,4,0),"")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IFERROR(VLOOKUP(B5798,Enero!$B$2:$G$5822,4,0),"")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IFERROR(VLOOKUP(B5799,Enero!$B$2:$G$5822,4,0),"")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IFERROR(VLOOKUP(B5800,Enero!$B$2:$G$5822,4,0),"")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IFERROR(VLOOKUP(B5801,Enero!$B$2:$G$5822,4,0),"")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IFERROR(VLOOKUP(B5802,Enero!$B$2:$G$5822,4,0),"")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IFERROR(VLOOKUP(B5803,Enero!$B$2:$G$5822,4,0),"")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IFERROR(VLOOKUP(B5804,Enero!$B$2:$G$5822,4,0),"")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IFERROR(VLOOKUP(B5805,Enero!$B$2:$G$5822,4,0),"")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IFERROR(VLOOKUP(B5806,Enero!$B$2:$G$5822,4,0),"")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IFERROR(VLOOKUP(B5807,Enero!$B$2:$G$5822,4,0),"")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IFERROR(VLOOKUP(B5808,Enero!$B$2:$G$5822,4,0),"")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IFERROR(VLOOKUP(B5809,Enero!$B$2:$G$5822,4,0),"")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IFERROR(VLOOKUP(B5810,Enero!$B$2:$G$5822,4,0),"")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IFERROR(VLOOKUP(B5811,Enero!$B$2:$G$5822,4,0),"")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IFERROR(VLOOKUP(B5812,Enero!$B$2:$G$5822,4,0),"")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IFERROR(VLOOKUP(B5813,Enero!$B$2:$G$5822,4,0),"")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IFERROR(VLOOKUP(B5814,Enero!$B$2:$G$5822,4,0),"")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IFERROR(VLOOKUP(B5815,Enero!$B$2:$G$5822,4,0),"")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IFERROR(VLOOKUP(B5816,Enero!$B$2:$G$5822,4,0),"")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IFERROR(VLOOKUP(B5817,Enero!$B$2:$G$5822,4,0),"")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IFERROR(VLOOKUP(B5818,Enero!$B$2:$G$5822,4,0),"")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IFERROR(VLOOKUP(B5819,Enero!$B$2:$G$5822,4,0),"")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IFERROR(VLOOKUP(B5820,Enero!$B$2:$G$5822,4,0),"")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IFERROR(VLOOKUP(B5821,Enero!$B$2:$G$5822,4,0),"")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IFERROR(VLOOKUP(B5822,Enero!$B$2:$G$5822,4,0),"")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8569-2361-48FB-99B3-9C46A1C95D25}">
  <dimension ref="A1:T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G1" sqref="G1:G1048576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20" ht="15.75" x14ac:dyDescent="0.25">
      <c r="B1" s="6" t="s">
        <v>5901</v>
      </c>
      <c r="C1" s="7"/>
      <c r="D1" s="7"/>
      <c r="E1" s="7"/>
      <c r="F1" s="7"/>
      <c r="G1" s="7"/>
      <c r="J1" s="13">
        <v>45292</v>
      </c>
      <c r="M1" s="13">
        <v>45261</v>
      </c>
    </row>
    <row r="2" spans="1:20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5904</v>
      </c>
      <c r="J2" s="14" t="s">
        <v>5503</v>
      </c>
      <c r="K2" s="15"/>
      <c r="M2" s="15" t="s">
        <v>5503</v>
      </c>
      <c r="N2" s="15"/>
    </row>
    <row r="3" spans="1:20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J3" s="14" t="s">
        <v>3</v>
      </c>
      <c r="K3" s="15" t="s">
        <v>5502</v>
      </c>
      <c r="M3" s="15" t="s">
        <v>3</v>
      </c>
      <c r="N3" s="15" t="s">
        <v>5502</v>
      </c>
    </row>
    <row r="4" spans="1:20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J4" s="17" t="s">
        <v>111</v>
      </c>
      <c r="K4" s="17">
        <v>50</v>
      </c>
      <c r="M4" s="17" t="s">
        <v>111</v>
      </c>
      <c r="N4" s="17">
        <v>50</v>
      </c>
      <c r="O4">
        <f>+K4-N4</f>
        <v>0</v>
      </c>
    </row>
    <row r="5" spans="1:20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J5" s="16" t="s">
        <v>26</v>
      </c>
      <c r="K5" s="21">
        <v>183</v>
      </c>
      <c r="M5" s="16" t="s">
        <v>26</v>
      </c>
      <c r="N5" s="21">
        <v>179</v>
      </c>
      <c r="O5">
        <f t="shared" ref="O5:O30" si="0">+K5-N5</f>
        <v>4</v>
      </c>
    </row>
    <row r="6" spans="1:20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J6" s="16" t="s">
        <v>20</v>
      </c>
      <c r="K6" s="21">
        <v>504</v>
      </c>
      <c r="M6" s="16" t="s">
        <v>20</v>
      </c>
      <c r="N6" s="21">
        <v>504</v>
      </c>
      <c r="O6">
        <f t="shared" si="0"/>
        <v>0</v>
      </c>
      <c r="S6">
        <f>+GETPIVOTDATA("*PFORMACION",$J$2,"*ULT_EST","ACTPETF")+GETPIVOTDATA("*PFORMACION",$J$2,"*ULT_EST","ACTPETS")</f>
        <v>687</v>
      </c>
      <c r="T6">
        <f>+N6+N7</f>
        <v>608</v>
      </c>
    </row>
    <row r="7" spans="1:20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J7" s="16" t="s">
        <v>5900</v>
      </c>
      <c r="K7" s="16">
        <v>130</v>
      </c>
      <c r="M7" s="16" t="s">
        <v>5900</v>
      </c>
      <c r="N7" s="16">
        <v>104</v>
      </c>
      <c r="O7">
        <f t="shared" si="0"/>
        <v>26</v>
      </c>
      <c r="S7">
        <f>+GETPIVOTDATA("*PFORMACION",$J$2,"*ULT_EST","INACTPETF")+GETPIVOTDATA("*PFORMACION",$J$2,"*ULT_EST","INACTPETS")</f>
        <v>164</v>
      </c>
      <c r="T7">
        <f>+N27+N28</f>
        <v>123</v>
      </c>
    </row>
    <row r="8" spans="1:20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J8" s="16" t="s">
        <v>776</v>
      </c>
      <c r="K8" s="16">
        <v>14</v>
      </c>
      <c r="M8" s="16" t="s">
        <v>776</v>
      </c>
      <c r="N8" s="16">
        <v>14</v>
      </c>
      <c r="O8">
        <f t="shared" si="0"/>
        <v>0</v>
      </c>
      <c r="S8">
        <f>+S7+S6</f>
        <v>851</v>
      </c>
      <c r="T8">
        <f>+T7+T6</f>
        <v>731</v>
      </c>
    </row>
    <row r="9" spans="1:20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J9" s="16" t="s">
        <v>30</v>
      </c>
      <c r="K9" s="16">
        <v>1013</v>
      </c>
      <c r="M9" s="16" t="s">
        <v>30</v>
      </c>
      <c r="N9" s="16">
        <v>1013</v>
      </c>
      <c r="O9">
        <f t="shared" si="0"/>
        <v>0</v>
      </c>
    </row>
    <row r="10" spans="1:20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J10" s="16" t="s">
        <v>33</v>
      </c>
      <c r="K10" s="16">
        <v>290</v>
      </c>
      <c r="M10" s="16" t="s">
        <v>33</v>
      </c>
      <c r="N10" s="16">
        <v>290</v>
      </c>
      <c r="O10">
        <f t="shared" si="0"/>
        <v>0</v>
      </c>
    </row>
    <row r="11" spans="1:20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J11" s="16" t="s">
        <v>263</v>
      </c>
      <c r="K11" s="16">
        <v>6</v>
      </c>
      <c r="M11" s="16" t="s">
        <v>263</v>
      </c>
      <c r="N11" s="16">
        <v>9</v>
      </c>
      <c r="O11">
        <f t="shared" si="0"/>
        <v>-3</v>
      </c>
    </row>
    <row r="12" spans="1:20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J12" s="16" t="s">
        <v>98</v>
      </c>
      <c r="K12" s="16">
        <v>13</v>
      </c>
      <c r="M12" s="16" t="s">
        <v>98</v>
      </c>
      <c r="N12" s="16">
        <v>16</v>
      </c>
      <c r="O12">
        <f t="shared" si="0"/>
        <v>-3</v>
      </c>
    </row>
    <row r="13" spans="1:20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J13" s="16" t="s">
        <v>16</v>
      </c>
      <c r="K13" s="16">
        <v>521</v>
      </c>
      <c r="M13" s="16" t="s">
        <v>16</v>
      </c>
      <c r="N13" s="16">
        <v>539</v>
      </c>
      <c r="O13">
        <f t="shared" si="0"/>
        <v>-18</v>
      </c>
    </row>
    <row r="14" spans="1:20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J14" s="16" t="s">
        <v>75</v>
      </c>
      <c r="K14" s="19">
        <v>10</v>
      </c>
      <c r="M14" s="16" t="s">
        <v>75</v>
      </c>
      <c r="N14" s="19">
        <v>11</v>
      </c>
      <c r="O14">
        <f t="shared" si="0"/>
        <v>-1</v>
      </c>
    </row>
    <row r="15" spans="1:20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J15" s="16" t="s">
        <v>11</v>
      </c>
      <c r="K15" s="19">
        <v>2251</v>
      </c>
      <c r="M15" s="16" t="s">
        <v>11</v>
      </c>
      <c r="N15" s="19">
        <v>2281</v>
      </c>
      <c r="O15">
        <f t="shared" si="0"/>
        <v>-30</v>
      </c>
    </row>
    <row r="16" spans="1:20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J16" s="16" t="s">
        <v>308</v>
      </c>
      <c r="K16" s="19">
        <v>20</v>
      </c>
      <c r="M16" s="16" t="s">
        <v>308</v>
      </c>
      <c r="N16" s="19">
        <v>20</v>
      </c>
      <c r="O16">
        <f t="shared" si="0"/>
        <v>0</v>
      </c>
    </row>
    <row r="17" spans="1:20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J17" s="16" t="s">
        <v>8</v>
      </c>
      <c r="K17" s="16">
        <v>209</v>
      </c>
      <c r="M17" s="16" t="s">
        <v>8</v>
      </c>
      <c r="N17" s="16">
        <v>209</v>
      </c>
      <c r="O17">
        <f t="shared" si="0"/>
        <v>0</v>
      </c>
    </row>
    <row r="18" spans="1:20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J18" s="16" t="s">
        <v>1089</v>
      </c>
      <c r="K18" s="19">
        <v>1</v>
      </c>
      <c r="M18" s="16" t="s">
        <v>1089</v>
      </c>
      <c r="N18" s="19">
        <v>1</v>
      </c>
      <c r="O18">
        <f t="shared" si="0"/>
        <v>0</v>
      </c>
    </row>
    <row r="19" spans="1:20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J19" s="16" t="s">
        <v>118</v>
      </c>
      <c r="K19" s="16">
        <v>4</v>
      </c>
      <c r="M19" s="16" t="s">
        <v>118</v>
      </c>
      <c r="N19" s="16">
        <v>3</v>
      </c>
      <c r="O19">
        <f t="shared" si="0"/>
        <v>1</v>
      </c>
    </row>
    <row r="20" spans="1:20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J20" s="16" t="s">
        <v>57</v>
      </c>
      <c r="K20" s="16">
        <v>298</v>
      </c>
      <c r="M20" s="16" t="s">
        <v>57</v>
      </c>
      <c r="N20" s="16">
        <v>269</v>
      </c>
      <c r="O20">
        <f t="shared" si="0"/>
        <v>29</v>
      </c>
      <c r="S20">
        <f>+GETPIVOTDATA("*PFORMACION",$J$2,"*ULT_EST","BM")+GETPIVOTDATA("*PFORMACION",$J$2,"*ULT_EST","INACTBM")</f>
        <v>2549</v>
      </c>
      <c r="T20">
        <f>+N16+N21</f>
        <v>21</v>
      </c>
    </row>
    <row r="21" spans="1:20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J21" s="16" t="s">
        <v>824</v>
      </c>
      <c r="K21" s="16">
        <v>1</v>
      </c>
      <c r="M21" s="16" t="s">
        <v>824</v>
      </c>
      <c r="N21" s="16">
        <v>1</v>
      </c>
      <c r="O21">
        <f t="shared" si="0"/>
        <v>0</v>
      </c>
    </row>
    <row r="22" spans="1:20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J22" s="16" t="s">
        <v>170</v>
      </c>
      <c r="K22" s="16">
        <v>16</v>
      </c>
      <c r="M22" s="16" t="s">
        <v>170</v>
      </c>
      <c r="N22" s="16">
        <v>16</v>
      </c>
      <c r="O22">
        <f t="shared" si="0"/>
        <v>0</v>
      </c>
    </row>
    <row r="23" spans="1:20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J23" s="16" t="s">
        <v>5631</v>
      </c>
      <c r="K23" s="16">
        <v>3</v>
      </c>
      <c r="M23" s="16" t="s">
        <v>5631</v>
      </c>
      <c r="N23" s="16">
        <v>3</v>
      </c>
      <c r="O23">
        <f t="shared" si="0"/>
        <v>0</v>
      </c>
    </row>
    <row r="24" spans="1:20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J24" s="16" t="s">
        <v>686</v>
      </c>
      <c r="K24" s="16">
        <v>37</v>
      </c>
      <c r="M24" s="16" t="s">
        <v>686</v>
      </c>
      <c r="N24" s="16">
        <v>37</v>
      </c>
      <c r="O24">
        <f t="shared" si="0"/>
        <v>0</v>
      </c>
    </row>
    <row r="25" spans="1:20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J25" s="16" t="s">
        <v>2458</v>
      </c>
      <c r="K25" s="16">
        <v>6</v>
      </c>
      <c r="M25" s="16" t="s">
        <v>2458</v>
      </c>
      <c r="N25" s="16">
        <v>6</v>
      </c>
      <c r="O25">
        <f t="shared" si="0"/>
        <v>0</v>
      </c>
    </row>
    <row r="26" spans="1:20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16</v>
      </c>
      <c r="J26" s="16" t="s">
        <v>36</v>
      </c>
      <c r="K26" s="16">
        <v>57</v>
      </c>
      <c r="M26" s="16" t="s">
        <v>36</v>
      </c>
      <c r="N26" s="16">
        <v>62</v>
      </c>
      <c r="O26">
        <f t="shared" si="0"/>
        <v>-5</v>
      </c>
    </row>
    <row r="27" spans="1:20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J27" s="16" t="s">
        <v>163</v>
      </c>
      <c r="K27" s="16">
        <v>107</v>
      </c>
      <c r="M27" s="16" t="s">
        <v>163</v>
      </c>
      <c r="N27" s="16">
        <v>107</v>
      </c>
      <c r="O27">
        <f t="shared" si="0"/>
        <v>0</v>
      </c>
    </row>
    <row r="28" spans="1:20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J28" s="16" t="s">
        <v>2266</v>
      </c>
      <c r="K28" s="16">
        <v>16</v>
      </c>
      <c r="M28" s="16" t="s">
        <v>2266</v>
      </c>
      <c r="N28" s="16">
        <v>16</v>
      </c>
      <c r="O28">
        <f t="shared" si="0"/>
        <v>0</v>
      </c>
    </row>
    <row r="29" spans="1:20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J29" s="18" t="s">
        <v>549</v>
      </c>
      <c r="K29" s="20">
        <v>60</v>
      </c>
      <c r="M29" s="18" t="s">
        <v>549</v>
      </c>
      <c r="N29" s="20">
        <v>60</v>
      </c>
      <c r="O29">
        <f t="shared" si="0"/>
        <v>0</v>
      </c>
    </row>
    <row r="30" spans="1:20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J30" s="15" t="s">
        <v>5899</v>
      </c>
      <c r="K30" s="15">
        <v>5820</v>
      </c>
      <c r="M30" s="10" t="s">
        <v>5899</v>
      </c>
      <c r="N30" s="10">
        <v>5820</v>
      </c>
      <c r="O30">
        <f t="shared" si="0"/>
        <v>0</v>
      </c>
    </row>
    <row r="31" spans="1:20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</row>
    <row r="32" spans="1:20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11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16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">
        <v>20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57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57</v>
      </c>
    </row>
    <row r="48" spans="1:7" x14ac:dyDescent="0.25">
      <c r="A48" s="11"/>
      <c r="B48" s="4" t="s">
        <v>74</v>
      </c>
      <c r="C48" s="4" t="s">
        <v>75</v>
      </c>
      <c r="D48" s="4" t="s">
        <v>76</v>
      </c>
      <c r="E48" s="4" t="s">
        <v>75</v>
      </c>
      <c r="F48" s="4" t="s">
        <v>77</v>
      </c>
      <c r="G48" s="5" t="s">
        <v>75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">
        <v>11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98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</row>
    <row r="76" spans="1:7" x14ac:dyDescent="0.25">
      <c r="A76" s="11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">
        <v>111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</row>
    <row r="89" spans="1:7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26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</row>
    <row r="96" spans="1:7" x14ac:dyDescent="0.25">
      <c r="A96" s="11"/>
      <c r="B96" s="4" t="s">
        <v>133</v>
      </c>
      <c r="C96" s="4" t="s">
        <v>14</v>
      </c>
      <c r="D96" s="4" t="s">
        <v>15</v>
      </c>
      <c r="E96" s="4" t="s">
        <v>16</v>
      </c>
      <c r="F96" s="4" t="s">
        <v>14</v>
      </c>
      <c r="G96" s="5" t="s">
        <v>16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16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</row>
    <row r="110" spans="1:7" x14ac:dyDescent="0.25">
      <c r="A110" s="11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</row>
    <row r="114" spans="1:7" x14ac:dyDescent="0.25">
      <c r="A114" s="11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</row>
    <row r="117" spans="1:7" x14ac:dyDescent="0.25">
      <c r="A117" s="11"/>
      <c r="B117" s="4" t="s">
        <v>155</v>
      </c>
      <c r="C117" s="4" t="s">
        <v>14</v>
      </c>
      <c r="D117" s="4" t="s">
        <v>15</v>
      </c>
      <c r="E117" s="4" t="s">
        <v>16</v>
      </c>
      <c r="F117" s="4" t="s">
        <v>14</v>
      </c>
      <c r="G117" s="5" t="s">
        <v>16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</row>
    <row r="134" spans="1:7" x14ac:dyDescent="0.25">
      <c r="A134" s="11"/>
      <c r="B134" s="4" t="s">
        <v>176</v>
      </c>
      <c r="C134" s="4" t="s">
        <v>11</v>
      </c>
      <c r="D134" s="4" t="s">
        <v>11</v>
      </c>
      <c r="E134" s="4" t="s">
        <v>11</v>
      </c>
      <c r="F134" s="4" t="s">
        <v>100</v>
      </c>
      <c r="G134" s="5" t="s">
        <v>11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686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</row>
    <row r="152" spans="1:7" x14ac:dyDescent="0.25">
      <c r="A152" s="11"/>
      <c r="B152" s="4" t="s">
        <v>194</v>
      </c>
      <c r="C152" s="4" t="s">
        <v>14</v>
      </c>
      <c r="D152" s="4" t="s">
        <v>15</v>
      </c>
      <c r="E152" s="4" t="s">
        <v>16</v>
      </c>
      <c r="F152" s="4" t="s">
        <v>14</v>
      </c>
      <c r="G152" s="5" t="s">
        <v>16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</row>
    <row r="157" spans="1:7" x14ac:dyDescent="0.25">
      <c r="A157" s="11"/>
      <c r="B157" s="4" t="s">
        <v>199</v>
      </c>
      <c r="C157" s="4" t="s">
        <v>14</v>
      </c>
      <c r="D157" s="4" t="s">
        <v>15</v>
      </c>
      <c r="E157" s="4" t="s">
        <v>16</v>
      </c>
      <c r="F157" s="4" t="s">
        <v>14</v>
      </c>
      <c r="G157" s="5" t="s">
        <v>16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16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</row>
    <row r="168" spans="1:7" x14ac:dyDescent="0.25">
      <c r="A168" s="11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</row>
    <row r="169" spans="1:7" x14ac:dyDescent="0.25">
      <c r="A169" s="11"/>
      <c r="B169" s="4" t="s">
        <v>211</v>
      </c>
      <c r="C169" s="4" t="s">
        <v>14</v>
      </c>
      <c r="D169" s="4" t="s">
        <v>15</v>
      </c>
      <c r="E169" s="4" t="s">
        <v>16</v>
      </c>
      <c r="F169" s="4" t="s">
        <v>14</v>
      </c>
      <c r="G169" s="5" t="s">
        <v>16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</row>
    <row r="175" spans="1:7" x14ac:dyDescent="0.25">
      <c r="A175" s="11"/>
      <c r="B175" s="4" t="s">
        <v>217</v>
      </c>
      <c r="C175" s="4" t="s">
        <v>14</v>
      </c>
      <c r="D175" s="4" t="s">
        <v>15</v>
      </c>
      <c r="E175" s="4" t="s">
        <v>16</v>
      </c>
      <c r="F175" s="4" t="s">
        <v>14</v>
      </c>
      <c r="G175" s="5" t="s">
        <v>16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</row>
    <row r="183" spans="1:7" x14ac:dyDescent="0.25">
      <c r="A183" s="11"/>
      <c r="B183" s="4" t="s">
        <v>225</v>
      </c>
      <c r="C183" s="4" t="s">
        <v>35</v>
      </c>
      <c r="D183" s="4" t="s">
        <v>35</v>
      </c>
      <c r="E183" s="4" t="s">
        <v>57</v>
      </c>
      <c r="F183" s="4" t="s">
        <v>77</v>
      </c>
      <c r="G183" s="5" t="s">
        <v>57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16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</row>
    <row r="212" spans="1:7" x14ac:dyDescent="0.25">
      <c r="A212" s="11"/>
      <c r="B212" s="4" t="s">
        <v>255</v>
      </c>
      <c r="C212" s="4" t="s">
        <v>14</v>
      </c>
      <c r="D212" s="4" t="s">
        <v>15</v>
      </c>
      <c r="E212" s="4" t="s">
        <v>16</v>
      </c>
      <c r="F212" s="4" t="s">
        <v>14</v>
      </c>
      <c r="G212" s="5" t="s">
        <v>16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</row>
    <row r="214" spans="1:7" x14ac:dyDescent="0.25">
      <c r="A214" s="11"/>
      <c r="B214" s="4" t="s">
        <v>257</v>
      </c>
      <c r="C214" s="4" t="s">
        <v>14</v>
      </c>
      <c r="D214" s="4" t="s">
        <v>15</v>
      </c>
      <c r="E214" s="4" t="s">
        <v>98</v>
      </c>
      <c r="F214" s="4" t="s">
        <v>14</v>
      </c>
      <c r="G214" s="5" t="s">
        <v>98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16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">
        <v>20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</row>
    <row r="246" spans="1:7" x14ac:dyDescent="0.25">
      <c r="A246" s="11"/>
      <c r="B246" s="4" t="s">
        <v>290</v>
      </c>
      <c r="C246" s="4" t="s">
        <v>14</v>
      </c>
      <c r="D246" s="4" t="s">
        <v>15</v>
      </c>
      <c r="E246" s="4" t="s">
        <v>16</v>
      </c>
      <c r="F246" s="4" t="s">
        <v>14</v>
      </c>
      <c r="G246" s="5" t="s">
        <v>16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16</v>
      </c>
    </row>
    <row r="248" spans="1:7" x14ac:dyDescent="0.25">
      <c r="A248" s="11"/>
      <c r="B248" s="4" t="s">
        <v>292</v>
      </c>
      <c r="C248" s="4" t="s">
        <v>14</v>
      </c>
      <c r="D248" s="4" t="s">
        <v>15</v>
      </c>
      <c r="E248" s="4" t="s">
        <v>263</v>
      </c>
      <c r="F248" s="4" t="s">
        <v>14</v>
      </c>
      <c r="G248" s="5" t="s">
        <v>263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">
        <v>20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">
        <v>57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</row>
    <row r="284" spans="1:7" x14ac:dyDescent="0.25">
      <c r="A284" s="11"/>
      <c r="B284" s="4" t="s">
        <v>329</v>
      </c>
      <c r="C284" s="4" t="s">
        <v>11</v>
      </c>
      <c r="D284" s="4" t="s">
        <v>11</v>
      </c>
      <c r="E284" s="4" t="s">
        <v>11</v>
      </c>
      <c r="F284" s="4" t="s">
        <v>100</v>
      </c>
      <c r="G284" s="5" t="s">
        <v>11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</row>
    <row r="290" spans="1:7" x14ac:dyDescent="0.25">
      <c r="A290" s="11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">
        <v>11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308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</row>
    <row r="302" spans="1:7" x14ac:dyDescent="0.25">
      <c r="A302" s="11"/>
      <c r="B302" s="4" t="s">
        <v>347</v>
      </c>
      <c r="C302" s="4" t="s">
        <v>24</v>
      </c>
      <c r="D302" s="4" t="s">
        <v>25</v>
      </c>
      <c r="E302" s="4" t="s">
        <v>26</v>
      </c>
      <c r="F302" s="4" t="s">
        <v>21</v>
      </c>
      <c r="G302" s="5" t="s">
        <v>36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98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</row>
    <row r="312" spans="1:7" x14ac:dyDescent="0.25">
      <c r="A312" s="11"/>
      <c r="B312" s="4" t="s">
        <v>357</v>
      </c>
      <c r="C312" s="4" t="s">
        <v>35</v>
      </c>
      <c r="D312" s="4" t="s">
        <v>35</v>
      </c>
      <c r="E312" s="4" t="s">
        <v>36</v>
      </c>
      <c r="F312" s="4" t="s">
        <v>21</v>
      </c>
      <c r="G312" s="5" t="s">
        <v>26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98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</row>
    <row r="317" spans="1:7" x14ac:dyDescent="0.25">
      <c r="A317" s="11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</row>
    <row r="323" spans="1:7" x14ac:dyDescent="0.25">
      <c r="A323" s="11"/>
      <c r="B323" s="4" t="s">
        <v>368</v>
      </c>
      <c r="C323" s="4" t="s">
        <v>14</v>
      </c>
      <c r="D323" s="4" t="s">
        <v>15</v>
      </c>
      <c r="E323" s="4" t="s">
        <v>16</v>
      </c>
      <c r="F323" s="4" t="s">
        <v>14</v>
      </c>
      <c r="G323" s="5" t="s">
        <v>16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">
        <v>20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</row>
    <row r="341" spans="1:7" x14ac:dyDescent="0.25">
      <c r="A341" s="11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26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</row>
    <row r="374" spans="1:7" x14ac:dyDescent="0.25">
      <c r="A374" s="11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">
        <v>11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</row>
    <row r="381" spans="1:7" x14ac:dyDescent="0.25">
      <c r="A381" s="11"/>
      <c r="B381" s="4" t="s">
        <v>426</v>
      </c>
      <c r="C381" s="4" t="s">
        <v>11</v>
      </c>
      <c r="D381" s="4" t="s">
        <v>11</v>
      </c>
      <c r="E381" s="4" t="s">
        <v>11</v>
      </c>
      <c r="F381" s="4" t="s">
        <v>120</v>
      </c>
      <c r="G381" s="5" t="s">
        <v>11</v>
      </c>
    </row>
    <row r="382" spans="1:7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20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</row>
    <row r="393" spans="1:7" x14ac:dyDescent="0.25">
      <c r="A393" s="11"/>
      <c r="B393" s="4" t="s">
        <v>438</v>
      </c>
      <c r="C393" s="4" t="s">
        <v>18</v>
      </c>
      <c r="D393" s="4" t="s">
        <v>19</v>
      </c>
      <c r="E393" s="4" t="s">
        <v>20</v>
      </c>
      <c r="F393" s="4" t="s">
        <v>21</v>
      </c>
      <c r="G393" s="5" t="s">
        <v>163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">
        <v>20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</row>
    <row r="402" spans="1:7" x14ac:dyDescent="0.25">
      <c r="A402" s="11"/>
      <c r="B402" s="4" t="s">
        <v>447</v>
      </c>
      <c r="C402" s="4" t="s">
        <v>14</v>
      </c>
      <c r="D402" s="4" t="s">
        <v>15</v>
      </c>
      <c r="E402" s="4" t="s">
        <v>263</v>
      </c>
      <c r="F402" s="4" t="s">
        <v>14</v>
      </c>
      <c r="G402" s="5" t="s">
        <v>263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20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</row>
    <row r="409" spans="1:7" x14ac:dyDescent="0.25">
      <c r="A409" s="11"/>
      <c r="B409" s="4" t="s">
        <v>454</v>
      </c>
      <c r="C409" s="4" t="s">
        <v>14</v>
      </c>
      <c r="D409" s="4" t="s">
        <v>15</v>
      </c>
      <c r="E409" s="4" t="s">
        <v>16</v>
      </c>
      <c r="F409" s="4" t="s">
        <v>14</v>
      </c>
      <c r="G409" s="5" t="s">
        <v>16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</row>
    <row r="426" spans="1:7" x14ac:dyDescent="0.25">
      <c r="A426" s="11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">
        <v>57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</row>
    <row r="476" spans="1:7" x14ac:dyDescent="0.25">
      <c r="A476" s="11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">
        <v>11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</row>
    <row r="507" spans="1:7" x14ac:dyDescent="0.25">
      <c r="A507" s="11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11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36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</row>
    <row r="533" spans="1:7" x14ac:dyDescent="0.25">
      <c r="A533" s="11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">
        <v>170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">
        <v>57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</row>
    <row r="584" spans="1:7" x14ac:dyDescent="0.25">
      <c r="A584" s="11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16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">
        <v>75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">
        <v>11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">
        <v>11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</row>
    <row r="620" spans="1:7" x14ac:dyDescent="0.25">
      <c r="A620" s="11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</row>
    <row r="627" spans="1:7" x14ac:dyDescent="0.25">
      <c r="A627" s="11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">
        <v>57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</row>
    <row r="635" spans="1:7" x14ac:dyDescent="0.25">
      <c r="A635" s="11"/>
      <c r="B635" s="4" t="s">
        <v>675</v>
      </c>
      <c r="C635" s="4" t="s">
        <v>109</v>
      </c>
      <c r="D635" s="4" t="s">
        <v>110</v>
      </c>
      <c r="E635" s="4" t="s">
        <v>111</v>
      </c>
      <c r="F635" s="4" t="s">
        <v>112</v>
      </c>
      <c r="G635" s="5" t="s">
        <v>111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</row>
    <row r="639" spans="1:7" x14ac:dyDescent="0.25">
      <c r="A639" s="11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">
        <v>118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57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</row>
    <row r="655" spans="1:7" x14ac:dyDescent="0.25">
      <c r="A655" s="11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</row>
    <row r="669" spans="1:7" x14ac:dyDescent="0.25">
      <c r="A669" s="11"/>
      <c r="B669" s="4" t="s">
        <v>709</v>
      </c>
      <c r="C669" s="4" t="s">
        <v>14</v>
      </c>
      <c r="D669" s="4" t="s">
        <v>15</v>
      </c>
      <c r="E669" s="4" t="s">
        <v>16</v>
      </c>
      <c r="F669" s="4" t="s">
        <v>14</v>
      </c>
      <c r="G669" s="5" t="s">
        <v>16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</row>
    <row r="673" spans="1:7" x14ac:dyDescent="0.25">
      <c r="A673" s="11"/>
      <c r="B673" s="4" t="s">
        <v>713</v>
      </c>
      <c r="C673" s="4" t="s">
        <v>109</v>
      </c>
      <c r="D673" s="4" t="s">
        <v>110</v>
      </c>
      <c r="E673" s="4" t="s">
        <v>111</v>
      </c>
      <c r="F673" s="4" t="s">
        <v>112</v>
      </c>
      <c r="G673" s="5" t="s">
        <v>111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</row>
    <row r="675" spans="1:7" x14ac:dyDescent="0.25">
      <c r="A675" s="11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</row>
    <row r="676" spans="1:7" x14ac:dyDescent="0.25">
      <c r="A676" s="11"/>
      <c r="B676" s="4" t="s">
        <v>716</v>
      </c>
      <c r="C676" s="4" t="s">
        <v>35</v>
      </c>
      <c r="D676" s="4" t="s">
        <v>35</v>
      </c>
      <c r="E676" s="4" t="s">
        <v>686</v>
      </c>
      <c r="F676" s="4" t="s">
        <v>112</v>
      </c>
      <c r="G676" s="5" t="s">
        <v>686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</row>
    <row r="695" spans="1:7" x14ac:dyDescent="0.25">
      <c r="A695" s="11"/>
      <c r="B695" s="4" t="s">
        <v>735</v>
      </c>
      <c r="C695" s="4" t="s">
        <v>14</v>
      </c>
      <c r="D695" s="4" t="s">
        <v>15</v>
      </c>
      <c r="E695" s="4" t="s">
        <v>16</v>
      </c>
      <c r="F695" s="4" t="s">
        <v>14</v>
      </c>
      <c r="G695" s="5" t="s">
        <v>16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</row>
    <row r="705" spans="1:7" x14ac:dyDescent="0.25">
      <c r="A705" s="11"/>
      <c r="B705" s="4" t="s">
        <v>745</v>
      </c>
      <c r="C705" s="4" t="s">
        <v>14</v>
      </c>
      <c r="D705" s="4" t="s">
        <v>15</v>
      </c>
      <c r="E705" s="4" t="s">
        <v>16</v>
      </c>
      <c r="F705" s="4" t="s">
        <v>14</v>
      </c>
      <c r="G705" s="5" t="s">
        <v>16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">
        <v>11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</row>
    <row r="734" spans="1:7" x14ac:dyDescent="0.25">
      <c r="A734" s="11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</row>
    <row r="738" spans="1:7" x14ac:dyDescent="0.25">
      <c r="A738" s="11"/>
      <c r="B738" s="4" t="s">
        <v>779</v>
      </c>
      <c r="C738" s="4" t="s">
        <v>14</v>
      </c>
      <c r="D738" s="4" t="s">
        <v>15</v>
      </c>
      <c r="E738" s="4" t="s">
        <v>16</v>
      </c>
      <c r="F738" s="4" t="s">
        <v>14</v>
      </c>
      <c r="G738" s="5" t="s">
        <v>16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</row>
    <row r="741" spans="1:7" x14ac:dyDescent="0.25">
      <c r="A741" s="11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">
        <v>26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</row>
    <row r="746" spans="1:7" x14ac:dyDescent="0.25">
      <c r="A746" s="11"/>
      <c r="B746" s="4" t="s">
        <v>787</v>
      </c>
      <c r="C746" s="4" t="s">
        <v>35</v>
      </c>
      <c r="D746" s="4" t="s">
        <v>35</v>
      </c>
      <c r="E746" s="4" t="s">
        <v>57</v>
      </c>
      <c r="F746" s="4" t="s">
        <v>100</v>
      </c>
      <c r="G746" s="5" t="s">
        <v>57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</row>
    <row r="749" spans="1:7" x14ac:dyDescent="0.25">
      <c r="A749" s="11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">
        <v>36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</row>
    <row r="754" spans="1:7" x14ac:dyDescent="0.25">
      <c r="A754" s="11"/>
      <c r="B754" s="4" t="s">
        <v>795</v>
      </c>
      <c r="C754" s="4" t="s">
        <v>14</v>
      </c>
      <c r="D754" s="4" t="s">
        <v>15</v>
      </c>
      <c r="E754" s="4" t="s">
        <v>98</v>
      </c>
      <c r="F754" s="4" t="s">
        <v>14</v>
      </c>
      <c r="G754" s="5" t="s">
        <v>98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</row>
    <row r="758" spans="1:7" x14ac:dyDescent="0.25">
      <c r="A758" s="11"/>
      <c r="B758" s="4" t="s">
        <v>799</v>
      </c>
      <c r="C758" s="4" t="s">
        <v>14</v>
      </c>
      <c r="D758" s="4" t="s">
        <v>15</v>
      </c>
      <c r="E758" s="4" t="s">
        <v>16</v>
      </c>
      <c r="F758" s="4" t="s">
        <v>14</v>
      </c>
      <c r="G758" s="5" t="s">
        <v>16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26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</row>
    <row r="771" spans="1:7" x14ac:dyDescent="0.25">
      <c r="A771" s="11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</row>
    <row r="775" spans="1:7" x14ac:dyDescent="0.25">
      <c r="A775" s="11"/>
      <c r="B775" s="4" t="s">
        <v>816</v>
      </c>
      <c r="C775" s="4" t="s">
        <v>14</v>
      </c>
      <c r="D775" s="4" t="s">
        <v>15</v>
      </c>
      <c r="E775" s="4" t="s">
        <v>16</v>
      </c>
      <c r="F775" s="4" t="s">
        <v>14</v>
      </c>
      <c r="G775" s="5" t="s">
        <v>16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</row>
    <row r="782" spans="1:7" x14ac:dyDescent="0.25">
      <c r="A782" s="11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">
        <v>308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</row>
    <row r="785" spans="1:7" x14ac:dyDescent="0.25">
      <c r="A785" s="11"/>
      <c r="B785" s="4" t="s">
        <v>827</v>
      </c>
      <c r="C785" s="4" t="s">
        <v>35</v>
      </c>
      <c r="D785" s="4" t="s">
        <v>35</v>
      </c>
      <c r="E785" s="4" t="s">
        <v>686</v>
      </c>
      <c r="F785" s="4" t="s">
        <v>112</v>
      </c>
      <c r="G785" s="5" t="s">
        <v>686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</row>
    <row r="790" spans="1:7" x14ac:dyDescent="0.25">
      <c r="A790" s="11"/>
      <c r="B790" s="4" t="s">
        <v>832</v>
      </c>
      <c r="C790" s="4" t="s">
        <v>24</v>
      </c>
      <c r="D790" s="4" t="s">
        <v>25</v>
      </c>
      <c r="E790" s="4" t="s">
        <v>26</v>
      </c>
      <c r="F790" s="4" t="s">
        <v>21</v>
      </c>
      <c r="G790" s="5" t="s">
        <v>26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">
        <v>20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</row>
    <row r="813" spans="1:7" x14ac:dyDescent="0.25">
      <c r="A813" s="11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">
        <v>11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">
        <v>11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</row>
    <row r="817" spans="1:7" x14ac:dyDescent="0.25">
      <c r="A817" s="11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</row>
    <row r="819" spans="1:7" x14ac:dyDescent="0.25">
      <c r="A819" s="11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">
        <v>11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">
        <v>11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">
        <v>57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">
        <v>11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</row>
    <row r="829" spans="1:7" x14ac:dyDescent="0.25">
      <c r="A829" s="11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">
        <v>57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">
        <v>11</v>
      </c>
    </row>
    <row r="850" spans="1:7" x14ac:dyDescent="0.25">
      <c r="A850" s="11"/>
      <c r="B850" s="4" t="s">
        <v>5564</v>
      </c>
      <c r="C850" s="4" t="s">
        <v>11</v>
      </c>
      <c r="D850" s="4" t="s">
        <v>11</v>
      </c>
      <c r="E850" s="4" t="s">
        <v>11</v>
      </c>
      <c r="F850" s="4" t="s">
        <v>120</v>
      </c>
      <c r="G850" s="5" t="s">
        <v>11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">
        <v>11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">
        <v>11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">
        <v>57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</row>
    <row r="867" spans="1:7" x14ac:dyDescent="0.25">
      <c r="A867" s="11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11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</row>
    <row r="883" spans="1:7" x14ac:dyDescent="0.25">
      <c r="A883" s="11"/>
      <c r="B883" s="4" t="s">
        <v>5566</v>
      </c>
      <c r="C883" s="4" t="s">
        <v>11</v>
      </c>
      <c r="D883" s="4" t="s">
        <v>11</v>
      </c>
      <c r="E883" s="4" t="s">
        <v>11</v>
      </c>
      <c r="F883" s="4" t="s">
        <v>100</v>
      </c>
      <c r="G883" s="5" t="s">
        <v>11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">
        <v>11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</row>
    <row r="931" spans="1:7" x14ac:dyDescent="0.25">
      <c r="A931" s="11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</row>
    <row r="935" spans="1:7" x14ac:dyDescent="0.25">
      <c r="A935" s="11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</row>
    <row r="939" spans="1:7" x14ac:dyDescent="0.25">
      <c r="A939" s="11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</row>
    <row r="960" spans="1:7" x14ac:dyDescent="0.25">
      <c r="A960" s="11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">
        <v>11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">
        <v>11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</row>
    <row r="974" spans="1:7" x14ac:dyDescent="0.25">
      <c r="A974" s="11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">
        <v>57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">
        <v>57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</row>
    <row r="1000" spans="1:7" x14ac:dyDescent="0.25">
      <c r="A1000" s="11"/>
      <c r="B1000" s="4" t="s">
        <v>888</v>
      </c>
      <c r="C1000" s="4" t="s">
        <v>14</v>
      </c>
      <c r="D1000" s="4" t="s">
        <v>15</v>
      </c>
      <c r="E1000" s="4" t="s">
        <v>263</v>
      </c>
      <c r="F1000" s="4" t="s">
        <v>14</v>
      </c>
      <c r="G1000" s="5" t="s">
        <v>263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</row>
    <row r="1003" spans="1:7" x14ac:dyDescent="0.25">
      <c r="A1003" s="11"/>
      <c r="B1003" s="4" t="s">
        <v>891</v>
      </c>
      <c r="C1003" s="4" t="s">
        <v>14</v>
      </c>
      <c r="D1003" s="4" t="s">
        <v>15</v>
      </c>
      <c r="E1003" s="4" t="s">
        <v>16</v>
      </c>
      <c r="F1003" s="4" t="s">
        <v>14</v>
      </c>
      <c r="G1003" s="5" t="s">
        <v>16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">
        <v>20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">
        <v>11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</row>
    <row r="1095" spans="1:7" x14ac:dyDescent="0.25">
      <c r="A1095" s="11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20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">
        <v>20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</row>
    <row r="1157" spans="1:7" x14ac:dyDescent="0.25">
      <c r="A1157" s="11"/>
      <c r="B1157" s="4" t="s">
        <v>1049</v>
      </c>
      <c r="C1157" s="4" t="s">
        <v>14</v>
      </c>
      <c r="D1157" s="4" t="s">
        <v>15</v>
      </c>
      <c r="E1157" s="4" t="s">
        <v>16</v>
      </c>
      <c r="F1157" s="4" t="s">
        <v>14</v>
      </c>
      <c r="G1157" s="5" t="s">
        <v>16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163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</row>
    <row r="1170" spans="1:7" x14ac:dyDescent="0.25">
      <c r="A1170" s="11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">
        <v>20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</row>
    <row r="1208" spans="1:7" x14ac:dyDescent="0.25">
      <c r="A1208" s="11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">
        <v>11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</row>
    <row r="1276" spans="1:7" x14ac:dyDescent="0.25">
      <c r="A1276" s="11"/>
      <c r="B1276" s="4" t="s">
        <v>1170</v>
      </c>
      <c r="C1276" s="4" t="s">
        <v>14</v>
      </c>
      <c r="D1276" s="4" t="s">
        <v>15</v>
      </c>
      <c r="E1276" s="4" t="s">
        <v>16</v>
      </c>
      <c r="F1276" s="4" t="s">
        <v>14</v>
      </c>
      <c r="G1276" s="5" t="s">
        <v>16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">
        <v>11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">
        <v>11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</row>
    <row r="1433" spans="1:7" x14ac:dyDescent="0.25">
      <c r="A1433" s="11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">
        <v>163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">
        <v>11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">
        <v>57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</row>
    <row r="1596" spans="1:7" x14ac:dyDescent="0.25">
      <c r="A1596" s="11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">
        <v>20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</row>
    <row r="1630" spans="1:7" x14ac:dyDescent="0.25">
      <c r="A1630" s="11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">
        <v>20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</row>
    <row r="1690" spans="1:7" x14ac:dyDescent="0.25">
      <c r="A1690" s="11"/>
      <c r="B1690" s="4" t="s">
        <v>1588</v>
      </c>
      <c r="C1690" s="4" t="s">
        <v>14</v>
      </c>
      <c r="D1690" s="4" t="s">
        <v>15</v>
      </c>
      <c r="E1690" s="4" t="s">
        <v>16</v>
      </c>
      <c r="F1690" s="4" t="s">
        <v>14</v>
      </c>
      <c r="G1690" s="5" t="s">
        <v>16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</row>
    <row r="1720" spans="1:7" x14ac:dyDescent="0.25">
      <c r="A1720" s="11"/>
      <c r="B1720" s="4" t="s">
        <v>1618</v>
      </c>
      <c r="C1720" s="4" t="s">
        <v>14</v>
      </c>
      <c r="D1720" s="4" t="s">
        <v>15</v>
      </c>
      <c r="E1720" s="4" t="s">
        <v>16</v>
      </c>
      <c r="F1720" s="4" t="s">
        <v>14</v>
      </c>
      <c r="G1720" s="5" t="s">
        <v>16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</row>
    <row r="1739" spans="1:7" x14ac:dyDescent="0.25">
      <c r="A1739" s="11"/>
      <c r="B1739" s="4" t="s">
        <v>1637</v>
      </c>
      <c r="C1739" s="4" t="s">
        <v>18</v>
      </c>
      <c r="D1739" s="4" t="s">
        <v>19</v>
      </c>
      <c r="E1739" s="4" t="s">
        <v>20</v>
      </c>
      <c r="F1739" s="4" t="s">
        <v>21</v>
      </c>
      <c r="G1739" s="5" t="s">
        <v>20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</row>
    <row r="1862" spans="1:7" x14ac:dyDescent="0.25">
      <c r="A1862" s="11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</row>
    <row r="1897" spans="1:7" x14ac:dyDescent="0.25">
      <c r="A1897" s="11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">
        <v>36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">
        <v>11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20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</row>
    <row r="1942" spans="1:7" x14ac:dyDescent="0.25">
      <c r="A1942" s="11"/>
      <c r="B1942" s="4" t="s">
        <v>1842</v>
      </c>
      <c r="C1942" s="4" t="s">
        <v>35</v>
      </c>
      <c r="D1942" s="4" t="s">
        <v>35</v>
      </c>
      <c r="E1942" s="4" t="s">
        <v>57</v>
      </c>
      <c r="F1942" s="4" t="s">
        <v>1385</v>
      </c>
      <c r="G1942" s="5" t="s">
        <v>57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">
        <v>11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">
        <v>549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</row>
    <row r="1976" spans="1:7" x14ac:dyDescent="0.25">
      <c r="A1976" s="11"/>
      <c r="B1976" s="4" t="s">
        <v>1876</v>
      </c>
      <c r="C1976" s="4" t="s">
        <v>35</v>
      </c>
      <c r="D1976" s="4" t="s">
        <v>35</v>
      </c>
      <c r="E1976" s="4" t="s">
        <v>163</v>
      </c>
      <c r="F1976" s="4" t="s">
        <v>21</v>
      </c>
      <c r="G1976" s="5" t="s">
        <v>163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</row>
    <row r="1981" spans="1:7" x14ac:dyDescent="0.25">
      <c r="A1981" s="11"/>
      <c r="B1981" s="4" t="s">
        <v>1881</v>
      </c>
      <c r="C1981" s="4" t="s">
        <v>11</v>
      </c>
      <c r="D1981" s="4" t="s">
        <v>11</v>
      </c>
      <c r="E1981" s="4" t="s">
        <v>11</v>
      </c>
      <c r="F1981" s="4" t="s">
        <v>137</v>
      </c>
      <c r="G1981" s="5" t="s">
        <v>11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</row>
    <row r="2013" spans="1:7" x14ac:dyDescent="0.25">
      <c r="A2013" s="11"/>
      <c r="B2013" s="4" t="s">
        <v>1914</v>
      </c>
      <c r="C2013" s="4" t="s">
        <v>14</v>
      </c>
      <c r="D2013" s="4" t="s">
        <v>15</v>
      </c>
      <c r="E2013" s="4" t="s">
        <v>16</v>
      </c>
      <c r="F2013" s="4" t="s">
        <v>14</v>
      </c>
      <c r="G2013" s="5" t="s">
        <v>16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">
        <v>26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</row>
    <row r="2049" spans="1:7" x14ac:dyDescent="0.25">
      <c r="A2049" s="11"/>
      <c r="B2049" s="4" t="s">
        <v>1951</v>
      </c>
      <c r="C2049" s="4" t="s">
        <v>14</v>
      </c>
      <c r="D2049" s="4" t="s">
        <v>15</v>
      </c>
      <c r="E2049" s="4" t="s">
        <v>16</v>
      </c>
      <c r="F2049" s="4" t="s">
        <v>14</v>
      </c>
      <c r="G2049" s="5" t="s">
        <v>16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">
        <v>11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16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20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26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163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</row>
    <row r="2150" spans="1:7" x14ac:dyDescent="0.25">
      <c r="A2150" s="11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">
        <v>20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</row>
    <row r="2161" spans="1:7" x14ac:dyDescent="0.25">
      <c r="A2161" s="11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">
        <v>26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11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</row>
    <row r="2169" spans="1:7" x14ac:dyDescent="0.25">
      <c r="A2169" s="11"/>
      <c r="B2169" s="4" t="s">
        <v>2073</v>
      </c>
      <c r="C2169" s="4" t="s">
        <v>18</v>
      </c>
      <c r="D2169" s="4" t="s">
        <v>19</v>
      </c>
      <c r="E2169" s="4" t="s">
        <v>20</v>
      </c>
      <c r="F2169" s="4" t="s">
        <v>21</v>
      </c>
      <c r="G2169" s="5" t="s">
        <v>20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20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</row>
    <row r="2175" spans="1:7" x14ac:dyDescent="0.25">
      <c r="A2175" s="11"/>
      <c r="B2175" s="4" t="s">
        <v>2079</v>
      </c>
      <c r="C2175" s="4" t="s">
        <v>24</v>
      </c>
      <c r="D2175" s="4" t="s">
        <v>25</v>
      </c>
      <c r="E2175" s="4" t="s">
        <v>26</v>
      </c>
      <c r="F2175" s="4" t="s">
        <v>21</v>
      </c>
      <c r="G2175" s="5" t="s">
        <v>26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26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</row>
    <row r="2208" spans="1:7" x14ac:dyDescent="0.25">
      <c r="A2208" s="11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">
        <v>36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</row>
    <row r="2225" spans="1:7" x14ac:dyDescent="0.25">
      <c r="A2225" s="11"/>
      <c r="B2225" s="4" t="s">
        <v>2129</v>
      </c>
      <c r="C2225" s="4" t="s">
        <v>14</v>
      </c>
      <c r="D2225" s="4" t="s">
        <v>15</v>
      </c>
      <c r="E2225" s="4" t="s">
        <v>16</v>
      </c>
      <c r="F2225" s="4" t="s">
        <v>14</v>
      </c>
      <c r="G2225" s="5" t="s">
        <v>16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</row>
    <row r="2237" spans="1:7" x14ac:dyDescent="0.25">
      <c r="A2237" s="11"/>
      <c r="B2237" s="4" t="s">
        <v>2141</v>
      </c>
      <c r="C2237" s="4" t="s">
        <v>14</v>
      </c>
      <c r="D2237" s="4" t="s">
        <v>15</v>
      </c>
      <c r="E2237" s="4" t="s">
        <v>16</v>
      </c>
      <c r="F2237" s="4" t="s">
        <v>14</v>
      </c>
      <c r="G2237" s="5" t="s">
        <v>16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</row>
    <row r="2258" spans="1:7" x14ac:dyDescent="0.25">
      <c r="A2258" s="11"/>
      <c r="B2258" s="4" t="s">
        <v>2163</v>
      </c>
      <c r="C2258" s="4" t="s">
        <v>14</v>
      </c>
      <c r="D2258" s="4" t="s">
        <v>15</v>
      </c>
      <c r="E2258" s="4" t="s">
        <v>16</v>
      </c>
      <c r="F2258" s="4" t="s">
        <v>14</v>
      </c>
      <c r="G2258" s="5" t="s">
        <v>16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</row>
    <row r="2268" spans="1:7" x14ac:dyDescent="0.25">
      <c r="A2268" s="11"/>
      <c r="B2268" s="4" t="s">
        <v>2173</v>
      </c>
      <c r="C2268" s="4" t="s">
        <v>11</v>
      </c>
      <c r="D2268" s="4" t="s">
        <v>11</v>
      </c>
      <c r="E2268" s="4" t="s">
        <v>11</v>
      </c>
      <c r="F2268" s="4" t="s">
        <v>137</v>
      </c>
      <c r="G2268" s="5" t="s">
        <v>11</v>
      </c>
    </row>
    <row r="2269" spans="1:7" x14ac:dyDescent="0.25">
      <c r="A2269" s="11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">
        <v>11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">
        <v>11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</row>
    <row r="2293" spans="1:7" x14ac:dyDescent="0.25">
      <c r="A2293" s="11"/>
      <c r="B2293" s="4" t="s">
        <v>2199</v>
      </c>
      <c r="C2293" s="4" t="s">
        <v>35</v>
      </c>
      <c r="D2293" s="4" t="s">
        <v>35</v>
      </c>
      <c r="E2293" s="4" t="s">
        <v>163</v>
      </c>
      <c r="F2293" s="4" t="s">
        <v>21</v>
      </c>
      <c r="G2293" s="5" t="s">
        <v>163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</row>
    <row r="2300" spans="1:7" x14ac:dyDescent="0.25">
      <c r="A2300" s="11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</row>
    <row r="2302" spans="1:7" x14ac:dyDescent="0.25">
      <c r="A2302" s="11"/>
      <c r="B2302" s="4" t="s">
        <v>2208</v>
      </c>
      <c r="C2302" s="4" t="s">
        <v>35</v>
      </c>
      <c r="D2302" s="4" t="s">
        <v>35</v>
      </c>
      <c r="E2302" s="4" t="s">
        <v>163</v>
      </c>
      <c r="F2302" s="4" t="s">
        <v>21</v>
      </c>
      <c r="G2302" s="5" t="s">
        <v>163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</row>
    <row r="2310" spans="1:7" x14ac:dyDescent="0.25">
      <c r="A2310" s="11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">
        <v>36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</row>
    <row r="2321" spans="1:7" x14ac:dyDescent="0.25">
      <c r="A2321" s="11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">
        <v>57</v>
      </c>
    </row>
    <row r="2322" spans="1:7" x14ac:dyDescent="0.25">
      <c r="A2322" s="11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">
        <v>11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">
        <v>11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</row>
    <row r="2327" spans="1:7" x14ac:dyDescent="0.25">
      <c r="A2327" s="11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</row>
    <row r="2329" spans="1:7" x14ac:dyDescent="0.25">
      <c r="A2329" s="11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">
        <v>11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</row>
    <row r="2337" spans="1:7" x14ac:dyDescent="0.25">
      <c r="A2337" s="11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">
        <v>57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16</v>
      </c>
    </row>
    <row r="2347" spans="1:7" x14ac:dyDescent="0.25">
      <c r="A2347" s="11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</row>
    <row r="2357" spans="1:7" x14ac:dyDescent="0.25">
      <c r="A2357" s="11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">
        <v>11</v>
      </c>
    </row>
    <row r="2358" spans="1:7" x14ac:dyDescent="0.25">
      <c r="A2358" s="11"/>
      <c r="B2358" s="4" t="s">
        <v>2264</v>
      </c>
      <c r="C2358" s="4" t="s">
        <v>14</v>
      </c>
      <c r="D2358" s="4" t="s">
        <v>15</v>
      </c>
      <c r="E2358" s="4" t="s">
        <v>16</v>
      </c>
      <c r="F2358" s="4" t="s">
        <v>14</v>
      </c>
      <c r="G2358" s="5" t="s">
        <v>16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20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">
        <v>57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26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">
        <v>57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">
        <v>57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36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</row>
    <row r="2417" spans="1:7" x14ac:dyDescent="0.25">
      <c r="A2417" s="11"/>
      <c r="B2417" s="4" t="s">
        <v>2325</v>
      </c>
      <c r="C2417" s="4" t="s">
        <v>35</v>
      </c>
      <c r="D2417" s="4" t="s">
        <v>35</v>
      </c>
      <c r="E2417" s="4" t="s">
        <v>163</v>
      </c>
      <c r="F2417" s="4" t="s">
        <v>21</v>
      </c>
      <c r="G2417" s="5" t="s">
        <v>163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</row>
    <row r="2420" spans="1:7" x14ac:dyDescent="0.25">
      <c r="A2420" s="11"/>
      <c r="B2420" s="4" t="s">
        <v>2328</v>
      </c>
      <c r="C2420" s="4" t="s">
        <v>14</v>
      </c>
      <c r="D2420" s="4" t="s">
        <v>15</v>
      </c>
      <c r="E2420" s="4" t="s">
        <v>16</v>
      </c>
      <c r="F2420" s="4" t="s">
        <v>14</v>
      </c>
      <c r="G2420" s="5" t="s">
        <v>16</v>
      </c>
    </row>
    <row r="2421" spans="1:7" x14ac:dyDescent="0.25">
      <c r="A2421" s="11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">
        <v>11</v>
      </c>
    </row>
    <row r="2424" spans="1:7" x14ac:dyDescent="0.25">
      <c r="A2424" s="11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</row>
    <row r="2426" spans="1:7" x14ac:dyDescent="0.25">
      <c r="A2426" s="11"/>
      <c r="B2426" s="4" t="s">
        <v>2334</v>
      </c>
      <c r="C2426" s="4" t="s">
        <v>11</v>
      </c>
      <c r="D2426" s="4" t="s">
        <v>11</v>
      </c>
      <c r="E2426" s="4" t="s">
        <v>11</v>
      </c>
      <c r="F2426" s="4" t="s">
        <v>1270</v>
      </c>
      <c r="G2426" s="5" t="s">
        <v>11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</row>
    <row r="2428" spans="1:7" x14ac:dyDescent="0.25">
      <c r="A2428" s="11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">
        <v>549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">
        <v>11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</row>
    <row r="2445" spans="1:7" x14ac:dyDescent="0.25">
      <c r="A2445" s="11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">
        <v>11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</row>
    <row r="2450" spans="1:7" x14ac:dyDescent="0.25">
      <c r="A2450" s="11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">
        <v>26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">
        <v>36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</row>
    <row r="2486" spans="1:7" x14ac:dyDescent="0.25">
      <c r="A2486" s="11"/>
      <c r="B2486" s="4" t="s">
        <v>2395</v>
      </c>
      <c r="C2486" s="4" t="s">
        <v>14</v>
      </c>
      <c r="D2486" s="4" t="s">
        <v>15</v>
      </c>
      <c r="E2486" s="4" t="s">
        <v>16</v>
      </c>
      <c r="F2486" s="4" t="s">
        <v>14</v>
      </c>
      <c r="G2486" s="5" t="s">
        <v>16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</row>
    <row r="2503" spans="1:7" x14ac:dyDescent="0.25">
      <c r="A2503" s="11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">
        <v>11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</row>
    <row r="2524" spans="1:7" x14ac:dyDescent="0.25">
      <c r="A2524" s="11"/>
      <c r="B2524" s="4" t="s">
        <v>2433</v>
      </c>
      <c r="C2524" s="4" t="s">
        <v>18</v>
      </c>
      <c r="D2524" s="4" t="s">
        <v>19</v>
      </c>
      <c r="E2524" s="4" t="s">
        <v>20</v>
      </c>
      <c r="F2524" s="4" t="s">
        <v>21</v>
      </c>
      <c r="G2524" s="5" t="s">
        <v>163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</row>
    <row r="2528" spans="1:7" x14ac:dyDescent="0.25">
      <c r="A2528" s="11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">
        <v>11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</row>
    <row r="2573" spans="1:7" x14ac:dyDescent="0.25">
      <c r="A2573" s="11"/>
      <c r="B2573" s="4" t="s">
        <v>2483</v>
      </c>
      <c r="C2573" s="4" t="s">
        <v>109</v>
      </c>
      <c r="D2573" s="4" t="s">
        <v>110</v>
      </c>
      <c r="E2573" s="4" t="s">
        <v>111</v>
      </c>
      <c r="F2573" s="4" t="s">
        <v>112</v>
      </c>
      <c r="G2573" s="5" t="s">
        <v>111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</row>
    <row r="2590" spans="1:7" x14ac:dyDescent="0.25">
      <c r="A2590" s="11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">
        <v>20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</row>
    <row r="2615" spans="1:7" x14ac:dyDescent="0.25">
      <c r="A2615" s="11"/>
      <c r="B2615" s="4" t="s">
        <v>2525</v>
      </c>
      <c r="C2615" s="4" t="s">
        <v>549</v>
      </c>
      <c r="D2615" s="4" t="s">
        <v>549</v>
      </c>
      <c r="E2615" s="4" t="s">
        <v>549</v>
      </c>
      <c r="F2615" s="4" t="s">
        <v>1090</v>
      </c>
      <c r="G2615" s="5" t="s">
        <v>549</v>
      </c>
    </row>
    <row r="2616" spans="1:7" x14ac:dyDescent="0.25">
      <c r="A2616" s="11"/>
      <c r="B2616" s="4" t="s">
        <v>2526</v>
      </c>
      <c r="C2616" s="4" t="s">
        <v>14</v>
      </c>
      <c r="D2616" s="4" t="s">
        <v>15</v>
      </c>
      <c r="E2616" s="4" t="s">
        <v>16</v>
      </c>
      <c r="F2616" s="4" t="s">
        <v>14</v>
      </c>
      <c r="G2616" s="5" t="s">
        <v>16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</row>
    <row r="2621" spans="1:7" x14ac:dyDescent="0.25">
      <c r="A2621" s="11"/>
      <c r="B2621" s="4" t="s">
        <v>2531</v>
      </c>
      <c r="C2621" s="4" t="s">
        <v>35</v>
      </c>
      <c r="D2621" s="4" t="s">
        <v>35</v>
      </c>
      <c r="E2621" s="4" t="s">
        <v>57</v>
      </c>
      <c r="F2621" s="4" t="s">
        <v>1822</v>
      </c>
      <c r="G2621" s="5" t="s">
        <v>57</v>
      </c>
    </row>
    <row r="2622" spans="1:7" x14ac:dyDescent="0.25">
      <c r="A2622" s="11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</row>
    <row r="2652" spans="1:7" x14ac:dyDescent="0.25">
      <c r="A2652" s="11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11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57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">
        <v>11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">
        <v>20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">
        <v>111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">
        <v>20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</row>
    <row r="2680" spans="1:7" x14ac:dyDescent="0.25">
      <c r="A2680" s="11"/>
      <c r="B2680" s="4" t="s">
        <v>2590</v>
      </c>
      <c r="C2680" s="4" t="s">
        <v>24</v>
      </c>
      <c r="D2680" s="4" t="s">
        <v>25</v>
      </c>
      <c r="E2680" s="4" t="s">
        <v>26</v>
      </c>
      <c r="F2680" s="4" t="s">
        <v>21</v>
      </c>
      <c r="G2680" s="5" t="s">
        <v>36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</row>
    <row r="2690" spans="1:7" x14ac:dyDescent="0.25">
      <c r="A2690" s="11"/>
      <c r="B2690" s="4" t="s">
        <v>2600</v>
      </c>
      <c r="C2690" s="4" t="s">
        <v>11</v>
      </c>
      <c r="D2690" s="4" t="s">
        <v>11</v>
      </c>
      <c r="E2690" s="4" t="s">
        <v>11</v>
      </c>
      <c r="F2690" s="4" t="s">
        <v>2049</v>
      </c>
      <c r="G2690" s="5" t="s">
        <v>11</v>
      </c>
    </row>
    <row r="2691" spans="1:7" x14ac:dyDescent="0.25">
      <c r="A2691" s="11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11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">
        <v>163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</row>
    <row r="2708" spans="1:7" x14ac:dyDescent="0.25">
      <c r="A2708" s="11"/>
      <c r="B2708" s="4" t="s">
        <v>2618</v>
      </c>
      <c r="C2708" s="4" t="s">
        <v>35</v>
      </c>
      <c r="D2708" s="4" t="s">
        <v>35</v>
      </c>
      <c r="E2708" s="4" t="s">
        <v>36</v>
      </c>
      <c r="F2708" s="4" t="s">
        <v>21</v>
      </c>
      <c r="G2708" s="5" t="s">
        <v>36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">
        <v>75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</row>
    <row r="2718" spans="1:7" x14ac:dyDescent="0.25">
      <c r="A2718" s="11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</row>
    <row r="2738" spans="1:7" x14ac:dyDescent="0.25">
      <c r="A2738" s="11"/>
      <c r="B2738" s="4" t="s">
        <v>2648</v>
      </c>
      <c r="C2738" s="4" t="s">
        <v>14</v>
      </c>
      <c r="D2738" s="4" t="s">
        <v>15</v>
      </c>
      <c r="E2738" s="4" t="s">
        <v>16</v>
      </c>
      <c r="F2738" s="4" t="s">
        <v>14</v>
      </c>
      <c r="G2738" s="5" t="s">
        <v>16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</row>
    <row r="2745" spans="1:7" x14ac:dyDescent="0.25">
      <c r="A2745" s="11"/>
      <c r="B2745" s="4" t="s">
        <v>2655</v>
      </c>
      <c r="C2745" s="4" t="s">
        <v>35</v>
      </c>
      <c r="D2745" s="4" t="s">
        <v>35</v>
      </c>
      <c r="E2745" s="4" t="s">
        <v>57</v>
      </c>
      <c r="F2745" s="4" t="s">
        <v>1931</v>
      </c>
      <c r="G2745" s="5" t="s">
        <v>57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</row>
    <row r="2750" spans="1:7" x14ac:dyDescent="0.25">
      <c r="A2750" s="11"/>
      <c r="B2750" s="4" t="s">
        <v>2660</v>
      </c>
      <c r="C2750" s="4" t="s">
        <v>35</v>
      </c>
      <c r="D2750" s="4" t="s">
        <v>35</v>
      </c>
      <c r="E2750" s="4" t="s">
        <v>36</v>
      </c>
      <c r="F2750" s="4" t="s">
        <v>21</v>
      </c>
      <c r="G2750" s="5" t="s">
        <v>26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">
        <v>11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">
        <v>11</v>
      </c>
    </row>
    <row r="2764" spans="1:7" x14ac:dyDescent="0.25">
      <c r="A2764" s="11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26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">
        <v>36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</row>
    <row r="2775" spans="1:7" x14ac:dyDescent="0.25">
      <c r="A2775" s="11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163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</row>
    <row r="2793" spans="1:7" x14ac:dyDescent="0.25">
      <c r="A2793" s="11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">
        <v>11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20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</row>
    <row r="2796" spans="1:7" x14ac:dyDescent="0.25">
      <c r="A2796" s="11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">
        <v>11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</row>
    <row r="2807" spans="1:7" x14ac:dyDescent="0.25">
      <c r="A2807" s="11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11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">
        <v>11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</row>
    <row r="2825" spans="1:7" x14ac:dyDescent="0.25">
      <c r="A2825" s="11"/>
      <c r="B2825" s="4" t="s">
        <v>2736</v>
      </c>
      <c r="C2825" s="4" t="s">
        <v>11</v>
      </c>
      <c r="D2825" s="4" t="s">
        <v>11</v>
      </c>
      <c r="E2825" s="4" t="s">
        <v>11</v>
      </c>
      <c r="F2825" s="4" t="s">
        <v>1822</v>
      </c>
      <c r="G2825" s="5" t="s">
        <v>11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</row>
    <row r="2839" spans="1:7" x14ac:dyDescent="0.25">
      <c r="A2839" s="11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</row>
    <row r="2842" spans="1:7" x14ac:dyDescent="0.25">
      <c r="A2842" s="11"/>
      <c r="B2842" s="4" t="s">
        <v>2753</v>
      </c>
      <c r="C2842" s="4" t="s">
        <v>11</v>
      </c>
      <c r="D2842" s="4" t="s">
        <v>11</v>
      </c>
      <c r="E2842" s="4" t="s">
        <v>11</v>
      </c>
      <c r="F2842" s="4" t="s">
        <v>973</v>
      </c>
      <c r="G2842" s="5" t="s">
        <v>11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">
        <v>11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">
        <v>11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">
        <v>11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11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</row>
    <row r="2876" spans="1:7" x14ac:dyDescent="0.25">
      <c r="A2876" s="11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">
        <v>11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</row>
    <row r="2883" spans="1:7" x14ac:dyDescent="0.25">
      <c r="A2883" s="11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</row>
    <row r="2889" spans="1:7" x14ac:dyDescent="0.25">
      <c r="A2889" s="11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">
        <v>11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">
        <v>11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</row>
    <row r="2894" spans="1:7" x14ac:dyDescent="0.25">
      <c r="A2894" s="11"/>
      <c r="B2894" s="4" t="s">
        <v>2805</v>
      </c>
      <c r="C2894" s="4" t="s">
        <v>11</v>
      </c>
      <c r="D2894" s="4" t="s">
        <v>11</v>
      </c>
      <c r="E2894" s="4" t="s">
        <v>11</v>
      </c>
      <c r="F2894" s="4" t="s">
        <v>1270</v>
      </c>
      <c r="G2894" s="5" t="s">
        <v>11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">
        <v>26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</row>
    <row r="2918" spans="1:7" x14ac:dyDescent="0.25">
      <c r="A2918" s="11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">
        <v>11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</row>
    <row r="2932" spans="1:7" x14ac:dyDescent="0.25">
      <c r="A2932" s="11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">
        <v>20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</row>
    <row r="2936" spans="1:7" x14ac:dyDescent="0.25">
      <c r="A2936" s="11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</row>
    <row r="2942" spans="1:7" x14ac:dyDescent="0.25">
      <c r="A2942" s="11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</row>
    <row r="2945" spans="1:7" x14ac:dyDescent="0.25">
      <c r="A2945" s="11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">
        <v>20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">
        <v>57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">
        <v>549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</row>
    <row r="2978" spans="1:7" x14ac:dyDescent="0.25">
      <c r="A2978" s="11"/>
      <c r="B2978" s="4" t="s">
        <v>2890</v>
      </c>
      <c r="C2978" s="4" t="s">
        <v>14</v>
      </c>
      <c r="D2978" s="4" t="s">
        <v>15</v>
      </c>
      <c r="E2978" s="4" t="s">
        <v>16</v>
      </c>
      <c r="F2978" s="4" t="s">
        <v>14</v>
      </c>
      <c r="G2978" s="5" t="s">
        <v>16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">
        <v>57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">
        <v>11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16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">
        <v>11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</row>
    <row r="2993" spans="1:7" x14ac:dyDescent="0.25">
      <c r="A2993" s="11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">
        <v>20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</row>
    <row r="2998" spans="1:7" x14ac:dyDescent="0.25">
      <c r="A2998" s="11"/>
      <c r="B2998" s="4" t="s">
        <v>2910</v>
      </c>
      <c r="C2998" s="4" t="s">
        <v>35</v>
      </c>
      <c r="D2998" s="4" t="s">
        <v>35</v>
      </c>
      <c r="E2998" s="4" t="s">
        <v>5631</v>
      </c>
      <c r="F2998" s="4" t="s">
        <v>1090</v>
      </c>
      <c r="G2998" s="5" t="s">
        <v>5631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">
        <v>11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">
        <v>11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</row>
    <row r="3013" spans="1:7" x14ac:dyDescent="0.25">
      <c r="A3013" s="11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">
        <v>11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</row>
    <row r="3024" spans="1:7" x14ac:dyDescent="0.25">
      <c r="A3024" s="11"/>
      <c r="B3024" s="4" t="s">
        <v>2936</v>
      </c>
      <c r="C3024" s="4" t="s">
        <v>35</v>
      </c>
      <c r="D3024" s="4" t="s">
        <v>35</v>
      </c>
      <c r="E3024" s="4" t="s">
        <v>163</v>
      </c>
      <c r="F3024" s="4" t="s">
        <v>21</v>
      </c>
      <c r="G3024" s="5" t="s">
        <v>163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</row>
    <row r="3031" spans="1:7" x14ac:dyDescent="0.25">
      <c r="A3031" s="11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</row>
    <row r="3033" spans="1:7" x14ac:dyDescent="0.25">
      <c r="A3033" s="11"/>
      <c r="B3033" s="4" t="s">
        <v>2945</v>
      </c>
      <c r="C3033" s="4" t="s">
        <v>11</v>
      </c>
      <c r="D3033" s="4" t="s">
        <v>11</v>
      </c>
      <c r="E3033" s="4" t="s">
        <v>11</v>
      </c>
      <c r="F3033" s="4" t="s">
        <v>1822</v>
      </c>
      <c r="G3033" s="5" t="s">
        <v>11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">
        <v>20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">
        <v>11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</row>
    <row r="3041" spans="1:7" x14ac:dyDescent="0.25">
      <c r="A3041" s="11"/>
      <c r="B3041" s="4" t="s">
        <v>2953</v>
      </c>
      <c r="C3041" s="4" t="s">
        <v>35</v>
      </c>
      <c r="D3041" s="4" t="s">
        <v>35</v>
      </c>
      <c r="E3041" s="4" t="s">
        <v>163</v>
      </c>
      <c r="F3041" s="4" t="s">
        <v>21</v>
      </c>
      <c r="G3041" s="5" t="s">
        <v>163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</row>
    <row r="3044" spans="1:7" x14ac:dyDescent="0.25">
      <c r="A3044" s="11"/>
      <c r="B3044" s="4" t="s">
        <v>2956</v>
      </c>
      <c r="C3044" s="4" t="s">
        <v>14</v>
      </c>
      <c r="D3044" s="4" t="s">
        <v>15</v>
      </c>
      <c r="E3044" s="4" t="s">
        <v>16</v>
      </c>
      <c r="F3044" s="4" t="s">
        <v>14</v>
      </c>
      <c r="G3044" s="5" t="s">
        <v>16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</row>
    <row r="3048" spans="1:7" x14ac:dyDescent="0.25">
      <c r="A3048" s="11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11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</row>
    <row r="3061" spans="1:7" x14ac:dyDescent="0.25">
      <c r="A3061" s="11"/>
      <c r="B3061" s="4" t="s">
        <v>2973</v>
      </c>
      <c r="C3061" s="4" t="s">
        <v>35</v>
      </c>
      <c r="D3061" s="4" t="s">
        <v>35</v>
      </c>
      <c r="E3061" s="4" t="s">
        <v>57</v>
      </c>
      <c r="F3061" s="4" t="s">
        <v>1931</v>
      </c>
      <c r="G3061" s="5" t="s">
        <v>11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</row>
    <row r="3070" spans="1:7" x14ac:dyDescent="0.25">
      <c r="A3070" s="11"/>
      <c r="B3070" s="4" t="s">
        <v>2982</v>
      </c>
      <c r="C3070" s="4" t="s">
        <v>11</v>
      </c>
      <c r="D3070" s="4" t="s">
        <v>11</v>
      </c>
      <c r="E3070" s="4" t="s">
        <v>11</v>
      </c>
      <c r="F3070" s="4" t="s">
        <v>2049</v>
      </c>
      <c r="G3070" s="5" t="s">
        <v>11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</row>
    <row r="3077" spans="1:7" x14ac:dyDescent="0.25">
      <c r="A3077" s="11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">
        <v>20</v>
      </c>
    </row>
    <row r="3078" spans="1:7" x14ac:dyDescent="0.25">
      <c r="A3078" s="11"/>
      <c r="B3078" s="4" t="s">
        <v>2990</v>
      </c>
      <c r="C3078" s="4" t="s">
        <v>35</v>
      </c>
      <c r="D3078" s="4" t="s">
        <v>35</v>
      </c>
      <c r="E3078" s="4" t="s">
        <v>163</v>
      </c>
      <c r="F3078" s="4" t="s">
        <v>21</v>
      </c>
      <c r="G3078" s="5" t="s">
        <v>163</v>
      </c>
    </row>
    <row r="3079" spans="1:7" x14ac:dyDescent="0.25">
      <c r="A3079" s="11"/>
      <c r="B3079" s="4" t="s">
        <v>2991</v>
      </c>
      <c r="C3079" s="4" t="s">
        <v>35</v>
      </c>
      <c r="D3079" s="4" t="s">
        <v>35</v>
      </c>
      <c r="E3079" s="4" t="s">
        <v>36</v>
      </c>
      <c r="F3079" s="4" t="s">
        <v>21</v>
      </c>
      <c r="G3079" s="5" t="s">
        <v>36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">
        <v>20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">
        <v>36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</row>
    <row r="3092" spans="1:7" x14ac:dyDescent="0.25">
      <c r="A3092" s="11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</row>
    <row r="3100" spans="1:7" x14ac:dyDescent="0.25">
      <c r="A3100" s="11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">
        <v>11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</row>
    <row r="3116" spans="1:7" x14ac:dyDescent="0.25">
      <c r="A3116" s="11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">
        <v>11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">
        <v>11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</row>
    <row r="3124" spans="1:7" x14ac:dyDescent="0.25">
      <c r="A3124" s="11"/>
      <c r="B3124" s="4" t="s">
        <v>3036</v>
      </c>
      <c r="C3124" s="4" t="s">
        <v>35</v>
      </c>
      <c r="D3124" s="4" t="s">
        <v>35</v>
      </c>
      <c r="E3124" s="4" t="s">
        <v>2266</v>
      </c>
      <c r="F3124" s="4" t="s">
        <v>1090</v>
      </c>
      <c r="G3124" s="5" t="s">
        <v>2266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</row>
    <row r="3129" spans="1:7" x14ac:dyDescent="0.25">
      <c r="A3129" s="11"/>
      <c r="B3129" s="4" t="s">
        <v>3041</v>
      </c>
      <c r="C3129" s="4" t="s">
        <v>14</v>
      </c>
      <c r="D3129" s="4" t="s">
        <v>15</v>
      </c>
      <c r="E3129" s="4" t="s">
        <v>16</v>
      </c>
      <c r="F3129" s="4" t="s">
        <v>14</v>
      </c>
      <c r="G3129" s="5" t="s">
        <v>16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</row>
    <row r="3132" spans="1:7" x14ac:dyDescent="0.25">
      <c r="A3132" s="11"/>
      <c r="B3132" s="4" t="s">
        <v>3044</v>
      </c>
      <c r="C3132" s="4" t="s">
        <v>35</v>
      </c>
      <c r="D3132" s="4" t="s">
        <v>35</v>
      </c>
      <c r="E3132" s="4" t="s">
        <v>57</v>
      </c>
      <c r="F3132" s="4" t="s">
        <v>1931</v>
      </c>
      <c r="G3132" s="5" t="s">
        <v>57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">
        <v>11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</row>
    <row r="3145" spans="1:7" x14ac:dyDescent="0.25">
      <c r="A3145" s="11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">
        <v>11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">
        <v>57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</row>
    <row r="3164" spans="1:7" x14ac:dyDescent="0.25">
      <c r="A3164" s="11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">
        <v>11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</row>
    <row r="3169" spans="1:7" x14ac:dyDescent="0.25">
      <c r="A3169" s="11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">
        <v>11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</row>
    <row r="3177" spans="1:7" x14ac:dyDescent="0.25">
      <c r="A3177" s="11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">
        <v>36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">
        <v>57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57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</row>
    <row r="3189" spans="1:7" x14ac:dyDescent="0.25">
      <c r="A3189" s="11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163</v>
      </c>
    </row>
    <row r="3194" spans="1:7" x14ac:dyDescent="0.25">
      <c r="A3194" s="11"/>
      <c r="B3194" s="4" t="s">
        <v>3106</v>
      </c>
      <c r="C3194" s="4" t="s">
        <v>35</v>
      </c>
      <c r="D3194" s="4" t="s">
        <v>35</v>
      </c>
      <c r="E3194" s="4" t="s">
        <v>163</v>
      </c>
      <c r="F3194" s="4" t="s">
        <v>21</v>
      </c>
      <c r="G3194" s="5" t="s">
        <v>163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">
        <v>57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</row>
    <row r="3212" spans="1:7" x14ac:dyDescent="0.25">
      <c r="A3212" s="11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">
        <v>11</v>
      </c>
    </row>
    <row r="3213" spans="1:7" x14ac:dyDescent="0.25">
      <c r="A3213" s="11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">
        <v>170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">
        <v>26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">
        <v>26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</row>
    <row r="3229" spans="1:7" x14ac:dyDescent="0.25">
      <c r="A3229" s="11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">
        <v>57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</row>
    <row r="3246" spans="1:7" x14ac:dyDescent="0.25">
      <c r="A3246" s="11"/>
      <c r="B3246" s="4" t="s">
        <v>3158</v>
      </c>
      <c r="C3246" s="4" t="s">
        <v>35</v>
      </c>
      <c r="D3246" s="4" t="s">
        <v>35</v>
      </c>
      <c r="E3246" s="4" t="s">
        <v>686</v>
      </c>
      <c r="F3246" s="4" t="s">
        <v>112</v>
      </c>
      <c r="G3246" s="5" t="s">
        <v>686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</row>
    <row r="3256" spans="1:7" x14ac:dyDescent="0.25">
      <c r="A3256" s="11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</row>
    <row r="3268" spans="1:7" x14ac:dyDescent="0.25">
      <c r="A3268" s="11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">
        <v>36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</row>
    <row r="3286" spans="1:7" x14ac:dyDescent="0.25">
      <c r="A3286" s="11"/>
      <c r="B3286" s="4" t="s">
        <v>3198</v>
      </c>
      <c r="C3286" s="4" t="s">
        <v>35</v>
      </c>
      <c r="D3286" s="4" t="s">
        <v>35</v>
      </c>
      <c r="E3286" s="4" t="s">
        <v>57</v>
      </c>
      <c r="F3286" s="4" t="s">
        <v>2718</v>
      </c>
      <c r="G3286" s="5" t="s">
        <v>57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">
        <v>11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57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">
        <v>11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36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">
        <v>20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</row>
    <row r="3325" spans="1:7" x14ac:dyDescent="0.25">
      <c r="A3325" s="11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">
        <v>57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">
        <v>57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">
        <v>11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</row>
    <row r="3360" spans="1:7" x14ac:dyDescent="0.25">
      <c r="A3360" s="11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</row>
    <row r="3362" spans="1:7" x14ac:dyDescent="0.25">
      <c r="A3362" s="11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</row>
    <row r="3368" spans="1:7" x14ac:dyDescent="0.25">
      <c r="A3368" s="11"/>
      <c r="B3368" s="4" t="s">
        <v>3280</v>
      </c>
      <c r="C3368" s="4" t="s">
        <v>35</v>
      </c>
      <c r="D3368" s="4" t="s">
        <v>35</v>
      </c>
      <c r="E3368" s="4" t="s">
        <v>57</v>
      </c>
      <c r="F3368" s="4" t="s">
        <v>956</v>
      </c>
      <c r="G3368" s="5" t="s">
        <v>57</v>
      </c>
    </row>
    <row r="3369" spans="1:7" x14ac:dyDescent="0.25">
      <c r="A3369" s="11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</row>
    <row r="3370" spans="1:7" x14ac:dyDescent="0.25">
      <c r="A3370" s="11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20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20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</row>
    <row r="3383" spans="1:7" x14ac:dyDescent="0.25">
      <c r="A3383" s="11"/>
      <c r="B3383" s="4" t="s">
        <v>3295</v>
      </c>
      <c r="C3383" s="4" t="s">
        <v>14</v>
      </c>
      <c r="D3383" s="4" t="s">
        <v>15</v>
      </c>
      <c r="E3383" s="4" t="s">
        <v>16</v>
      </c>
      <c r="F3383" s="4" t="s">
        <v>14</v>
      </c>
      <c r="G3383" s="5" t="s">
        <v>16</v>
      </c>
    </row>
    <row r="3384" spans="1:7" x14ac:dyDescent="0.25">
      <c r="A3384" s="11"/>
      <c r="B3384" s="4" t="s">
        <v>3296</v>
      </c>
      <c r="C3384" s="4" t="s">
        <v>35</v>
      </c>
      <c r="D3384" s="4" t="s">
        <v>35</v>
      </c>
      <c r="E3384" s="4" t="s">
        <v>57</v>
      </c>
      <c r="F3384" s="4" t="s">
        <v>973</v>
      </c>
      <c r="G3384" s="5" t="s">
        <v>57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2266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">
        <v>75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</row>
    <row r="3396" spans="1:7" x14ac:dyDescent="0.25">
      <c r="A3396" s="11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11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</row>
    <row r="3406" spans="1:7" x14ac:dyDescent="0.25">
      <c r="A3406" s="11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">
        <v>11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">
        <v>11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">
        <v>11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</row>
    <row r="3433" spans="1:7" x14ac:dyDescent="0.25">
      <c r="A3433" s="11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</row>
    <row r="3436" spans="1:7" x14ac:dyDescent="0.25">
      <c r="A3436" s="11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</row>
    <row r="3444" spans="1:7" x14ac:dyDescent="0.25">
      <c r="A3444" s="11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</row>
    <row r="3466" spans="1:7" x14ac:dyDescent="0.25">
      <c r="A3466" s="11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</row>
    <row r="3471" spans="1:7" x14ac:dyDescent="0.25">
      <c r="A3471" s="11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</row>
    <row r="3474" spans="1:7" x14ac:dyDescent="0.25">
      <c r="A3474" s="11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">
        <v>11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</row>
    <row r="3479" spans="1:7" x14ac:dyDescent="0.25">
      <c r="A3479" s="11"/>
      <c r="B3479" s="4" t="s">
        <v>3391</v>
      </c>
      <c r="C3479" s="4" t="s">
        <v>18</v>
      </c>
      <c r="D3479" s="4" t="s">
        <v>19</v>
      </c>
      <c r="E3479" s="4" t="s">
        <v>20</v>
      </c>
      <c r="F3479" s="4" t="s">
        <v>21</v>
      </c>
      <c r="G3479" s="5" t="s">
        <v>163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">
        <v>549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163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20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</row>
    <row r="3532" spans="1:7" x14ac:dyDescent="0.25">
      <c r="A3532" s="11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">
        <v>11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</row>
    <row r="3538" spans="1:7" x14ac:dyDescent="0.25">
      <c r="A3538" s="11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20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</row>
    <row r="3547" spans="1:7" x14ac:dyDescent="0.25">
      <c r="A3547" s="11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">
        <v>36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</row>
    <row r="3553" spans="1:7" x14ac:dyDescent="0.25">
      <c r="A3553" s="11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</row>
    <row r="3564" spans="1:7" x14ac:dyDescent="0.25">
      <c r="A3564" s="11"/>
      <c r="B3564" s="4" t="s">
        <v>3476</v>
      </c>
      <c r="C3564" s="4" t="s">
        <v>11</v>
      </c>
      <c r="D3564" s="4" t="s">
        <v>11</v>
      </c>
      <c r="E3564" s="4" t="s">
        <v>11</v>
      </c>
      <c r="F3564" s="4" t="s">
        <v>1270</v>
      </c>
      <c r="G3564" s="5" t="s">
        <v>11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">
        <v>11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">
        <v>11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</row>
    <row r="3597" spans="1:7" x14ac:dyDescent="0.25">
      <c r="A3597" s="11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">
        <v>11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</row>
    <row r="3624" spans="1:7" x14ac:dyDescent="0.25">
      <c r="A3624" s="11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</row>
    <row r="3627" spans="1:7" x14ac:dyDescent="0.25">
      <c r="A3627" s="11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</row>
    <row r="3634" spans="1:7" x14ac:dyDescent="0.25">
      <c r="A3634" s="11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">
        <v>11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</row>
    <row r="3644" spans="1:7" x14ac:dyDescent="0.25">
      <c r="A3644" s="11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">
        <v>11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</row>
    <row r="3654" spans="1:7" x14ac:dyDescent="0.25">
      <c r="A3654" s="11"/>
      <c r="B3654" s="4" t="s">
        <v>3566</v>
      </c>
      <c r="C3654" s="4" t="s">
        <v>11</v>
      </c>
      <c r="D3654" s="4" t="s">
        <v>11</v>
      </c>
      <c r="E3654" s="4" t="s">
        <v>11</v>
      </c>
      <c r="F3654" s="4" t="s">
        <v>1010</v>
      </c>
      <c r="G3654" s="5" t="s">
        <v>11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">
        <v>57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">
        <v>11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</row>
    <row r="3685" spans="1:7" x14ac:dyDescent="0.25">
      <c r="A3685" s="11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</row>
    <row r="3690" spans="1:7" x14ac:dyDescent="0.25">
      <c r="A3690" s="11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</row>
    <row r="3697" spans="1:7" x14ac:dyDescent="0.25">
      <c r="A3697" s="11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">
        <v>11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</row>
    <row r="3701" spans="1:7" x14ac:dyDescent="0.25">
      <c r="A3701" s="11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</row>
    <row r="3703" spans="1:7" x14ac:dyDescent="0.25">
      <c r="A3703" s="11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</row>
    <row r="3704" spans="1:7" x14ac:dyDescent="0.25">
      <c r="A3704" s="11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">
        <v>20</v>
      </c>
    </row>
    <row r="3705" spans="1:7" x14ac:dyDescent="0.25">
      <c r="A3705" s="11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">
        <v>57</v>
      </c>
    </row>
    <row r="3706" spans="1:7" x14ac:dyDescent="0.25">
      <c r="A3706" s="11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11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</row>
    <row r="3716" spans="1:7" x14ac:dyDescent="0.25">
      <c r="A3716" s="11"/>
      <c r="B3716" s="4" t="s">
        <v>3628</v>
      </c>
      <c r="C3716" s="4" t="s">
        <v>11</v>
      </c>
      <c r="D3716" s="4" t="s">
        <v>11</v>
      </c>
      <c r="E3716" s="4" t="s">
        <v>11</v>
      </c>
      <c r="F3716" s="4" t="s">
        <v>137</v>
      </c>
      <c r="G3716" s="5" t="s">
        <v>11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111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</row>
    <row r="3724" spans="1:7" x14ac:dyDescent="0.25">
      <c r="A3724" s="11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">
        <v>11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</row>
    <row r="3735" spans="1:7" x14ac:dyDescent="0.25">
      <c r="A3735" s="11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</row>
    <row r="3737" spans="1:7" x14ac:dyDescent="0.25">
      <c r="A3737" s="11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">
        <v>57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">
        <v>57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">
        <v>11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">
        <v>57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">
        <v>11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">
        <v>11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</row>
    <row r="3789" spans="1:7" x14ac:dyDescent="0.25">
      <c r="A3789" s="11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</row>
    <row r="3794" spans="1:7" x14ac:dyDescent="0.25">
      <c r="A3794" s="11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">
        <v>11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</row>
    <row r="3805" spans="1:7" x14ac:dyDescent="0.25">
      <c r="A3805" s="11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</row>
    <row r="3807" spans="1:7" x14ac:dyDescent="0.25">
      <c r="A3807" s="11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</row>
    <row r="3809" spans="1:7" x14ac:dyDescent="0.25">
      <c r="A3809" s="11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">
        <v>11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</row>
    <row r="3820" spans="1:7" x14ac:dyDescent="0.25">
      <c r="A3820" s="11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">
        <v>57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</row>
    <row r="3828" spans="1:7" x14ac:dyDescent="0.25">
      <c r="A3828" s="11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">
        <v>11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</row>
    <row r="3835" spans="1:7" x14ac:dyDescent="0.25">
      <c r="A3835" s="11"/>
      <c r="B3835" s="4" t="s">
        <v>3747</v>
      </c>
      <c r="C3835" s="4" t="s">
        <v>109</v>
      </c>
      <c r="D3835" s="4" t="s">
        <v>110</v>
      </c>
      <c r="E3835" s="4" t="s">
        <v>111</v>
      </c>
      <c r="F3835" s="4" t="s">
        <v>112</v>
      </c>
      <c r="G3835" s="5" t="s">
        <v>111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">
        <v>57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">
        <v>11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</row>
    <row r="3842" spans="1:7" x14ac:dyDescent="0.25">
      <c r="A3842" s="11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">
        <v>57</v>
      </c>
    </row>
    <row r="3843" spans="1:7" x14ac:dyDescent="0.25">
      <c r="A3843" s="11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</row>
    <row r="3844" spans="1:7" x14ac:dyDescent="0.25">
      <c r="A3844" s="11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</row>
    <row r="3845" spans="1:7" x14ac:dyDescent="0.25">
      <c r="A3845" s="11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">
        <v>11</v>
      </c>
    </row>
    <row r="3846" spans="1:7" x14ac:dyDescent="0.25">
      <c r="A3846" s="11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</row>
    <row r="3847" spans="1:7" x14ac:dyDescent="0.25">
      <c r="A3847" s="11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</row>
    <row r="3848" spans="1:7" x14ac:dyDescent="0.25">
      <c r="A3848" s="11"/>
      <c r="B3848" s="4" t="s">
        <v>3760</v>
      </c>
      <c r="C3848" s="4" t="s">
        <v>11</v>
      </c>
      <c r="D3848" s="4" t="s">
        <v>11</v>
      </c>
      <c r="E3848" s="4" t="s">
        <v>11</v>
      </c>
      <c r="F3848" s="4" t="s">
        <v>1187</v>
      </c>
      <c r="G3848" s="5" t="s">
        <v>11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">
        <v>11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</row>
    <row r="3852" spans="1:7" x14ac:dyDescent="0.25">
      <c r="A3852" s="11"/>
      <c r="B3852" s="4" t="s">
        <v>3764</v>
      </c>
      <c r="C3852" s="4" t="s">
        <v>11</v>
      </c>
      <c r="D3852" s="4" t="s">
        <v>11</v>
      </c>
      <c r="E3852" s="4" t="s">
        <v>11</v>
      </c>
      <c r="F3852" s="4" t="s">
        <v>1036</v>
      </c>
      <c r="G3852" s="5" t="s">
        <v>11</v>
      </c>
    </row>
    <row r="3853" spans="1:7" x14ac:dyDescent="0.25">
      <c r="A3853" s="11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</row>
    <row r="3859" spans="1:7" x14ac:dyDescent="0.25">
      <c r="A3859" s="11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</row>
    <row r="3861" spans="1:7" x14ac:dyDescent="0.25">
      <c r="A3861" s="11"/>
      <c r="B3861" s="4" t="s">
        <v>3773</v>
      </c>
      <c r="C3861" s="4" t="s">
        <v>11</v>
      </c>
      <c r="D3861" s="4" t="s">
        <v>11</v>
      </c>
      <c r="E3861" s="4" t="s">
        <v>11</v>
      </c>
      <c r="F3861" s="4" t="s">
        <v>1187</v>
      </c>
      <c r="G3861" s="5" t="s">
        <v>11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</row>
    <row r="3864" spans="1:7" x14ac:dyDescent="0.25">
      <c r="A3864" s="11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</row>
    <row r="3868" spans="1:7" x14ac:dyDescent="0.25">
      <c r="A3868" s="11"/>
      <c r="B3868" s="4" t="s">
        <v>3780</v>
      </c>
      <c r="C3868" s="4" t="s">
        <v>11</v>
      </c>
      <c r="D3868" s="4" t="s">
        <v>11</v>
      </c>
      <c r="E3868" s="4" t="s">
        <v>11</v>
      </c>
      <c r="F3868" s="4" t="s">
        <v>137</v>
      </c>
      <c r="G3868" s="5" t="s">
        <v>11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</row>
    <row r="3872" spans="1:7" x14ac:dyDescent="0.25">
      <c r="A3872" s="11"/>
      <c r="B3872" s="4" t="s">
        <v>3784</v>
      </c>
      <c r="C3872" s="4" t="s">
        <v>18</v>
      </c>
      <c r="D3872" s="4" t="s">
        <v>19</v>
      </c>
      <c r="E3872" s="4" t="s">
        <v>20</v>
      </c>
      <c r="F3872" s="4" t="s">
        <v>21</v>
      </c>
      <c r="G3872" s="5" t="s">
        <v>163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</row>
    <row r="3874" spans="1:7" x14ac:dyDescent="0.25">
      <c r="A3874" s="11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">
        <v>11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">
        <v>11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</row>
    <row r="3883" spans="1:7" x14ac:dyDescent="0.25">
      <c r="A3883" s="11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">
        <v>57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</row>
    <row r="3896" spans="1:7" x14ac:dyDescent="0.25">
      <c r="A3896" s="11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</row>
    <row r="3898" spans="1:7" x14ac:dyDescent="0.25">
      <c r="A3898" s="11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</row>
    <row r="3906" spans="1:7" x14ac:dyDescent="0.25">
      <c r="A3906" s="11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</row>
    <row r="3908" spans="1:7" x14ac:dyDescent="0.25">
      <c r="A3908" s="11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11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</row>
    <row r="3922" spans="1:7" x14ac:dyDescent="0.25">
      <c r="A3922" s="11"/>
      <c r="B3922" s="4" t="s">
        <v>3834</v>
      </c>
      <c r="C3922" s="4" t="s">
        <v>35</v>
      </c>
      <c r="D3922" s="4" t="s">
        <v>35</v>
      </c>
      <c r="E3922" s="4" t="s">
        <v>57</v>
      </c>
      <c r="F3922" s="4" t="s">
        <v>1931</v>
      </c>
      <c r="G3922" s="5" t="s">
        <v>57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</row>
    <row r="3928" spans="1:7" x14ac:dyDescent="0.25">
      <c r="A3928" s="11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">
        <v>11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</row>
    <row r="3933" spans="1:7" x14ac:dyDescent="0.25">
      <c r="A3933" s="11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</row>
    <row r="3934" spans="1:7" x14ac:dyDescent="0.25">
      <c r="A3934" s="11"/>
      <c r="B3934" s="4" t="s">
        <v>3846</v>
      </c>
      <c r="C3934" s="4" t="s">
        <v>11</v>
      </c>
      <c r="D3934" s="4" t="s">
        <v>11</v>
      </c>
      <c r="E3934" s="4" t="s">
        <v>11</v>
      </c>
      <c r="F3934" s="4" t="s">
        <v>2150</v>
      </c>
      <c r="G3934" s="5" t="s">
        <v>11</v>
      </c>
    </row>
    <row r="3935" spans="1:7" x14ac:dyDescent="0.25">
      <c r="A3935" s="11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">
        <v>11</v>
      </c>
    </row>
    <row r="3936" spans="1:7" x14ac:dyDescent="0.25">
      <c r="A3936" s="11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">
        <v>11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</row>
    <row r="3940" spans="1:7" x14ac:dyDescent="0.25">
      <c r="A3940" s="11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</row>
    <row r="3944" spans="1:7" x14ac:dyDescent="0.25">
      <c r="A3944" s="11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">
        <v>11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">
        <v>11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</row>
    <row r="3958" spans="1:7" x14ac:dyDescent="0.25">
      <c r="A3958" s="11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</row>
    <row r="3960" spans="1:7" x14ac:dyDescent="0.25">
      <c r="A3960" s="11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</row>
    <row r="3963" spans="1:7" x14ac:dyDescent="0.25">
      <c r="A3963" s="11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">
        <v>11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">
        <v>11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">
        <v>11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57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</row>
    <row r="3984" spans="1:7" x14ac:dyDescent="0.25">
      <c r="A3984" s="11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</row>
    <row r="3987" spans="1:7" x14ac:dyDescent="0.25">
      <c r="A3987" s="11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11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11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">
        <v>11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">
        <v>57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">
        <v>11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</row>
    <row r="4006" spans="1:7" x14ac:dyDescent="0.25">
      <c r="A4006" s="11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11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">
        <v>11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</row>
    <row r="4022" spans="1:7" x14ac:dyDescent="0.25">
      <c r="A4022" s="11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</row>
    <row r="4026" spans="1:7" x14ac:dyDescent="0.25">
      <c r="A4026" s="11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</row>
    <row r="4027" spans="1:7" x14ac:dyDescent="0.25">
      <c r="A4027" s="11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">
        <v>11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</row>
    <row r="4035" spans="1:7" x14ac:dyDescent="0.25">
      <c r="A4035" s="11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">
        <v>11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</row>
    <row r="4042" spans="1:7" x14ac:dyDescent="0.25">
      <c r="A4042" s="11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</row>
    <row r="4043" spans="1:7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</row>
    <row r="4061" spans="1:7" x14ac:dyDescent="0.25">
      <c r="A4061" s="11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">
        <v>11</v>
      </c>
    </row>
    <row r="4062" spans="1:7" x14ac:dyDescent="0.25">
      <c r="A4062" s="11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11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</row>
    <row r="4076" spans="1:7" x14ac:dyDescent="0.25">
      <c r="A4076" s="11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</row>
    <row r="4077" spans="1:7" x14ac:dyDescent="0.25">
      <c r="A4077" s="11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</row>
    <row r="4089" spans="1:7" x14ac:dyDescent="0.25">
      <c r="A4089" s="11"/>
      <c r="B4089" s="4" t="s">
        <v>4001</v>
      </c>
      <c r="C4089" s="4" t="s">
        <v>11</v>
      </c>
      <c r="D4089" s="4" t="s">
        <v>11</v>
      </c>
      <c r="E4089" s="4" t="s">
        <v>11</v>
      </c>
      <c r="F4089" s="4" t="s">
        <v>956</v>
      </c>
      <c r="G4089" s="5" t="s">
        <v>11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11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</row>
    <row r="4130" spans="1:7" x14ac:dyDescent="0.25">
      <c r="A4130" s="11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</row>
    <row r="4133" spans="1:7" x14ac:dyDescent="0.25">
      <c r="A4133" s="11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">
        <v>57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">
        <v>57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</row>
    <row r="4144" spans="1:7" x14ac:dyDescent="0.25">
      <c r="A4144" s="11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</row>
    <row r="4148" spans="1:7" x14ac:dyDescent="0.25">
      <c r="A4148" s="11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">
        <v>11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11</v>
      </c>
    </row>
    <row r="4152" spans="1:7" x14ac:dyDescent="0.25">
      <c r="A4152" s="11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</row>
    <row r="4153" spans="1:7" x14ac:dyDescent="0.25">
      <c r="A4153" s="11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</row>
    <row r="4161" spans="1:7" x14ac:dyDescent="0.25">
      <c r="A4161" s="11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">
        <v>36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">
        <v>20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</row>
    <row r="4173" spans="1:7" x14ac:dyDescent="0.25">
      <c r="A4173" s="11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</row>
    <row r="4185" spans="1:7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">
        <v>11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11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</row>
    <row r="4194" spans="1:7" x14ac:dyDescent="0.25">
      <c r="A4194" s="11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</row>
    <row r="4207" spans="1:7" x14ac:dyDescent="0.25">
      <c r="A4207" s="11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">
        <v>20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36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">
        <v>11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</row>
    <row r="4212" spans="1:7" x14ac:dyDescent="0.25">
      <c r="A4212" s="11"/>
      <c r="B4212" s="4" t="s">
        <v>4123</v>
      </c>
      <c r="C4212" s="4" t="s">
        <v>14</v>
      </c>
      <c r="D4212" s="4" t="s">
        <v>15</v>
      </c>
      <c r="E4212" s="4" t="s">
        <v>16</v>
      </c>
      <c r="F4212" s="4" t="s">
        <v>14</v>
      </c>
      <c r="G4212" s="5" t="s">
        <v>16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16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</row>
    <row r="4222" spans="1:7" x14ac:dyDescent="0.25">
      <c r="A4222" s="11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">
        <v>36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">
        <v>26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</row>
    <row r="4246" spans="1:7" x14ac:dyDescent="0.25">
      <c r="A4246" s="11"/>
      <c r="B4246" s="4" t="s">
        <v>4157</v>
      </c>
      <c r="C4246" s="4" t="s">
        <v>14</v>
      </c>
      <c r="D4246" s="4" t="s">
        <v>15</v>
      </c>
      <c r="E4246" s="4" t="s">
        <v>16</v>
      </c>
      <c r="F4246" s="4" t="s">
        <v>14</v>
      </c>
      <c r="G4246" s="5" t="s">
        <v>16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">
        <v>308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</row>
    <row r="4309" spans="1:7" x14ac:dyDescent="0.25">
      <c r="A4309" s="11"/>
      <c r="B4309" s="4" t="s">
        <v>4220</v>
      </c>
      <c r="C4309" s="4" t="s">
        <v>14</v>
      </c>
      <c r="D4309" s="4" t="s">
        <v>15</v>
      </c>
      <c r="E4309" s="4" t="s">
        <v>16</v>
      </c>
      <c r="F4309" s="4" t="s">
        <v>14</v>
      </c>
      <c r="G4309" s="5" t="s">
        <v>16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">
        <v>20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</row>
    <row r="4330" spans="1:7" x14ac:dyDescent="0.25">
      <c r="A4330" s="11"/>
      <c r="B4330" s="4" t="s">
        <v>4241</v>
      </c>
      <c r="C4330" s="4" t="s">
        <v>14</v>
      </c>
      <c r="D4330" s="4" t="s">
        <v>15</v>
      </c>
      <c r="E4330" s="4" t="s">
        <v>16</v>
      </c>
      <c r="F4330" s="4" t="s">
        <v>14</v>
      </c>
      <c r="G4330" s="5" t="s">
        <v>16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</row>
    <row r="4354" spans="1:7" x14ac:dyDescent="0.25">
      <c r="A4354" s="11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">
        <v>26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</row>
    <row r="4380" spans="1:7" x14ac:dyDescent="0.25">
      <c r="A4380" s="11"/>
      <c r="B4380" s="4" t="s">
        <v>4291</v>
      </c>
      <c r="C4380" s="4" t="s">
        <v>14</v>
      </c>
      <c r="D4380" s="4" t="s">
        <v>15</v>
      </c>
      <c r="E4380" s="4" t="s">
        <v>16</v>
      </c>
      <c r="F4380" s="4" t="s">
        <v>14</v>
      </c>
      <c r="G4380" s="5" t="s">
        <v>16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">
        <v>57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26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</row>
    <row r="4405" spans="1:7" x14ac:dyDescent="0.25">
      <c r="A4405" s="11"/>
      <c r="B4405" s="4" t="s">
        <v>4316</v>
      </c>
      <c r="C4405" s="4" t="s">
        <v>14</v>
      </c>
      <c r="D4405" s="4" t="s">
        <v>15</v>
      </c>
      <c r="E4405" s="4" t="s">
        <v>16</v>
      </c>
      <c r="F4405" s="4" t="s">
        <v>14</v>
      </c>
      <c r="G4405" s="5" t="s">
        <v>16</v>
      </c>
    </row>
    <row r="4406" spans="1:7" x14ac:dyDescent="0.25">
      <c r="A4406" s="11"/>
      <c r="B4406" s="4" t="s">
        <v>4317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5" t="s">
        <v>20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57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</row>
    <row r="4417" spans="1:7" x14ac:dyDescent="0.25">
      <c r="A4417" s="11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">
        <v>11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</row>
    <row r="4429" spans="1:7" x14ac:dyDescent="0.25">
      <c r="A4429" s="11"/>
      <c r="B4429" s="4" t="s">
        <v>4340</v>
      </c>
      <c r="C4429" s="4" t="s">
        <v>14</v>
      </c>
      <c r="D4429" s="4" t="s">
        <v>15</v>
      </c>
      <c r="E4429" s="4" t="s">
        <v>16</v>
      </c>
      <c r="F4429" s="4" t="s">
        <v>14</v>
      </c>
      <c r="G4429" s="5" t="s">
        <v>16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">
        <v>20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</row>
    <row r="4441" spans="1:7" x14ac:dyDescent="0.25">
      <c r="A4441" s="11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</row>
    <row r="4445" spans="1:7" x14ac:dyDescent="0.25">
      <c r="A4445" s="11"/>
      <c r="B4445" s="4" t="s">
        <v>4356</v>
      </c>
      <c r="C4445" s="4" t="s">
        <v>11</v>
      </c>
      <c r="D4445" s="4" t="s">
        <v>11</v>
      </c>
      <c r="E4445" s="4" t="s">
        <v>11</v>
      </c>
      <c r="F4445" s="4" t="s">
        <v>1385</v>
      </c>
      <c r="G4445" s="5" t="s">
        <v>11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">
        <v>20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</row>
    <row r="4457" spans="1:7" x14ac:dyDescent="0.25">
      <c r="A4457" s="11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20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11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</row>
    <row r="4492" spans="1:7" x14ac:dyDescent="0.25">
      <c r="A4492" s="11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163</v>
      </c>
    </row>
    <row r="4493" spans="1:7" x14ac:dyDescent="0.25">
      <c r="A4493" s="11"/>
      <c r="B4493" s="4" t="s">
        <v>4404</v>
      </c>
      <c r="C4493" s="4" t="s">
        <v>14</v>
      </c>
      <c r="D4493" s="4" t="s">
        <v>15</v>
      </c>
      <c r="E4493" s="4" t="s">
        <v>16</v>
      </c>
      <c r="F4493" s="4" t="s">
        <v>14</v>
      </c>
      <c r="G4493" s="5" t="s">
        <v>16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</row>
    <row r="4501" spans="1:7" x14ac:dyDescent="0.25">
      <c r="A4501" s="11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">
        <v>36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</row>
    <row r="4527" spans="1:7" x14ac:dyDescent="0.25">
      <c r="A4527" s="11"/>
      <c r="B4527" s="4" t="s">
        <v>4438</v>
      </c>
      <c r="C4527" s="4" t="s">
        <v>11</v>
      </c>
      <c r="D4527" s="4" t="s">
        <v>11</v>
      </c>
      <c r="E4527" s="4" t="s">
        <v>11</v>
      </c>
      <c r="F4527" s="4" t="s">
        <v>1822</v>
      </c>
      <c r="G4527" s="5" t="s">
        <v>11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26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">
        <v>20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</row>
    <row r="4624" spans="1:7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36</v>
      </c>
    </row>
    <row r="4625" spans="1:7" x14ac:dyDescent="0.25">
      <c r="A4625" s="11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">
        <v>36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">
        <v>11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</row>
    <row r="4661" spans="1:7" x14ac:dyDescent="0.25">
      <c r="A4661" s="11"/>
      <c r="B4661" s="4" t="s">
        <v>4572</v>
      </c>
      <c r="C4661" s="4" t="s">
        <v>24</v>
      </c>
      <c r="D4661" s="4" t="s">
        <v>25</v>
      </c>
      <c r="E4661" s="4" t="s">
        <v>26</v>
      </c>
      <c r="F4661" s="4" t="s">
        <v>21</v>
      </c>
      <c r="G4661" s="5" t="s">
        <v>36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</row>
    <row r="4666" spans="1:7" x14ac:dyDescent="0.25">
      <c r="A4666" s="11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">
        <v>26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">
        <v>20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</row>
    <row r="4700" spans="1:7" x14ac:dyDescent="0.25">
      <c r="A4700" s="11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</row>
    <row r="4703" spans="1:7" x14ac:dyDescent="0.25">
      <c r="A4703" s="11"/>
      <c r="B4703" s="4" t="s">
        <v>4614</v>
      </c>
      <c r="C4703" s="4" t="s">
        <v>35</v>
      </c>
      <c r="D4703" s="4" t="s">
        <v>35</v>
      </c>
      <c r="E4703" s="4" t="s">
        <v>57</v>
      </c>
      <c r="F4703" s="4" t="s">
        <v>137</v>
      </c>
      <c r="G4703" s="5" t="s">
        <v>11</v>
      </c>
    </row>
    <row r="4704" spans="1:7" x14ac:dyDescent="0.25">
      <c r="A4704" s="11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</row>
    <row r="4713" spans="1:7" x14ac:dyDescent="0.25">
      <c r="A4713" s="11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">
        <v>111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36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">
        <v>163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</row>
    <row r="4756" spans="1:7" x14ac:dyDescent="0.25">
      <c r="A4756" s="11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</row>
    <row r="4758" spans="1:7" x14ac:dyDescent="0.25">
      <c r="A4758" s="11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</row>
    <row r="4782" spans="1:7" x14ac:dyDescent="0.25">
      <c r="A4782" s="11"/>
      <c r="B4782" s="4" t="s">
        <v>4693</v>
      </c>
      <c r="C4782" s="4" t="s">
        <v>109</v>
      </c>
      <c r="D4782" s="4" t="s">
        <v>110</v>
      </c>
      <c r="E4782" s="4" t="s">
        <v>111</v>
      </c>
      <c r="F4782" s="4" t="s">
        <v>112</v>
      </c>
      <c r="G4782" s="5" t="s">
        <v>111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</row>
    <row r="4797" spans="1:7" x14ac:dyDescent="0.25">
      <c r="A4797" s="11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</row>
    <row r="4823" spans="1:7" x14ac:dyDescent="0.25">
      <c r="A4823" s="11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26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">
        <v>163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</row>
    <row r="4873" spans="1:7" x14ac:dyDescent="0.25">
      <c r="A4873" s="11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">
        <v>20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20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</row>
    <row r="4895" spans="1:7" x14ac:dyDescent="0.25">
      <c r="A4895" s="11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</row>
    <row r="4902" spans="1:7" x14ac:dyDescent="0.25">
      <c r="A4902" s="11"/>
      <c r="B4902" s="4" t="s">
        <v>4813</v>
      </c>
      <c r="C4902" s="4" t="s">
        <v>14</v>
      </c>
      <c r="D4902" s="4" t="s">
        <v>15</v>
      </c>
      <c r="E4902" s="4" t="s">
        <v>16</v>
      </c>
      <c r="F4902" s="4" t="s">
        <v>14</v>
      </c>
      <c r="G4902" s="5" t="s">
        <v>16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</row>
    <row r="4936" spans="1:7" x14ac:dyDescent="0.25">
      <c r="A4936" s="11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</row>
    <row r="4939" spans="1:7" x14ac:dyDescent="0.25">
      <c r="A4939" s="11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</row>
    <row r="4940" spans="1:7" x14ac:dyDescent="0.25">
      <c r="A4940" s="11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</row>
    <row r="4941" spans="1:7" x14ac:dyDescent="0.25">
      <c r="A4941" s="11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</row>
    <row r="4943" spans="1:7" x14ac:dyDescent="0.25">
      <c r="A4943" s="11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">
        <v>11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</row>
    <row r="4951" spans="1:7" x14ac:dyDescent="0.25">
      <c r="A4951" s="11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</row>
    <row r="4957" spans="1:7" x14ac:dyDescent="0.25">
      <c r="A4957" s="11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">
        <v>11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">
        <v>11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">
        <v>57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">
        <v>11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">
        <v>11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">
        <v>57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</row>
    <row r="4979" spans="1:7" x14ac:dyDescent="0.25">
      <c r="A4979" s="11"/>
      <c r="B4979" s="4" t="s">
        <v>4890</v>
      </c>
      <c r="C4979" s="4" t="s">
        <v>11</v>
      </c>
      <c r="D4979" s="4" t="s">
        <v>11</v>
      </c>
      <c r="E4979" s="4" t="s">
        <v>11</v>
      </c>
      <c r="F4979" s="4" t="s">
        <v>1822</v>
      </c>
      <c r="G4979" s="5" t="s">
        <v>11</v>
      </c>
    </row>
    <row r="4980" spans="1:7" x14ac:dyDescent="0.25">
      <c r="A4980" s="11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">
        <v>57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</row>
    <row r="4985" spans="1:7" x14ac:dyDescent="0.25">
      <c r="A4985" s="11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">
        <v>11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</row>
    <row r="4991" spans="1:7" x14ac:dyDescent="0.25">
      <c r="A4991" s="11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</row>
    <row r="4996" spans="1:7" x14ac:dyDescent="0.25">
      <c r="A4996" s="11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</row>
    <row r="4997" spans="1:7" x14ac:dyDescent="0.25">
      <c r="A4997" s="11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">
        <v>11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</row>
    <row r="5000" spans="1:7" x14ac:dyDescent="0.25">
      <c r="A5000" s="11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</row>
    <row r="5005" spans="1:7" x14ac:dyDescent="0.25">
      <c r="A5005" s="11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">
        <v>11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57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</row>
    <row r="5013" spans="1:7" x14ac:dyDescent="0.25">
      <c r="A5013" s="11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</row>
    <row r="5015" spans="1:7" x14ac:dyDescent="0.25">
      <c r="A5015" s="11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</row>
    <row r="5021" spans="1:7" x14ac:dyDescent="0.25">
      <c r="A5021" s="11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</row>
    <row r="5026" spans="1:7" x14ac:dyDescent="0.25">
      <c r="A5026" s="11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11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">
        <v>11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">
        <v>11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</row>
    <row r="5036" spans="1:7" x14ac:dyDescent="0.25">
      <c r="A5036" s="11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</row>
    <row r="5040" spans="1:7" x14ac:dyDescent="0.25">
      <c r="A5040" s="11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">
        <v>20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</row>
    <row r="5042" spans="1:7" x14ac:dyDescent="0.25">
      <c r="A5042" s="11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">
        <v>11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">
        <v>11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</row>
    <row r="5055" spans="1:7" x14ac:dyDescent="0.25">
      <c r="A5055" s="11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</row>
    <row r="5058" spans="1:7" x14ac:dyDescent="0.25">
      <c r="A5058" s="11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</row>
    <row r="5064" spans="1:7" x14ac:dyDescent="0.25">
      <c r="A5064" s="11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">
        <v>11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</row>
    <row r="5071" spans="1:7" x14ac:dyDescent="0.25">
      <c r="A5071" s="11"/>
      <c r="B5071" s="4" t="s">
        <v>4980</v>
      </c>
      <c r="C5071" s="4" t="s">
        <v>11</v>
      </c>
      <c r="D5071" s="4" t="s">
        <v>11</v>
      </c>
      <c r="E5071" s="4" t="s">
        <v>11</v>
      </c>
      <c r="F5071" s="4" t="s">
        <v>973</v>
      </c>
      <c r="G5071" s="5" t="s">
        <v>11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</row>
    <row r="5075" spans="1:7" x14ac:dyDescent="0.25">
      <c r="A5075" s="11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">
        <v>11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">
        <v>11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</row>
    <row r="5090" spans="1:7" x14ac:dyDescent="0.25">
      <c r="A5090" s="11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</row>
    <row r="5094" spans="1:7" x14ac:dyDescent="0.25">
      <c r="A5094" s="11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</row>
    <row r="5100" spans="1:7" x14ac:dyDescent="0.25">
      <c r="A5100" s="11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</row>
    <row r="5103" spans="1:7" x14ac:dyDescent="0.25">
      <c r="A5103" s="11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</row>
    <row r="5105" spans="1:7" x14ac:dyDescent="0.25">
      <c r="A5105" s="11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">
        <v>11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57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</row>
    <row r="5110" spans="1:7" x14ac:dyDescent="0.25">
      <c r="A5110" s="11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">
        <v>57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</row>
    <row r="5121" spans="1:7" x14ac:dyDescent="0.25">
      <c r="A5121" s="11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</row>
    <row r="5137" spans="1:7" x14ac:dyDescent="0.25">
      <c r="A5137" s="11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">
        <v>11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</row>
    <row r="5143" spans="1:7" x14ac:dyDescent="0.25">
      <c r="A5143" s="11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11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</row>
    <row r="5153" spans="1:7" x14ac:dyDescent="0.25">
      <c r="A5153" s="11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">
        <v>11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</row>
    <row r="5179" spans="1:7" x14ac:dyDescent="0.25">
      <c r="A5179" s="11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</row>
    <row r="5187" spans="1:7" x14ac:dyDescent="0.25">
      <c r="A5187" s="11"/>
      <c r="B5187" s="4" t="s">
        <v>5856</v>
      </c>
      <c r="C5187" s="4" t="s">
        <v>11</v>
      </c>
      <c r="D5187" s="4" t="s">
        <v>11</v>
      </c>
      <c r="E5187" s="4" t="s">
        <v>11</v>
      </c>
      <c r="F5187" s="4" t="s">
        <v>2014</v>
      </c>
      <c r="G5187" s="5" t="s">
        <v>11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">
        <v>11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</row>
    <row r="5199" spans="1:7" x14ac:dyDescent="0.25">
      <c r="A5199" s="11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">
        <v>11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</row>
    <row r="5212" spans="1:7" x14ac:dyDescent="0.25">
      <c r="A5212" s="11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">
        <v>57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">
        <v>11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">
        <v>11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">
        <v>57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</row>
    <row r="5261" spans="1:7" x14ac:dyDescent="0.25">
      <c r="A5261" s="11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">
        <v>11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">
        <v>11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">
        <v>57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</row>
    <row r="5279" spans="1:7" x14ac:dyDescent="0.25">
      <c r="A5279" s="11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</row>
    <row r="5280" spans="1:7" x14ac:dyDescent="0.25">
      <c r="A5280" s="11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">
        <v>11</v>
      </c>
    </row>
    <row r="5283" spans="1:7" x14ac:dyDescent="0.25">
      <c r="A5283" s="11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">
        <v>11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</row>
    <row r="5288" spans="1:7" x14ac:dyDescent="0.25">
      <c r="A5288" s="11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">
        <v>11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</row>
    <row r="5294" spans="1:7" x14ac:dyDescent="0.25">
      <c r="A5294" s="11"/>
      <c r="B5294" s="4" t="s">
        <v>5772</v>
      </c>
      <c r="C5294" s="4" t="s">
        <v>11</v>
      </c>
      <c r="D5294" s="4" t="s">
        <v>11</v>
      </c>
      <c r="E5294" s="4" t="s">
        <v>11</v>
      </c>
      <c r="F5294" s="4" t="s">
        <v>1191</v>
      </c>
      <c r="G5294" s="5" t="s">
        <v>11</v>
      </c>
    </row>
    <row r="5295" spans="1:7" x14ac:dyDescent="0.25">
      <c r="A5295" s="11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</row>
    <row r="5297" spans="1:7" x14ac:dyDescent="0.25">
      <c r="A5297" s="11"/>
      <c r="B5297" s="4" t="s">
        <v>5654</v>
      </c>
      <c r="C5297" s="4" t="s">
        <v>11</v>
      </c>
      <c r="D5297" s="4" t="s">
        <v>11</v>
      </c>
      <c r="E5297" s="4" t="s">
        <v>11</v>
      </c>
      <c r="F5297" s="4" t="s">
        <v>1187</v>
      </c>
      <c r="G5297" s="5" t="s">
        <v>11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</row>
    <row r="5307" spans="1:7" x14ac:dyDescent="0.25">
      <c r="A5307" s="11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">
        <v>11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">
        <v>11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">
        <v>11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">
        <v>11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11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</row>
    <row r="5349" spans="1:7" x14ac:dyDescent="0.25">
      <c r="A5349" s="11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</row>
    <row r="5353" spans="1:7" x14ac:dyDescent="0.25">
      <c r="A5353" s="11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</row>
    <row r="5355" spans="1:7" x14ac:dyDescent="0.25">
      <c r="A5355" s="11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">
        <v>11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</row>
    <row r="5374" spans="1:7" x14ac:dyDescent="0.25">
      <c r="A5374" s="11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5" t="s">
        <v>11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</row>
    <row r="5377" spans="1:7" x14ac:dyDescent="0.25">
      <c r="A5377" s="11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">
        <v>11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</row>
    <row r="5379" spans="1:7" x14ac:dyDescent="0.25">
      <c r="A5379" s="11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">
        <v>11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">
        <v>11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</row>
    <row r="5385" spans="1:7" x14ac:dyDescent="0.25">
      <c r="A5385" s="11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">
        <v>11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">
        <v>11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">
        <v>11</v>
      </c>
    </row>
    <row r="5401" spans="1:7" x14ac:dyDescent="0.25">
      <c r="A5401" s="11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5" t="s">
        <v>11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</row>
    <row r="5412" spans="1:7" x14ac:dyDescent="0.25">
      <c r="A5412" s="11"/>
      <c r="B5412" s="4" t="s">
        <v>5841</v>
      </c>
      <c r="C5412" s="4" t="s">
        <v>11</v>
      </c>
      <c r="D5412" s="4" t="s">
        <v>11</v>
      </c>
      <c r="E5412" s="4" t="s">
        <v>11</v>
      </c>
      <c r="F5412" s="4" t="s">
        <v>137</v>
      </c>
      <c r="G5412" s="5" t="s">
        <v>11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</row>
    <row r="5415" spans="1:7" x14ac:dyDescent="0.25">
      <c r="A5415" s="11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">
        <v>11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">
        <v>57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</row>
    <row r="5453" spans="1:7" x14ac:dyDescent="0.25">
      <c r="A5453" s="11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">
        <v>20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">
        <v>20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</row>
    <row r="5516" spans="1:7" x14ac:dyDescent="0.25">
      <c r="A5516" s="11"/>
      <c r="B5516" s="9" t="s">
        <v>5196</v>
      </c>
      <c r="C5516" s="9" t="s">
        <v>18</v>
      </c>
      <c r="D5516" s="9" t="s">
        <v>19</v>
      </c>
      <c r="E5516" s="9" t="s">
        <v>20</v>
      </c>
      <c r="F5516" s="9" t="s">
        <v>21</v>
      </c>
      <c r="G5516" s="5" t="s">
        <v>20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20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16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</row>
    <row r="5587" spans="1:7" x14ac:dyDescent="0.25">
      <c r="A5587" s="11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">
        <v>163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</row>
    <row r="5630" spans="1:7" x14ac:dyDescent="0.25">
      <c r="A5630" s="11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20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</row>
    <row r="5633" spans="1:7" x14ac:dyDescent="0.25">
      <c r="A5633" s="11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36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</row>
    <row r="5638" spans="1:7" x14ac:dyDescent="0.25">
      <c r="A5638" s="11"/>
      <c r="B5638" s="4" t="s">
        <v>5318</v>
      </c>
      <c r="C5638" s="4" t="s">
        <v>35</v>
      </c>
      <c r="D5638" s="4" t="s">
        <v>35</v>
      </c>
      <c r="E5638" s="4" t="s">
        <v>163</v>
      </c>
      <c r="F5638" s="4" t="s">
        <v>21</v>
      </c>
      <c r="G5638" s="5" t="s">
        <v>163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</row>
    <row r="5652" spans="1:7" x14ac:dyDescent="0.25">
      <c r="A5652" s="11"/>
      <c r="B5652" s="4" t="s">
        <v>5332</v>
      </c>
      <c r="C5652" s="4" t="s">
        <v>14</v>
      </c>
      <c r="D5652" s="4" t="s">
        <v>15</v>
      </c>
      <c r="E5652" s="4" t="s">
        <v>16</v>
      </c>
      <c r="F5652" s="4" t="s">
        <v>14</v>
      </c>
      <c r="G5652" s="5" t="s">
        <v>16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</row>
    <row r="5667" spans="1:7" x14ac:dyDescent="0.25">
      <c r="A5667" s="11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</row>
    <row r="5671" spans="1:7" x14ac:dyDescent="0.25">
      <c r="A5671" s="11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">
        <v>26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">
        <v>57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36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</row>
    <row r="5681" spans="1:7" x14ac:dyDescent="0.25">
      <c r="A5681" s="11"/>
      <c r="B5681" s="4" t="s">
        <v>5361</v>
      </c>
      <c r="C5681" s="4" t="s">
        <v>35</v>
      </c>
      <c r="D5681" s="4" t="s">
        <v>35</v>
      </c>
      <c r="E5681" s="4" t="s">
        <v>57</v>
      </c>
      <c r="F5681" s="4" t="s">
        <v>1653</v>
      </c>
      <c r="G5681" s="5" t="s">
        <v>11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">
        <v>36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20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</row>
    <row r="5724" spans="1:7" x14ac:dyDescent="0.25">
      <c r="A5724" s="11"/>
      <c r="B5724" s="4" t="s">
        <v>5404</v>
      </c>
      <c r="C5724" s="4" t="s">
        <v>14</v>
      </c>
      <c r="D5724" s="4" t="s">
        <v>15</v>
      </c>
      <c r="E5724" s="4" t="s">
        <v>16</v>
      </c>
      <c r="F5724" s="4" t="s">
        <v>14</v>
      </c>
      <c r="G5724" s="5" t="s">
        <v>16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</row>
    <row r="5731" spans="1:7" x14ac:dyDescent="0.25">
      <c r="A5731" s="11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36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">
        <v>11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263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263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16</v>
      </c>
    </row>
    <row r="5764" spans="1:7" x14ac:dyDescent="0.25">
      <c r="A5764" s="11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263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16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16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</row>
    <row r="5784" spans="1:7" x14ac:dyDescent="0.25">
      <c r="A5784" s="11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">
        <v>11</v>
      </c>
    </row>
    <row r="5785" spans="1:7" x14ac:dyDescent="0.25">
      <c r="A5785" s="11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">
        <v>163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">
        <v>57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</row>
    <row r="5794" spans="1:7" x14ac:dyDescent="0.25">
      <c r="A5794" s="11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16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16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Febrero</vt:lpstr>
      <vt:lpstr>Enero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David Prado Nole</cp:lastModifiedBy>
  <dcterms:created xsi:type="dcterms:W3CDTF">2016-04-11T21:31:58Z</dcterms:created>
  <dcterms:modified xsi:type="dcterms:W3CDTF">2024-03-07T22:07:00Z</dcterms:modified>
</cp:coreProperties>
</file>