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V:\CNPC_APLX_CAP\RESERVADA\07 BASE DE DATOS\OFM\Archivos de Carga\2024\01 Enero 2024\"/>
    </mc:Choice>
  </mc:AlternateContent>
  <xr:revisionPtr revIDLastSave="0" documentId="13_ncr:1_{398507A1-ABCE-4821-800A-5D0638BECF43}" xr6:coauthVersionLast="47" xr6:coauthVersionMax="47" xr10:uidLastSave="{00000000-0000-0000-0000-000000000000}"/>
  <bookViews>
    <workbookView xWindow="28680" yWindow="-120" windowWidth="29040" windowHeight="15840" tabRatio="762" xr2:uid="{00000000-000D-0000-FFFF-FFFF00000000}"/>
  </bookViews>
  <sheets>
    <sheet name="Enero" sheetId="103" r:id="rId1"/>
    <sheet name="Diciembre 2023" sheetId="102" r:id="rId2"/>
  </sheets>
  <definedNames>
    <definedName name="_xlnm._FilterDatabase" localSheetId="1" hidden="1">'Diciembre 2023'!$B$2:$H$5822</definedName>
    <definedName name="_xlnm._FilterDatabase" localSheetId="0" hidden="1">Enero!$B$2:$H$5822</definedName>
  </definedNames>
  <calcPr calcId="191029"/>
  <pivotCaches>
    <pivotCache cacheId="6" r:id="rId3"/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03" l="1"/>
  <c r="O29" i="103"/>
  <c r="O28" i="103"/>
  <c r="O27" i="103"/>
  <c r="O26" i="103"/>
  <c r="O25" i="103"/>
  <c r="O24" i="103"/>
  <c r="O23" i="103"/>
  <c r="O22" i="103"/>
  <c r="O21" i="103"/>
  <c r="O20" i="103"/>
  <c r="O19" i="103"/>
  <c r="O18" i="103"/>
  <c r="O17" i="103"/>
  <c r="O16" i="103"/>
  <c r="O15" i="103"/>
  <c r="O14" i="103"/>
  <c r="O13" i="103"/>
  <c r="O12" i="103"/>
  <c r="O11" i="103"/>
  <c r="O10" i="103"/>
  <c r="O9" i="103"/>
  <c r="O8" i="103"/>
  <c r="O7" i="103"/>
  <c r="O6" i="103"/>
  <c r="O5" i="103"/>
  <c r="G4" i="103"/>
  <c r="G5" i="103"/>
  <c r="G6" i="103"/>
  <c r="G7" i="103"/>
  <c r="G8" i="103"/>
  <c r="G9" i="103"/>
  <c r="G10" i="103"/>
  <c r="G11" i="103"/>
  <c r="G12" i="103"/>
  <c r="G13" i="103"/>
  <c r="G14" i="103"/>
  <c r="G15" i="103"/>
  <c r="G16" i="103"/>
  <c r="G17" i="103"/>
  <c r="G18" i="103"/>
  <c r="G19" i="103"/>
  <c r="G20" i="103"/>
  <c r="G21" i="103"/>
  <c r="G22" i="103"/>
  <c r="G23" i="103"/>
  <c r="G24" i="103"/>
  <c r="G25" i="103"/>
  <c r="G26" i="103"/>
  <c r="G27" i="103"/>
  <c r="G28" i="103"/>
  <c r="G29" i="103"/>
  <c r="G30" i="103"/>
  <c r="G31" i="103"/>
  <c r="G32" i="103"/>
  <c r="G33" i="103"/>
  <c r="G34" i="103"/>
  <c r="G35" i="103"/>
  <c r="G36" i="103"/>
  <c r="G37" i="103"/>
  <c r="G38" i="103"/>
  <c r="G39" i="103"/>
  <c r="G40" i="103"/>
  <c r="G41" i="103"/>
  <c r="G42" i="103"/>
  <c r="G43" i="103"/>
  <c r="G44" i="103"/>
  <c r="G45" i="103"/>
  <c r="G46" i="103"/>
  <c r="G47" i="103"/>
  <c r="G48" i="103"/>
  <c r="G49" i="103"/>
  <c r="G50" i="103"/>
  <c r="G51" i="103"/>
  <c r="G52" i="103"/>
  <c r="G53" i="103"/>
  <c r="G54" i="103"/>
  <c r="G55" i="103"/>
  <c r="G56" i="103"/>
  <c r="G57" i="103"/>
  <c r="G58" i="103"/>
  <c r="G59" i="103"/>
  <c r="G60" i="103"/>
  <c r="G61" i="103"/>
  <c r="G62" i="103"/>
  <c r="G63" i="103"/>
  <c r="G64" i="103"/>
  <c r="G65" i="103"/>
  <c r="G66" i="103"/>
  <c r="G67" i="103"/>
  <c r="G68" i="103"/>
  <c r="G69" i="103"/>
  <c r="G70" i="103"/>
  <c r="G71" i="103"/>
  <c r="G72" i="103"/>
  <c r="G73" i="103"/>
  <c r="G74" i="103"/>
  <c r="G75" i="103"/>
  <c r="G76" i="103"/>
  <c r="G77" i="103"/>
  <c r="G78" i="103"/>
  <c r="G79" i="103"/>
  <c r="G80" i="103"/>
  <c r="G81" i="103"/>
  <c r="G82" i="103"/>
  <c r="G83" i="103"/>
  <c r="G84" i="103"/>
  <c r="G85" i="103"/>
  <c r="G86" i="103"/>
  <c r="G87" i="103"/>
  <c r="G88" i="103"/>
  <c r="G89" i="103"/>
  <c r="G90" i="103"/>
  <c r="G91" i="103"/>
  <c r="G92" i="103"/>
  <c r="G93" i="103"/>
  <c r="G94" i="103"/>
  <c r="G95" i="103"/>
  <c r="G96" i="103"/>
  <c r="G97" i="103"/>
  <c r="G98" i="103"/>
  <c r="G99" i="103"/>
  <c r="G100" i="103"/>
  <c r="G101" i="103"/>
  <c r="G102" i="103"/>
  <c r="G103" i="103"/>
  <c r="G104" i="103"/>
  <c r="G105" i="103"/>
  <c r="G106" i="103"/>
  <c r="G107" i="103"/>
  <c r="G108" i="103"/>
  <c r="G109" i="103"/>
  <c r="G110" i="103"/>
  <c r="G111" i="103"/>
  <c r="G112" i="103"/>
  <c r="G113" i="103"/>
  <c r="G114" i="103"/>
  <c r="G115" i="103"/>
  <c r="G116" i="103"/>
  <c r="G117" i="103"/>
  <c r="G118" i="103"/>
  <c r="G119" i="103"/>
  <c r="G120" i="103"/>
  <c r="G121" i="103"/>
  <c r="G122" i="103"/>
  <c r="G123" i="103"/>
  <c r="G124" i="103"/>
  <c r="G125" i="103"/>
  <c r="G126" i="103"/>
  <c r="G127" i="103"/>
  <c r="G128" i="103"/>
  <c r="G129" i="103"/>
  <c r="G130" i="103"/>
  <c r="G131" i="103"/>
  <c r="G132" i="103"/>
  <c r="G133" i="103"/>
  <c r="G134" i="103"/>
  <c r="G135" i="103"/>
  <c r="G136" i="103"/>
  <c r="G137" i="103"/>
  <c r="G138" i="103"/>
  <c r="G139" i="103"/>
  <c r="G140" i="103"/>
  <c r="G141" i="103"/>
  <c r="G142" i="103"/>
  <c r="G143" i="103"/>
  <c r="G144" i="103"/>
  <c r="G145" i="103"/>
  <c r="G146" i="103"/>
  <c r="G147" i="103"/>
  <c r="G148" i="103"/>
  <c r="G149" i="103"/>
  <c r="G150" i="103"/>
  <c r="G151" i="103"/>
  <c r="G152" i="103"/>
  <c r="G153" i="103"/>
  <c r="G154" i="103"/>
  <c r="G155" i="103"/>
  <c r="G156" i="103"/>
  <c r="G157" i="103"/>
  <c r="G158" i="103"/>
  <c r="G159" i="103"/>
  <c r="G160" i="103"/>
  <c r="G161" i="103"/>
  <c r="G162" i="103"/>
  <c r="G163" i="103"/>
  <c r="G164" i="103"/>
  <c r="G165" i="103"/>
  <c r="G166" i="103"/>
  <c r="G167" i="103"/>
  <c r="G168" i="103"/>
  <c r="G169" i="103"/>
  <c r="G170" i="103"/>
  <c r="G171" i="103"/>
  <c r="G172" i="103"/>
  <c r="G173" i="103"/>
  <c r="G174" i="103"/>
  <c r="G175" i="103"/>
  <c r="G176" i="103"/>
  <c r="G177" i="103"/>
  <c r="G178" i="103"/>
  <c r="G179" i="103"/>
  <c r="G180" i="103"/>
  <c r="G181" i="103"/>
  <c r="G182" i="103"/>
  <c r="G183" i="103"/>
  <c r="G184" i="103"/>
  <c r="G185" i="103"/>
  <c r="G186" i="103"/>
  <c r="G187" i="103"/>
  <c r="G188" i="103"/>
  <c r="G189" i="103"/>
  <c r="G190" i="103"/>
  <c r="G191" i="103"/>
  <c r="G192" i="103"/>
  <c r="G193" i="103"/>
  <c r="G194" i="103"/>
  <c r="G195" i="103"/>
  <c r="G196" i="103"/>
  <c r="G197" i="103"/>
  <c r="G198" i="103"/>
  <c r="G199" i="103"/>
  <c r="G200" i="103"/>
  <c r="G201" i="103"/>
  <c r="G202" i="103"/>
  <c r="G203" i="103"/>
  <c r="G204" i="103"/>
  <c r="G205" i="103"/>
  <c r="G206" i="103"/>
  <c r="G207" i="103"/>
  <c r="G208" i="103"/>
  <c r="G209" i="103"/>
  <c r="G210" i="103"/>
  <c r="G211" i="103"/>
  <c r="G212" i="103"/>
  <c r="G213" i="103"/>
  <c r="G214" i="103"/>
  <c r="G215" i="103"/>
  <c r="G216" i="103"/>
  <c r="G217" i="103"/>
  <c r="G218" i="103"/>
  <c r="G219" i="103"/>
  <c r="G220" i="103"/>
  <c r="G221" i="103"/>
  <c r="G222" i="103"/>
  <c r="G223" i="103"/>
  <c r="G224" i="103"/>
  <c r="G225" i="103"/>
  <c r="G226" i="103"/>
  <c r="G227" i="103"/>
  <c r="G228" i="103"/>
  <c r="G229" i="103"/>
  <c r="G230" i="103"/>
  <c r="G231" i="103"/>
  <c r="G232" i="103"/>
  <c r="G233" i="103"/>
  <c r="G234" i="103"/>
  <c r="G235" i="103"/>
  <c r="G236" i="103"/>
  <c r="G237" i="103"/>
  <c r="G238" i="103"/>
  <c r="G239" i="103"/>
  <c r="G240" i="103"/>
  <c r="G241" i="103"/>
  <c r="G242" i="103"/>
  <c r="G243" i="103"/>
  <c r="G244" i="103"/>
  <c r="G245" i="103"/>
  <c r="G246" i="103"/>
  <c r="G247" i="103"/>
  <c r="G248" i="103"/>
  <c r="G249" i="103"/>
  <c r="G250" i="103"/>
  <c r="G251" i="103"/>
  <c r="G252" i="103"/>
  <c r="G253" i="103"/>
  <c r="G254" i="103"/>
  <c r="G255" i="103"/>
  <c r="G256" i="103"/>
  <c r="G257" i="103"/>
  <c r="G258" i="103"/>
  <c r="G259" i="103"/>
  <c r="G260" i="103"/>
  <c r="G261" i="103"/>
  <c r="G262" i="103"/>
  <c r="G263" i="103"/>
  <c r="G264" i="103"/>
  <c r="G265" i="103"/>
  <c r="G266" i="103"/>
  <c r="G267" i="103"/>
  <c r="G268" i="103"/>
  <c r="G269" i="103"/>
  <c r="G270" i="103"/>
  <c r="G271" i="103"/>
  <c r="G272" i="103"/>
  <c r="G273" i="103"/>
  <c r="G274" i="103"/>
  <c r="G275" i="103"/>
  <c r="G276" i="103"/>
  <c r="G277" i="103"/>
  <c r="G278" i="103"/>
  <c r="G279" i="103"/>
  <c r="G280" i="103"/>
  <c r="G281" i="103"/>
  <c r="G282" i="103"/>
  <c r="G283" i="103"/>
  <c r="G284" i="103"/>
  <c r="G285" i="103"/>
  <c r="G286" i="103"/>
  <c r="G287" i="103"/>
  <c r="G288" i="103"/>
  <c r="G289" i="103"/>
  <c r="G290" i="103"/>
  <c r="G291" i="103"/>
  <c r="G292" i="103"/>
  <c r="G293" i="103"/>
  <c r="G294" i="103"/>
  <c r="G295" i="103"/>
  <c r="G296" i="103"/>
  <c r="G297" i="103"/>
  <c r="G298" i="103"/>
  <c r="G299" i="103"/>
  <c r="G300" i="103"/>
  <c r="G301" i="103"/>
  <c r="G302" i="103"/>
  <c r="G303" i="103"/>
  <c r="G304" i="103"/>
  <c r="G305" i="103"/>
  <c r="G306" i="103"/>
  <c r="G307" i="103"/>
  <c r="G308" i="103"/>
  <c r="G309" i="103"/>
  <c r="G310" i="103"/>
  <c r="G311" i="103"/>
  <c r="G312" i="103"/>
  <c r="G313" i="103"/>
  <c r="G314" i="103"/>
  <c r="G315" i="103"/>
  <c r="G316" i="103"/>
  <c r="G317" i="103"/>
  <c r="G318" i="103"/>
  <c r="G319" i="103"/>
  <c r="G320" i="103"/>
  <c r="G321" i="103"/>
  <c r="G322" i="103"/>
  <c r="G323" i="103"/>
  <c r="G324" i="103"/>
  <c r="G325" i="103"/>
  <c r="G326" i="103"/>
  <c r="G327" i="103"/>
  <c r="G328" i="103"/>
  <c r="G329" i="103"/>
  <c r="G330" i="103"/>
  <c r="G331" i="103"/>
  <c r="G332" i="103"/>
  <c r="G333" i="103"/>
  <c r="G334" i="103"/>
  <c r="G335" i="103"/>
  <c r="G336" i="103"/>
  <c r="G337" i="103"/>
  <c r="G338" i="103"/>
  <c r="G339" i="103"/>
  <c r="G340" i="103"/>
  <c r="G341" i="103"/>
  <c r="G342" i="103"/>
  <c r="G343" i="103"/>
  <c r="G344" i="103"/>
  <c r="G345" i="103"/>
  <c r="G346" i="103"/>
  <c r="G347" i="103"/>
  <c r="G348" i="103"/>
  <c r="G349" i="103"/>
  <c r="G350" i="103"/>
  <c r="G351" i="103"/>
  <c r="G352" i="103"/>
  <c r="G353" i="103"/>
  <c r="G354" i="103"/>
  <c r="G355" i="103"/>
  <c r="G356" i="103"/>
  <c r="G357" i="103"/>
  <c r="G358" i="103"/>
  <c r="G359" i="103"/>
  <c r="G360" i="103"/>
  <c r="G361" i="103"/>
  <c r="G362" i="103"/>
  <c r="G363" i="103"/>
  <c r="G364" i="103"/>
  <c r="G365" i="103"/>
  <c r="G366" i="103"/>
  <c r="G367" i="103"/>
  <c r="G368" i="103"/>
  <c r="G369" i="103"/>
  <c r="G370" i="103"/>
  <c r="G371" i="103"/>
  <c r="G372" i="103"/>
  <c r="G373" i="103"/>
  <c r="G374" i="103"/>
  <c r="G375" i="103"/>
  <c r="G376" i="103"/>
  <c r="G377" i="103"/>
  <c r="G378" i="103"/>
  <c r="G379" i="103"/>
  <c r="G380" i="103"/>
  <c r="G381" i="103"/>
  <c r="G382" i="103"/>
  <c r="G383" i="103"/>
  <c r="G384" i="103"/>
  <c r="G385" i="103"/>
  <c r="G386" i="103"/>
  <c r="G387" i="103"/>
  <c r="G388" i="103"/>
  <c r="G389" i="103"/>
  <c r="G390" i="103"/>
  <c r="G391" i="103"/>
  <c r="G392" i="103"/>
  <c r="G393" i="103"/>
  <c r="G394" i="103"/>
  <c r="G395" i="103"/>
  <c r="G396" i="103"/>
  <c r="G397" i="103"/>
  <c r="G398" i="103"/>
  <c r="G399" i="103"/>
  <c r="G400" i="103"/>
  <c r="G401" i="103"/>
  <c r="G402" i="103"/>
  <c r="G403" i="103"/>
  <c r="G404" i="103"/>
  <c r="G405" i="103"/>
  <c r="G406" i="103"/>
  <c r="G407" i="103"/>
  <c r="G408" i="103"/>
  <c r="G409" i="103"/>
  <c r="G410" i="103"/>
  <c r="G411" i="103"/>
  <c r="G412" i="103"/>
  <c r="G413" i="103"/>
  <c r="G414" i="103"/>
  <c r="G415" i="103"/>
  <c r="G416" i="103"/>
  <c r="G417" i="103"/>
  <c r="G418" i="103"/>
  <c r="G419" i="103"/>
  <c r="G420" i="103"/>
  <c r="G421" i="103"/>
  <c r="G422" i="103"/>
  <c r="G423" i="103"/>
  <c r="G424" i="103"/>
  <c r="G425" i="103"/>
  <c r="G426" i="103"/>
  <c r="G427" i="103"/>
  <c r="G428" i="103"/>
  <c r="G429" i="103"/>
  <c r="G430" i="103"/>
  <c r="G431" i="103"/>
  <c r="G432" i="103"/>
  <c r="G433" i="103"/>
  <c r="G434" i="103"/>
  <c r="G435" i="103"/>
  <c r="G436" i="103"/>
  <c r="G437" i="103"/>
  <c r="G438" i="103"/>
  <c r="G439" i="103"/>
  <c r="G440" i="103"/>
  <c r="G441" i="103"/>
  <c r="G442" i="103"/>
  <c r="G443" i="103"/>
  <c r="G444" i="103"/>
  <c r="G445" i="103"/>
  <c r="G446" i="103"/>
  <c r="G447" i="103"/>
  <c r="G448" i="103"/>
  <c r="G449" i="103"/>
  <c r="G450" i="103"/>
  <c r="G451" i="103"/>
  <c r="G452" i="103"/>
  <c r="G453" i="103"/>
  <c r="G454" i="103"/>
  <c r="G455" i="103"/>
  <c r="G456" i="103"/>
  <c r="G457" i="103"/>
  <c r="G458" i="103"/>
  <c r="G459" i="103"/>
  <c r="G460" i="103"/>
  <c r="G461" i="103"/>
  <c r="G462" i="103"/>
  <c r="G463" i="103"/>
  <c r="G464" i="103"/>
  <c r="G465" i="103"/>
  <c r="G466" i="103"/>
  <c r="G467" i="103"/>
  <c r="G468" i="103"/>
  <c r="G469" i="103"/>
  <c r="G470" i="103"/>
  <c r="G471" i="103"/>
  <c r="G472" i="103"/>
  <c r="G473" i="103"/>
  <c r="G474" i="103"/>
  <c r="G475" i="103"/>
  <c r="G476" i="103"/>
  <c r="G477" i="103"/>
  <c r="G478" i="103"/>
  <c r="G479" i="103"/>
  <c r="G480" i="103"/>
  <c r="G481" i="103"/>
  <c r="G482" i="103"/>
  <c r="G483" i="103"/>
  <c r="G484" i="103"/>
  <c r="G485" i="103"/>
  <c r="G486" i="103"/>
  <c r="G487" i="103"/>
  <c r="G488" i="103"/>
  <c r="G489" i="103"/>
  <c r="G490" i="103"/>
  <c r="G491" i="103"/>
  <c r="G492" i="103"/>
  <c r="G493" i="103"/>
  <c r="G494" i="103"/>
  <c r="G495" i="103"/>
  <c r="G496" i="103"/>
  <c r="G497" i="103"/>
  <c r="G498" i="103"/>
  <c r="G499" i="103"/>
  <c r="G500" i="103"/>
  <c r="G501" i="103"/>
  <c r="G502" i="103"/>
  <c r="G503" i="103"/>
  <c r="G504" i="103"/>
  <c r="G505" i="103"/>
  <c r="G506" i="103"/>
  <c r="G507" i="103"/>
  <c r="G508" i="103"/>
  <c r="G509" i="103"/>
  <c r="G510" i="103"/>
  <c r="G511" i="103"/>
  <c r="G512" i="103"/>
  <c r="G513" i="103"/>
  <c r="G514" i="103"/>
  <c r="G515" i="103"/>
  <c r="G516" i="103"/>
  <c r="G517" i="103"/>
  <c r="G518" i="103"/>
  <c r="G519" i="103"/>
  <c r="G520" i="103"/>
  <c r="G521" i="103"/>
  <c r="G522" i="103"/>
  <c r="G523" i="103"/>
  <c r="G524" i="103"/>
  <c r="G525" i="103"/>
  <c r="G526" i="103"/>
  <c r="G527" i="103"/>
  <c r="G528" i="103"/>
  <c r="G529" i="103"/>
  <c r="G530" i="103"/>
  <c r="G531" i="103"/>
  <c r="G532" i="103"/>
  <c r="G533" i="103"/>
  <c r="G534" i="103"/>
  <c r="G535" i="103"/>
  <c r="G536" i="103"/>
  <c r="G537" i="103"/>
  <c r="G538" i="103"/>
  <c r="G539" i="103"/>
  <c r="G540" i="103"/>
  <c r="G541" i="103"/>
  <c r="G542" i="103"/>
  <c r="G543" i="103"/>
  <c r="G544" i="103"/>
  <c r="G545" i="103"/>
  <c r="G546" i="103"/>
  <c r="G547" i="103"/>
  <c r="G548" i="103"/>
  <c r="G549" i="103"/>
  <c r="G550" i="103"/>
  <c r="G551" i="103"/>
  <c r="G552" i="103"/>
  <c r="G553" i="103"/>
  <c r="G554" i="103"/>
  <c r="G555" i="103"/>
  <c r="G556" i="103"/>
  <c r="G557" i="103"/>
  <c r="G558" i="103"/>
  <c r="G559" i="103"/>
  <c r="G560" i="103"/>
  <c r="G561" i="103"/>
  <c r="G562" i="103"/>
  <c r="G563" i="103"/>
  <c r="G564" i="103"/>
  <c r="G565" i="103"/>
  <c r="G566" i="103"/>
  <c r="G567" i="103"/>
  <c r="G568" i="103"/>
  <c r="G569" i="103"/>
  <c r="G570" i="103"/>
  <c r="G571" i="103"/>
  <c r="G572" i="103"/>
  <c r="G573" i="103"/>
  <c r="G574" i="103"/>
  <c r="G575" i="103"/>
  <c r="G576" i="103"/>
  <c r="G577" i="103"/>
  <c r="G578" i="103"/>
  <c r="G579" i="103"/>
  <c r="G580" i="103"/>
  <c r="G581" i="103"/>
  <c r="G582" i="103"/>
  <c r="G583" i="103"/>
  <c r="G584" i="103"/>
  <c r="G585" i="103"/>
  <c r="G586" i="103"/>
  <c r="G587" i="103"/>
  <c r="G588" i="103"/>
  <c r="G589" i="103"/>
  <c r="G590" i="103"/>
  <c r="G591" i="103"/>
  <c r="G592" i="103"/>
  <c r="G593" i="103"/>
  <c r="G594" i="103"/>
  <c r="G595" i="103"/>
  <c r="G596" i="103"/>
  <c r="G597" i="103"/>
  <c r="G598" i="103"/>
  <c r="G599" i="103"/>
  <c r="G600" i="103"/>
  <c r="G601" i="103"/>
  <c r="G602" i="103"/>
  <c r="G603" i="103"/>
  <c r="G604" i="103"/>
  <c r="G605" i="103"/>
  <c r="G606" i="103"/>
  <c r="G607" i="103"/>
  <c r="G608" i="103"/>
  <c r="G609" i="103"/>
  <c r="G610" i="103"/>
  <c r="G611" i="103"/>
  <c r="G612" i="103"/>
  <c r="G613" i="103"/>
  <c r="G614" i="103"/>
  <c r="G615" i="103"/>
  <c r="G616" i="103"/>
  <c r="G617" i="103"/>
  <c r="G618" i="103"/>
  <c r="G619" i="103"/>
  <c r="G620" i="103"/>
  <c r="G621" i="103"/>
  <c r="G622" i="103"/>
  <c r="G623" i="103"/>
  <c r="G624" i="103"/>
  <c r="G625" i="103"/>
  <c r="G626" i="103"/>
  <c r="G627" i="103"/>
  <c r="G628" i="103"/>
  <c r="G629" i="103"/>
  <c r="G630" i="103"/>
  <c r="G631" i="103"/>
  <c r="G632" i="103"/>
  <c r="G633" i="103"/>
  <c r="G634" i="103"/>
  <c r="G635" i="103"/>
  <c r="G636" i="103"/>
  <c r="G637" i="103"/>
  <c r="G638" i="103"/>
  <c r="G639" i="103"/>
  <c r="G640" i="103"/>
  <c r="G641" i="103"/>
  <c r="G642" i="103"/>
  <c r="G643" i="103"/>
  <c r="G644" i="103"/>
  <c r="G645" i="103"/>
  <c r="G646" i="103"/>
  <c r="G647" i="103"/>
  <c r="G648" i="103"/>
  <c r="G649" i="103"/>
  <c r="G650" i="103"/>
  <c r="G651" i="103"/>
  <c r="G652" i="103"/>
  <c r="G653" i="103"/>
  <c r="G654" i="103"/>
  <c r="G655" i="103"/>
  <c r="G656" i="103"/>
  <c r="G657" i="103"/>
  <c r="G658" i="103"/>
  <c r="G659" i="103"/>
  <c r="G660" i="103"/>
  <c r="G661" i="103"/>
  <c r="G662" i="103"/>
  <c r="G663" i="103"/>
  <c r="G664" i="103"/>
  <c r="G665" i="103"/>
  <c r="G666" i="103"/>
  <c r="G667" i="103"/>
  <c r="G668" i="103"/>
  <c r="G669" i="103"/>
  <c r="G670" i="103"/>
  <c r="G671" i="103"/>
  <c r="G672" i="103"/>
  <c r="G673" i="103"/>
  <c r="G674" i="103"/>
  <c r="G675" i="103"/>
  <c r="G676" i="103"/>
  <c r="G677" i="103"/>
  <c r="G678" i="103"/>
  <c r="G679" i="103"/>
  <c r="G680" i="103"/>
  <c r="G681" i="103"/>
  <c r="G682" i="103"/>
  <c r="G683" i="103"/>
  <c r="G684" i="103"/>
  <c r="G685" i="103"/>
  <c r="G686" i="103"/>
  <c r="G687" i="103"/>
  <c r="G688" i="103"/>
  <c r="G689" i="103"/>
  <c r="G690" i="103"/>
  <c r="G691" i="103"/>
  <c r="G692" i="103"/>
  <c r="G693" i="103"/>
  <c r="G694" i="103"/>
  <c r="G695" i="103"/>
  <c r="G696" i="103"/>
  <c r="G697" i="103"/>
  <c r="G698" i="103"/>
  <c r="G699" i="103"/>
  <c r="G700" i="103"/>
  <c r="G701" i="103"/>
  <c r="G702" i="103"/>
  <c r="G703" i="103"/>
  <c r="G704" i="103"/>
  <c r="G705" i="103"/>
  <c r="G706" i="103"/>
  <c r="G707" i="103"/>
  <c r="G708" i="103"/>
  <c r="G709" i="103"/>
  <c r="G710" i="103"/>
  <c r="G711" i="103"/>
  <c r="G712" i="103"/>
  <c r="G713" i="103"/>
  <c r="G714" i="103"/>
  <c r="G715" i="103"/>
  <c r="G716" i="103"/>
  <c r="G717" i="103"/>
  <c r="G718" i="103"/>
  <c r="G719" i="103"/>
  <c r="G720" i="103"/>
  <c r="G721" i="103"/>
  <c r="G722" i="103"/>
  <c r="G723" i="103"/>
  <c r="G724" i="103"/>
  <c r="G725" i="103"/>
  <c r="G726" i="103"/>
  <c r="G727" i="103"/>
  <c r="G728" i="103"/>
  <c r="G729" i="103"/>
  <c r="G730" i="103"/>
  <c r="G731" i="103"/>
  <c r="G732" i="103"/>
  <c r="G733" i="103"/>
  <c r="G734" i="103"/>
  <c r="G735" i="103"/>
  <c r="G736" i="103"/>
  <c r="G737" i="103"/>
  <c r="G738" i="103"/>
  <c r="G739" i="103"/>
  <c r="G740" i="103"/>
  <c r="G741" i="103"/>
  <c r="G742" i="103"/>
  <c r="G743" i="103"/>
  <c r="G744" i="103"/>
  <c r="G745" i="103"/>
  <c r="G746" i="103"/>
  <c r="G747" i="103"/>
  <c r="G748" i="103"/>
  <c r="G749" i="103"/>
  <c r="G750" i="103"/>
  <c r="G751" i="103"/>
  <c r="G752" i="103"/>
  <c r="G753" i="103"/>
  <c r="G754" i="103"/>
  <c r="G755" i="103"/>
  <c r="G756" i="103"/>
  <c r="G757" i="103"/>
  <c r="G758" i="103"/>
  <c r="G759" i="103"/>
  <c r="G760" i="103"/>
  <c r="G761" i="103"/>
  <c r="G762" i="103"/>
  <c r="G763" i="103"/>
  <c r="G764" i="103"/>
  <c r="G765" i="103"/>
  <c r="G766" i="103"/>
  <c r="G767" i="103"/>
  <c r="G768" i="103"/>
  <c r="G769" i="103"/>
  <c r="G770" i="103"/>
  <c r="G771" i="103"/>
  <c r="G772" i="103"/>
  <c r="G773" i="103"/>
  <c r="G774" i="103"/>
  <c r="G775" i="103"/>
  <c r="G776" i="103"/>
  <c r="G777" i="103"/>
  <c r="G778" i="103"/>
  <c r="G779" i="103"/>
  <c r="G780" i="103"/>
  <c r="G781" i="103"/>
  <c r="G782" i="103"/>
  <c r="G783" i="103"/>
  <c r="G784" i="103"/>
  <c r="G785" i="103"/>
  <c r="G786" i="103"/>
  <c r="G787" i="103"/>
  <c r="G788" i="103"/>
  <c r="G789" i="103"/>
  <c r="G790" i="103"/>
  <c r="G791" i="103"/>
  <c r="G792" i="103"/>
  <c r="G793" i="103"/>
  <c r="G794" i="103"/>
  <c r="G795" i="103"/>
  <c r="G796" i="103"/>
  <c r="G797" i="103"/>
  <c r="G798" i="103"/>
  <c r="G799" i="103"/>
  <c r="G800" i="103"/>
  <c r="G801" i="103"/>
  <c r="G802" i="103"/>
  <c r="G803" i="103"/>
  <c r="G804" i="103"/>
  <c r="G805" i="103"/>
  <c r="G806" i="103"/>
  <c r="G807" i="103"/>
  <c r="G808" i="103"/>
  <c r="G809" i="103"/>
  <c r="G810" i="103"/>
  <c r="G811" i="103"/>
  <c r="G812" i="103"/>
  <c r="G813" i="103"/>
  <c r="G814" i="103"/>
  <c r="G815" i="103"/>
  <c r="G816" i="103"/>
  <c r="G817" i="103"/>
  <c r="G818" i="103"/>
  <c r="G819" i="103"/>
  <c r="G820" i="103"/>
  <c r="G821" i="103"/>
  <c r="G822" i="103"/>
  <c r="G823" i="103"/>
  <c r="G824" i="103"/>
  <c r="G825" i="103"/>
  <c r="G826" i="103"/>
  <c r="G827" i="103"/>
  <c r="G828" i="103"/>
  <c r="G829" i="103"/>
  <c r="G830" i="103"/>
  <c r="G831" i="103"/>
  <c r="G832" i="103"/>
  <c r="G833" i="103"/>
  <c r="G834" i="103"/>
  <c r="G835" i="103"/>
  <c r="G836" i="103"/>
  <c r="G837" i="103"/>
  <c r="G838" i="103"/>
  <c r="G839" i="103"/>
  <c r="G840" i="103"/>
  <c r="G841" i="103"/>
  <c r="G842" i="103"/>
  <c r="G843" i="103"/>
  <c r="G844" i="103"/>
  <c r="G845" i="103"/>
  <c r="G846" i="103"/>
  <c r="G847" i="103"/>
  <c r="G848" i="103"/>
  <c r="G849" i="103"/>
  <c r="G850" i="103"/>
  <c r="G851" i="103"/>
  <c r="G852" i="103"/>
  <c r="G853" i="103"/>
  <c r="G854" i="103"/>
  <c r="G855" i="103"/>
  <c r="G856" i="103"/>
  <c r="G857" i="103"/>
  <c r="G858" i="103"/>
  <c r="G859" i="103"/>
  <c r="G860" i="103"/>
  <c r="G861" i="103"/>
  <c r="G862" i="103"/>
  <c r="G863" i="103"/>
  <c r="G864" i="103"/>
  <c r="G865" i="103"/>
  <c r="G866" i="103"/>
  <c r="G867" i="103"/>
  <c r="G868" i="103"/>
  <c r="G869" i="103"/>
  <c r="G870" i="103"/>
  <c r="G871" i="103"/>
  <c r="G872" i="103"/>
  <c r="G873" i="103"/>
  <c r="G874" i="103"/>
  <c r="G875" i="103"/>
  <c r="G876" i="103"/>
  <c r="G877" i="103"/>
  <c r="G878" i="103"/>
  <c r="G879" i="103"/>
  <c r="G880" i="103"/>
  <c r="G881" i="103"/>
  <c r="G882" i="103"/>
  <c r="G883" i="103"/>
  <c r="G884" i="103"/>
  <c r="G885" i="103"/>
  <c r="G886" i="103"/>
  <c r="G887" i="103"/>
  <c r="G888" i="103"/>
  <c r="G889" i="103"/>
  <c r="G890" i="103"/>
  <c r="G891" i="103"/>
  <c r="G892" i="103"/>
  <c r="G893" i="103"/>
  <c r="G894" i="103"/>
  <c r="G895" i="103"/>
  <c r="G896" i="103"/>
  <c r="G897" i="103"/>
  <c r="G898" i="103"/>
  <c r="G899" i="103"/>
  <c r="G900" i="103"/>
  <c r="G901" i="103"/>
  <c r="G902" i="103"/>
  <c r="G903" i="103"/>
  <c r="G904" i="103"/>
  <c r="G905" i="103"/>
  <c r="G906" i="103"/>
  <c r="G907" i="103"/>
  <c r="G908" i="103"/>
  <c r="G909" i="103"/>
  <c r="G910" i="103"/>
  <c r="G911" i="103"/>
  <c r="G912" i="103"/>
  <c r="G913" i="103"/>
  <c r="G914" i="103"/>
  <c r="G915" i="103"/>
  <c r="G916" i="103"/>
  <c r="G917" i="103"/>
  <c r="G918" i="103"/>
  <c r="G919" i="103"/>
  <c r="G920" i="103"/>
  <c r="G921" i="103"/>
  <c r="G922" i="103"/>
  <c r="G923" i="103"/>
  <c r="G924" i="103"/>
  <c r="G925" i="103"/>
  <c r="G926" i="103"/>
  <c r="G927" i="103"/>
  <c r="G928" i="103"/>
  <c r="G929" i="103"/>
  <c r="G930" i="103"/>
  <c r="G931" i="103"/>
  <c r="G932" i="103"/>
  <c r="G933" i="103"/>
  <c r="G934" i="103"/>
  <c r="G935" i="103"/>
  <c r="G936" i="103"/>
  <c r="G937" i="103"/>
  <c r="G938" i="103"/>
  <c r="G939" i="103"/>
  <c r="G940" i="103"/>
  <c r="G941" i="103"/>
  <c r="G942" i="103"/>
  <c r="G943" i="103"/>
  <c r="G944" i="103"/>
  <c r="G945" i="103"/>
  <c r="G946" i="103"/>
  <c r="G947" i="103"/>
  <c r="G948" i="103"/>
  <c r="G949" i="103"/>
  <c r="G950" i="103"/>
  <c r="G951" i="103"/>
  <c r="G952" i="103"/>
  <c r="G953" i="103"/>
  <c r="G954" i="103"/>
  <c r="G955" i="103"/>
  <c r="G956" i="103"/>
  <c r="G957" i="103"/>
  <c r="G958" i="103"/>
  <c r="G959" i="103"/>
  <c r="G960" i="103"/>
  <c r="G961" i="103"/>
  <c r="G962" i="103"/>
  <c r="G963" i="103"/>
  <c r="G964" i="103"/>
  <c r="G965" i="103"/>
  <c r="G966" i="103"/>
  <c r="G967" i="103"/>
  <c r="G968" i="103"/>
  <c r="G969" i="103"/>
  <c r="G970" i="103"/>
  <c r="G971" i="103"/>
  <c r="G972" i="103"/>
  <c r="G973" i="103"/>
  <c r="G974" i="103"/>
  <c r="G975" i="103"/>
  <c r="G976" i="103"/>
  <c r="G977" i="103"/>
  <c r="G978" i="103"/>
  <c r="G979" i="103"/>
  <c r="G980" i="103"/>
  <c r="G981" i="103"/>
  <c r="G982" i="103"/>
  <c r="G983" i="103"/>
  <c r="G984" i="103"/>
  <c r="G985" i="103"/>
  <c r="G986" i="103"/>
  <c r="G987" i="103"/>
  <c r="G988" i="103"/>
  <c r="G989" i="103"/>
  <c r="G990" i="103"/>
  <c r="G991" i="103"/>
  <c r="G992" i="103"/>
  <c r="G993" i="103"/>
  <c r="G994" i="103"/>
  <c r="G995" i="103"/>
  <c r="G996" i="103"/>
  <c r="G997" i="103"/>
  <c r="G998" i="103"/>
  <c r="G999" i="103"/>
  <c r="G1000" i="103"/>
  <c r="G1001" i="103"/>
  <c r="G1002" i="103"/>
  <c r="G1003" i="103"/>
  <c r="G1004" i="103"/>
  <c r="G1005" i="103"/>
  <c r="G1006" i="103"/>
  <c r="G1007" i="103"/>
  <c r="G1008" i="103"/>
  <c r="G1009" i="103"/>
  <c r="G1010" i="103"/>
  <c r="G1011" i="103"/>
  <c r="G1012" i="103"/>
  <c r="G1013" i="103"/>
  <c r="G1014" i="103"/>
  <c r="G1015" i="103"/>
  <c r="G1016" i="103"/>
  <c r="G1017" i="103"/>
  <c r="G1018" i="103"/>
  <c r="G1019" i="103"/>
  <c r="G1020" i="103"/>
  <c r="G1021" i="103"/>
  <c r="G1022" i="103"/>
  <c r="G1023" i="103"/>
  <c r="G1024" i="103"/>
  <c r="G1025" i="103"/>
  <c r="G1026" i="103"/>
  <c r="G1027" i="103"/>
  <c r="G1028" i="103"/>
  <c r="G1029" i="103"/>
  <c r="G1030" i="103"/>
  <c r="G1031" i="103"/>
  <c r="G1032" i="103"/>
  <c r="G1033" i="103"/>
  <c r="G1034" i="103"/>
  <c r="G1035" i="103"/>
  <c r="G1036" i="103"/>
  <c r="G1037" i="103"/>
  <c r="G1038" i="103"/>
  <c r="G1039" i="103"/>
  <c r="G1040" i="103"/>
  <c r="G1041" i="103"/>
  <c r="G1042" i="103"/>
  <c r="G1043" i="103"/>
  <c r="G1044" i="103"/>
  <c r="G1045" i="103"/>
  <c r="G1046" i="103"/>
  <c r="G1047" i="103"/>
  <c r="G1048" i="103"/>
  <c r="G1049" i="103"/>
  <c r="G1050" i="103"/>
  <c r="G1051" i="103"/>
  <c r="G1052" i="103"/>
  <c r="G1053" i="103"/>
  <c r="G1054" i="103"/>
  <c r="G1055" i="103"/>
  <c r="G1056" i="103"/>
  <c r="G1057" i="103"/>
  <c r="G1058" i="103"/>
  <c r="G1059" i="103"/>
  <c r="G1060" i="103"/>
  <c r="G1061" i="103"/>
  <c r="G1062" i="103"/>
  <c r="G1063" i="103"/>
  <c r="G1064" i="103"/>
  <c r="G1065" i="103"/>
  <c r="G1066" i="103"/>
  <c r="G1067" i="103"/>
  <c r="G1068" i="103"/>
  <c r="G1069" i="103"/>
  <c r="G1070" i="103"/>
  <c r="G1071" i="103"/>
  <c r="G1072" i="103"/>
  <c r="G1073" i="103"/>
  <c r="G1074" i="103"/>
  <c r="G1075" i="103"/>
  <c r="G1076" i="103"/>
  <c r="G1077" i="103"/>
  <c r="G1078" i="103"/>
  <c r="G1079" i="103"/>
  <c r="G1080" i="103"/>
  <c r="G1081" i="103"/>
  <c r="G1082" i="103"/>
  <c r="G1083" i="103"/>
  <c r="G1084" i="103"/>
  <c r="G1085" i="103"/>
  <c r="G1086" i="103"/>
  <c r="G1087" i="103"/>
  <c r="G1088" i="103"/>
  <c r="G1089" i="103"/>
  <c r="G1090" i="103"/>
  <c r="G1091" i="103"/>
  <c r="G1092" i="103"/>
  <c r="G1093" i="103"/>
  <c r="G1094" i="103"/>
  <c r="G1095" i="103"/>
  <c r="G1096" i="103"/>
  <c r="G1097" i="103"/>
  <c r="G1098" i="103"/>
  <c r="G1099" i="103"/>
  <c r="G1100" i="103"/>
  <c r="G1101" i="103"/>
  <c r="G1102" i="103"/>
  <c r="G1103" i="103"/>
  <c r="G1104" i="103"/>
  <c r="G1105" i="103"/>
  <c r="G1106" i="103"/>
  <c r="G1107" i="103"/>
  <c r="G1108" i="103"/>
  <c r="G1109" i="103"/>
  <c r="G1110" i="103"/>
  <c r="G1111" i="103"/>
  <c r="G1112" i="103"/>
  <c r="G1113" i="103"/>
  <c r="G1114" i="103"/>
  <c r="G1115" i="103"/>
  <c r="G1116" i="103"/>
  <c r="G1117" i="103"/>
  <c r="G1118" i="103"/>
  <c r="G1119" i="103"/>
  <c r="G1120" i="103"/>
  <c r="G1121" i="103"/>
  <c r="G1122" i="103"/>
  <c r="G1123" i="103"/>
  <c r="G1124" i="103"/>
  <c r="G1125" i="103"/>
  <c r="G1126" i="103"/>
  <c r="G1127" i="103"/>
  <c r="G1128" i="103"/>
  <c r="G1129" i="103"/>
  <c r="G1130" i="103"/>
  <c r="G1131" i="103"/>
  <c r="G1132" i="103"/>
  <c r="G1133" i="103"/>
  <c r="G1134" i="103"/>
  <c r="G1135" i="103"/>
  <c r="G1136" i="103"/>
  <c r="G1137" i="103"/>
  <c r="G1138" i="103"/>
  <c r="G1139" i="103"/>
  <c r="G1140" i="103"/>
  <c r="G1141" i="103"/>
  <c r="G1142" i="103"/>
  <c r="G1143" i="103"/>
  <c r="G1144" i="103"/>
  <c r="G1145" i="103"/>
  <c r="G1146" i="103"/>
  <c r="G1147" i="103"/>
  <c r="G1148" i="103"/>
  <c r="G1149" i="103"/>
  <c r="G1150" i="103"/>
  <c r="G1151" i="103"/>
  <c r="G1152" i="103"/>
  <c r="G1153" i="103"/>
  <c r="G1154" i="103"/>
  <c r="G1155" i="103"/>
  <c r="G1156" i="103"/>
  <c r="G1157" i="103"/>
  <c r="G1158" i="103"/>
  <c r="G1159" i="103"/>
  <c r="G1160" i="103"/>
  <c r="G1161" i="103"/>
  <c r="G1162" i="103"/>
  <c r="G1163" i="103"/>
  <c r="G1164" i="103"/>
  <c r="G1165" i="103"/>
  <c r="G1166" i="103"/>
  <c r="G1167" i="103"/>
  <c r="G1168" i="103"/>
  <c r="G1169" i="103"/>
  <c r="G1170" i="103"/>
  <c r="G1171" i="103"/>
  <c r="G1172" i="103"/>
  <c r="G1173" i="103"/>
  <c r="G1174" i="103"/>
  <c r="G1175" i="103"/>
  <c r="G1176" i="103"/>
  <c r="G1177" i="103"/>
  <c r="G1178" i="103"/>
  <c r="G1179" i="103"/>
  <c r="G1180" i="103"/>
  <c r="G1181" i="103"/>
  <c r="G1182" i="103"/>
  <c r="G1183" i="103"/>
  <c r="G1184" i="103"/>
  <c r="G1185" i="103"/>
  <c r="G1186" i="103"/>
  <c r="G1187" i="103"/>
  <c r="G1188" i="103"/>
  <c r="G1189" i="103"/>
  <c r="G1190" i="103"/>
  <c r="G1191" i="103"/>
  <c r="G1192" i="103"/>
  <c r="G1193" i="103"/>
  <c r="G1194" i="103"/>
  <c r="G1195" i="103"/>
  <c r="G1196" i="103"/>
  <c r="G1197" i="103"/>
  <c r="G1198" i="103"/>
  <c r="G1199" i="103"/>
  <c r="G1200" i="103"/>
  <c r="G1201" i="103"/>
  <c r="G1202" i="103"/>
  <c r="G1203" i="103"/>
  <c r="G1204" i="103"/>
  <c r="G1205" i="103"/>
  <c r="G1206" i="103"/>
  <c r="G1207" i="103"/>
  <c r="G1208" i="103"/>
  <c r="G1209" i="103"/>
  <c r="G1210" i="103"/>
  <c r="G1211" i="103"/>
  <c r="G1212" i="103"/>
  <c r="G1213" i="103"/>
  <c r="G1214" i="103"/>
  <c r="G1215" i="103"/>
  <c r="G1216" i="103"/>
  <c r="G1217" i="103"/>
  <c r="G1218" i="103"/>
  <c r="G1219" i="103"/>
  <c r="G1220" i="103"/>
  <c r="G1221" i="103"/>
  <c r="G1222" i="103"/>
  <c r="G1223" i="103"/>
  <c r="G1224" i="103"/>
  <c r="G1225" i="103"/>
  <c r="G1226" i="103"/>
  <c r="G1227" i="103"/>
  <c r="G1228" i="103"/>
  <c r="G1229" i="103"/>
  <c r="G1230" i="103"/>
  <c r="G1231" i="103"/>
  <c r="G1232" i="103"/>
  <c r="G1233" i="103"/>
  <c r="G1234" i="103"/>
  <c r="G1235" i="103"/>
  <c r="G1236" i="103"/>
  <c r="G1237" i="103"/>
  <c r="G1238" i="103"/>
  <c r="G1239" i="103"/>
  <c r="G1240" i="103"/>
  <c r="G1241" i="103"/>
  <c r="G1242" i="103"/>
  <c r="G1243" i="103"/>
  <c r="G1244" i="103"/>
  <c r="G1245" i="103"/>
  <c r="G1246" i="103"/>
  <c r="G1247" i="103"/>
  <c r="G1248" i="103"/>
  <c r="G1249" i="103"/>
  <c r="G1250" i="103"/>
  <c r="G1251" i="103"/>
  <c r="G1252" i="103"/>
  <c r="G1253" i="103"/>
  <c r="G1254" i="103"/>
  <c r="G1255" i="103"/>
  <c r="G1256" i="103"/>
  <c r="G1257" i="103"/>
  <c r="G1258" i="103"/>
  <c r="G1259" i="103"/>
  <c r="G1260" i="103"/>
  <c r="G1261" i="103"/>
  <c r="G1262" i="103"/>
  <c r="G1263" i="103"/>
  <c r="G1264" i="103"/>
  <c r="G1265" i="103"/>
  <c r="G1266" i="103"/>
  <c r="G1267" i="103"/>
  <c r="G1268" i="103"/>
  <c r="G1269" i="103"/>
  <c r="G1270" i="103"/>
  <c r="G1271" i="103"/>
  <c r="G1272" i="103"/>
  <c r="G1273" i="103"/>
  <c r="G1274" i="103"/>
  <c r="G1275" i="103"/>
  <c r="G1276" i="103"/>
  <c r="G1277" i="103"/>
  <c r="G1278" i="103"/>
  <c r="G1279" i="103"/>
  <c r="G1280" i="103"/>
  <c r="G1281" i="103"/>
  <c r="G1282" i="103"/>
  <c r="G1283" i="103"/>
  <c r="G1284" i="103"/>
  <c r="G1285" i="103"/>
  <c r="G1286" i="103"/>
  <c r="G1287" i="103"/>
  <c r="G1288" i="103"/>
  <c r="G1289" i="103"/>
  <c r="G1290" i="103"/>
  <c r="G1291" i="103"/>
  <c r="G1292" i="103"/>
  <c r="G1293" i="103"/>
  <c r="G1294" i="103"/>
  <c r="G1295" i="103"/>
  <c r="G1296" i="103"/>
  <c r="G1297" i="103"/>
  <c r="G1298" i="103"/>
  <c r="G1299" i="103"/>
  <c r="G1300" i="103"/>
  <c r="G1301" i="103"/>
  <c r="G1302" i="103"/>
  <c r="G1303" i="103"/>
  <c r="G1304" i="103"/>
  <c r="G1305" i="103"/>
  <c r="G1306" i="103"/>
  <c r="G1307" i="103"/>
  <c r="G1308" i="103"/>
  <c r="G1309" i="103"/>
  <c r="G1310" i="103"/>
  <c r="G1311" i="103"/>
  <c r="G1312" i="103"/>
  <c r="G1313" i="103"/>
  <c r="G1314" i="103"/>
  <c r="G1315" i="103"/>
  <c r="G1316" i="103"/>
  <c r="G1317" i="103"/>
  <c r="G1318" i="103"/>
  <c r="G1319" i="103"/>
  <c r="G1320" i="103"/>
  <c r="G1321" i="103"/>
  <c r="G1322" i="103"/>
  <c r="G1323" i="103"/>
  <c r="G1324" i="103"/>
  <c r="G1325" i="103"/>
  <c r="G1326" i="103"/>
  <c r="G1327" i="103"/>
  <c r="G1328" i="103"/>
  <c r="G1329" i="103"/>
  <c r="G1330" i="103"/>
  <c r="G1331" i="103"/>
  <c r="G1332" i="103"/>
  <c r="G1333" i="103"/>
  <c r="G1334" i="103"/>
  <c r="G1335" i="103"/>
  <c r="G1336" i="103"/>
  <c r="G1337" i="103"/>
  <c r="G1338" i="103"/>
  <c r="G1339" i="103"/>
  <c r="G1340" i="103"/>
  <c r="G1341" i="103"/>
  <c r="G1342" i="103"/>
  <c r="G1343" i="103"/>
  <c r="G1344" i="103"/>
  <c r="G1345" i="103"/>
  <c r="G1346" i="103"/>
  <c r="G1347" i="103"/>
  <c r="G1348" i="103"/>
  <c r="G1349" i="103"/>
  <c r="G1350" i="103"/>
  <c r="G1351" i="103"/>
  <c r="G1352" i="103"/>
  <c r="G1353" i="103"/>
  <c r="G1354" i="103"/>
  <c r="G1355" i="103"/>
  <c r="G1356" i="103"/>
  <c r="G1357" i="103"/>
  <c r="G1358" i="103"/>
  <c r="G1359" i="103"/>
  <c r="G1360" i="103"/>
  <c r="G1361" i="103"/>
  <c r="G1362" i="103"/>
  <c r="G1363" i="103"/>
  <c r="G1364" i="103"/>
  <c r="G1365" i="103"/>
  <c r="G1366" i="103"/>
  <c r="G1367" i="103"/>
  <c r="G1368" i="103"/>
  <c r="G1369" i="103"/>
  <c r="G1370" i="103"/>
  <c r="G1371" i="103"/>
  <c r="G1372" i="103"/>
  <c r="G1373" i="103"/>
  <c r="G1374" i="103"/>
  <c r="G1375" i="103"/>
  <c r="G1376" i="103"/>
  <c r="G1377" i="103"/>
  <c r="G1378" i="103"/>
  <c r="G1379" i="103"/>
  <c r="G1380" i="103"/>
  <c r="G1381" i="103"/>
  <c r="G1382" i="103"/>
  <c r="G1383" i="103"/>
  <c r="G1384" i="103"/>
  <c r="G1385" i="103"/>
  <c r="G1386" i="103"/>
  <c r="G1387" i="103"/>
  <c r="G1388" i="103"/>
  <c r="G1389" i="103"/>
  <c r="G1390" i="103"/>
  <c r="G1391" i="103"/>
  <c r="G1392" i="103"/>
  <c r="G1393" i="103"/>
  <c r="G1394" i="103"/>
  <c r="G1395" i="103"/>
  <c r="G1396" i="103"/>
  <c r="G1397" i="103"/>
  <c r="G1398" i="103"/>
  <c r="G1399" i="103"/>
  <c r="G1400" i="103"/>
  <c r="G1401" i="103"/>
  <c r="G1402" i="103"/>
  <c r="G1403" i="103"/>
  <c r="G1404" i="103"/>
  <c r="G1405" i="103"/>
  <c r="G1406" i="103"/>
  <c r="G1407" i="103"/>
  <c r="G1408" i="103"/>
  <c r="G1409" i="103"/>
  <c r="G1410" i="103"/>
  <c r="G1411" i="103"/>
  <c r="G1412" i="103"/>
  <c r="G1413" i="103"/>
  <c r="G1414" i="103"/>
  <c r="G1415" i="103"/>
  <c r="G1416" i="103"/>
  <c r="G1417" i="103"/>
  <c r="G1418" i="103"/>
  <c r="G1419" i="103"/>
  <c r="G1420" i="103"/>
  <c r="G1421" i="103"/>
  <c r="G1422" i="103"/>
  <c r="G1423" i="103"/>
  <c r="G1424" i="103"/>
  <c r="G1425" i="103"/>
  <c r="G1426" i="103"/>
  <c r="G1427" i="103"/>
  <c r="G1428" i="103"/>
  <c r="G1429" i="103"/>
  <c r="G1430" i="103"/>
  <c r="G1431" i="103"/>
  <c r="G1432" i="103"/>
  <c r="G1433" i="103"/>
  <c r="G1434" i="103"/>
  <c r="G1435" i="103"/>
  <c r="G1436" i="103"/>
  <c r="G1437" i="103"/>
  <c r="G1438" i="103"/>
  <c r="G1439" i="103"/>
  <c r="G1440" i="103"/>
  <c r="G1441" i="103"/>
  <c r="G1442" i="103"/>
  <c r="G1443" i="103"/>
  <c r="G1444" i="103"/>
  <c r="G1445" i="103"/>
  <c r="G1446" i="103"/>
  <c r="G1447" i="103"/>
  <c r="G1448" i="103"/>
  <c r="G1449" i="103"/>
  <c r="G1450" i="103"/>
  <c r="G1451" i="103"/>
  <c r="G1452" i="103"/>
  <c r="G1453" i="103"/>
  <c r="G1454" i="103"/>
  <c r="G1455" i="103"/>
  <c r="G1456" i="103"/>
  <c r="G1457" i="103"/>
  <c r="G1458" i="103"/>
  <c r="G1459" i="103"/>
  <c r="G1460" i="103"/>
  <c r="G1461" i="103"/>
  <c r="G1462" i="103"/>
  <c r="G1463" i="103"/>
  <c r="G1464" i="103"/>
  <c r="G1465" i="103"/>
  <c r="G1466" i="103"/>
  <c r="G1467" i="103"/>
  <c r="G1468" i="103"/>
  <c r="G1469" i="103"/>
  <c r="G1470" i="103"/>
  <c r="G1471" i="103"/>
  <c r="G1472" i="103"/>
  <c r="G1473" i="103"/>
  <c r="G1474" i="103"/>
  <c r="G1475" i="103"/>
  <c r="G1476" i="103"/>
  <c r="G1477" i="103"/>
  <c r="G1478" i="103"/>
  <c r="G1479" i="103"/>
  <c r="G1480" i="103"/>
  <c r="G1481" i="103"/>
  <c r="G1482" i="103"/>
  <c r="G1483" i="103"/>
  <c r="G1484" i="103"/>
  <c r="G1485" i="103"/>
  <c r="G1486" i="103"/>
  <c r="G1487" i="103"/>
  <c r="G1488" i="103"/>
  <c r="G1489" i="103"/>
  <c r="G1490" i="103"/>
  <c r="G1491" i="103"/>
  <c r="G1492" i="103"/>
  <c r="G1493" i="103"/>
  <c r="G1494" i="103"/>
  <c r="G1495" i="103"/>
  <c r="G1496" i="103"/>
  <c r="G1497" i="103"/>
  <c r="G1498" i="103"/>
  <c r="G1499" i="103"/>
  <c r="G1500" i="103"/>
  <c r="G1501" i="103"/>
  <c r="G1502" i="103"/>
  <c r="G1503" i="103"/>
  <c r="G1504" i="103"/>
  <c r="G1505" i="103"/>
  <c r="G1506" i="103"/>
  <c r="G1507" i="103"/>
  <c r="G1508" i="103"/>
  <c r="G1509" i="103"/>
  <c r="G1510" i="103"/>
  <c r="G1511" i="103"/>
  <c r="G1512" i="103"/>
  <c r="G1513" i="103"/>
  <c r="G1514" i="103"/>
  <c r="G1515" i="103"/>
  <c r="G1516" i="103"/>
  <c r="G1517" i="103"/>
  <c r="G1518" i="103"/>
  <c r="G1519" i="103"/>
  <c r="G1520" i="103"/>
  <c r="G1521" i="103"/>
  <c r="G1522" i="103"/>
  <c r="G1523" i="103"/>
  <c r="G1524" i="103"/>
  <c r="G1525" i="103"/>
  <c r="G1526" i="103"/>
  <c r="G1527" i="103"/>
  <c r="G1528" i="103"/>
  <c r="G1529" i="103"/>
  <c r="G1530" i="103"/>
  <c r="G1531" i="103"/>
  <c r="G1532" i="103"/>
  <c r="G1533" i="103"/>
  <c r="G1534" i="103"/>
  <c r="G1535" i="103"/>
  <c r="G1536" i="103"/>
  <c r="G1537" i="103"/>
  <c r="G1538" i="103"/>
  <c r="G1539" i="103"/>
  <c r="G1540" i="103"/>
  <c r="G1541" i="103"/>
  <c r="G1542" i="103"/>
  <c r="G1543" i="103"/>
  <c r="G1544" i="103"/>
  <c r="G1545" i="103"/>
  <c r="G1546" i="103"/>
  <c r="G1547" i="103"/>
  <c r="G1548" i="103"/>
  <c r="G1549" i="103"/>
  <c r="G1550" i="103"/>
  <c r="G1551" i="103"/>
  <c r="G1552" i="103"/>
  <c r="G1553" i="103"/>
  <c r="G1554" i="103"/>
  <c r="G1555" i="103"/>
  <c r="G1556" i="103"/>
  <c r="G1557" i="103"/>
  <c r="G1558" i="103"/>
  <c r="G1559" i="103"/>
  <c r="G1560" i="103"/>
  <c r="G1561" i="103"/>
  <c r="G1562" i="103"/>
  <c r="G1563" i="103"/>
  <c r="G1564" i="103"/>
  <c r="G1565" i="103"/>
  <c r="G1566" i="103"/>
  <c r="G1567" i="103"/>
  <c r="G1568" i="103"/>
  <c r="G1569" i="103"/>
  <c r="G1570" i="103"/>
  <c r="G1571" i="103"/>
  <c r="G1572" i="103"/>
  <c r="G1573" i="103"/>
  <c r="G1574" i="103"/>
  <c r="G1575" i="103"/>
  <c r="G1576" i="103"/>
  <c r="G1577" i="103"/>
  <c r="G1578" i="103"/>
  <c r="G1579" i="103"/>
  <c r="G1580" i="103"/>
  <c r="G1581" i="103"/>
  <c r="G1582" i="103"/>
  <c r="G1583" i="103"/>
  <c r="G1584" i="103"/>
  <c r="G1585" i="103"/>
  <c r="G1586" i="103"/>
  <c r="G1587" i="103"/>
  <c r="G1588" i="103"/>
  <c r="G1589" i="103"/>
  <c r="G1590" i="103"/>
  <c r="G1591" i="103"/>
  <c r="G1592" i="103"/>
  <c r="G1593" i="103"/>
  <c r="G1594" i="103"/>
  <c r="G1595" i="103"/>
  <c r="G1596" i="103"/>
  <c r="G1597" i="103"/>
  <c r="G1598" i="103"/>
  <c r="G1599" i="103"/>
  <c r="G1600" i="103"/>
  <c r="G1601" i="103"/>
  <c r="G1602" i="103"/>
  <c r="G1603" i="103"/>
  <c r="G1604" i="103"/>
  <c r="G1605" i="103"/>
  <c r="G1606" i="103"/>
  <c r="G1607" i="103"/>
  <c r="G1608" i="103"/>
  <c r="G1609" i="103"/>
  <c r="G1610" i="103"/>
  <c r="G1611" i="103"/>
  <c r="G1612" i="103"/>
  <c r="G1613" i="103"/>
  <c r="G1614" i="103"/>
  <c r="G1615" i="103"/>
  <c r="G1616" i="103"/>
  <c r="G1617" i="103"/>
  <c r="G1618" i="103"/>
  <c r="G1619" i="103"/>
  <c r="G1620" i="103"/>
  <c r="G1621" i="103"/>
  <c r="G1622" i="103"/>
  <c r="G1623" i="103"/>
  <c r="G1624" i="103"/>
  <c r="G1625" i="103"/>
  <c r="G1626" i="103"/>
  <c r="G1627" i="103"/>
  <c r="G1628" i="103"/>
  <c r="G1629" i="103"/>
  <c r="G1630" i="103"/>
  <c r="G1631" i="103"/>
  <c r="G1632" i="103"/>
  <c r="G1633" i="103"/>
  <c r="G1634" i="103"/>
  <c r="G1635" i="103"/>
  <c r="G1636" i="103"/>
  <c r="G1637" i="103"/>
  <c r="G1638" i="103"/>
  <c r="G1639" i="103"/>
  <c r="G1640" i="103"/>
  <c r="G1641" i="103"/>
  <c r="G1642" i="103"/>
  <c r="G1643" i="103"/>
  <c r="G1644" i="103"/>
  <c r="G1645" i="103"/>
  <c r="G1646" i="103"/>
  <c r="G1647" i="103"/>
  <c r="G1648" i="103"/>
  <c r="G1649" i="103"/>
  <c r="G1650" i="103"/>
  <c r="G1651" i="103"/>
  <c r="G1652" i="103"/>
  <c r="G1653" i="103"/>
  <c r="G1654" i="103"/>
  <c r="G1655" i="103"/>
  <c r="G1656" i="103"/>
  <c r="G1657" i="103"/>
  <c r="G1658" i="103"/>
  <c r="G1659" i="103"/>
  <c r="G1660" i="103"/>
  <c r="G1661" i="103"/>
  <c r="G1662" i="103"/>
  <c r="G1663" i="103"/>
  <c r="G1664" i="103"/>
  <c r="G1665" i="103"/>
  <c r="G1666" i="103"/>
  <c r="G1667" i="103"/>
  <c r="G1668" i="103"/>
  <c r="G1669" i="103"/>
  <c r="G1670" i="103"/>
  <c r="G1671" i="103"/>
  <c r="G1672" i="103"/>
  <c r="G1673" i="103"/>
  <c r="G1674" i="103"/>
  <c r="G1675" i="103"/>
  <c r="G1676" i="103"/>
  <c r="G1677" i="103"/>
  <c r="G1678" i="103"/>
  <c r="G1679" i="103"/>
  <c r="G1680" i="103"/>
  <c r="G1681" i="103"/>
  <c r="G1682" i="103"/>
  <c r="G1683" i="103"/>
  <c r="G1684" i="103"/>
  <c r="G1685" i="103"/>
  <c r="G1686" i="103"/>
  <c r="G1687" i="103"/>
  <c r="G1688" i="103"/>
  <c r="G1689" i="103"/>
  <c r="G1690" i="103"/>
  <c r="G1691" i="103"/>
  <c r="G1692" i="103"/>
  <c r="G1693" i="103"/>
  <c r="G1694" i="103"/>
  <c r="G1695" i="103"/>
  <c r="G1696" i="103"/>
  <c r="G1697" i="103"/>
  <c r="G1698" i="103"/>
  <c r="G1699" i="103"/>
  <c r="G1700" i="103"/>
  <c r="G1701" i="103"/>
  <c r="G1702" i="103"/>
  <c r="G1703" i="103"/>
  <c r="G1704" i="103"/>
  <c r="G1705" i="103"/>
  <c r="G1706" i="103"/>
  <c r="G1707" i="103"/>
  <c r="G1708" i="103"/>
  <c r="G1709" i="103"/>
  <c r="G1710" i="103"/>
  <c r="G1711" i="103"/>
  <c r="G1712" i="103"/>
  <c r="G1713" i="103"/>
  <c r="G1714" i="103"/>
  <c r="G1715" i="103"/>
  <c r="G1716" i="103"/>
  <c r="G1717" i="103"/>
  <c r="G1718" i="103"/>
  <c r="G1719" i="103"/>
  <c r="G1720" i="103"/>
  <c r="G1721" i="103"/>
  <c r="G1722" i="103"/>
  <c r="G1723" i="103"/>
  <c r="G1724" i="103"/>
  <c r="G1725" i="103"/>
  <c r="G1726" i="103"/>
  <c r="G1727" i="103"/>
  <c r="G1728" i="103"/>
  <c r="G1729" i="103"/>
  <c r="G1730" i="103"/>
  <c r="G1731" i="103"/>
  <c r="G1732" i="103"/>
  <c r="G1733" i="103"/>
  <c r="G1734" i="103"/>
  <c r="G1735" i="103"/>
  <c r="G1736" i="103"/>
  <c r="G1737" i="103"/>
  <c r="G1738" i="103"/>
  <c r="G1739" i="103"/>
  <c r="G1740" i="103"/>
  <c r="G1741" i="103"/>
  <c r="G1742" i="103"/>
  <c r="G1743" i="103"/>
  <c r="G1744" i="103"/>
  <c r="G1745" i="103"/>
  <c r="G1746" i="103"/>
  <c r="G1747" i="103"/>
  <c r="G1748" i="103"/>
  <c r="G1749" i="103"/>
  <c r="G1750" i="103"/>
  <c r="G1751" i="103"/>
  <c r="G1752" i="103"/>
  <c r="G1753" i="103"/>
  <c r="G1754" i="103"/>
  <c r="G1755" i="103"/>
  <c r="G1756" i="103"/>
  <c r="G1757" i="103"/>
  <c r="G1758" i="103"/>
  <c r="G1759" i="103"/>
  <c r="G1760" i="103"/>
  <c r="G1761" i="103"/>
  <c r="G1762" i="103"/>
  <c r="G1763" i="103"/>
  <c r="G1764" i="103"/>
  <c r="G1765" i="103"/>
  <c r="G1766" i="103"/>
  <c r="G1767" i="103"/>
  <c r="G1768" i="103"/>
  <c r="G1769" i="103"/>
  <c r="G1770" i="103"/>
  <c r="G1771" i="103"/>
  <c r="G1772" i="103"/>
  <c r="G1773" i="103"/>
  <c r="G1774" i="103"/>
  <c r="G1775" i="103"/>
  <c r="G1776" i="103"/>
  <c r="G1777" i="103"/>
  <c r="G1778" i="103"/>
  <c r="G1779" i="103"/>
  <c r="G1780" i="103"/>
  <c r="G1781" i="103"/>
  <c r="G1782" i="103"/>
  <c r="G1783" i="103"/>
  <c r="G1784" i="103"/>
  <c r="G1785" i="103"/>
  <c r="G1786" i="103"/>
  <c r="G1787" i="103"/>
  <c r="G1788" i="103"/>
  <c r="G1789" i="103"/>
  <c r="G1790" i="103"/>
  <c r="G1791" i="103"/>
  <c r="G1792" i="103"/>
  <c r="G1793" i="103"/>
  <c r="G1794" i="103"/>
  <c r="G1795" i="103"/>
  <c r="G1796" i="103"/>
  <c r="G1797" i="103"/>
  <c r="G1798" i="103"/>
  <c r="G1799" i="103"/>
  <c r="G1800" i="103"/>
  <c r="G1801" i="103"/>
  <c r="G1802" i="103"/>
  <c r="G1803" i="103"/>
  <c r="G1804" i="103"/>
  <c r="G1805" i="103"/>
  <c r="G1806" i="103"/>
  <c r="G1807" i="103"/>
  <c r="G1808" i="103"/>
  <c r="G1809" i="103"/>
  <c r="G1810" i="103"/>
  <c r="G1811" i="103"/>
  <c r="G1812" i="103"/>
  <c r="G1813" i="103"/>
  <c r="G1814" i="103"/>
  <c r="G1815" i="103"/>
  <c r="G1816" i="103"/>
  <c r="G1817" i="103"/>
  <c r="G1818" i="103"/>
  <c r="G1819" i="103"/>
  <c r="G1820" i="103"/>
  <c r="G1821" i="103"/>
  <c r="G1822" i="103"/>
  <c r="G1823" i="103"/>
  <c r="G1824" i="103"/>
  <c r="G1825" i="103"/>
  <c r="G1826" i="103"/>
  <c r="G1827" i="103"/>
  <c r="G1828" i="103"/>
  <c r="G1829" i="103"/>
  <c r="G1830" i="103"/>
  <c r="G1831" i="103"/>
  <c r="G1832" i="103"/>
  <c r="G1833" i="103"/>
  <c r="G1834" i="103"/>
  <c r="G1835" i="103"/>
  <c r="G1836" i="103"/>
  <c r="G1837" i="103"/>
  <c r="G1838" i="103"/>
  <c r="G1839" i="103"/>
  <c r="G1840" i="103"/>
  <c r="G1841" i="103"/>
  <c r="G1842" i="103"/>
  <c r="G1843" i="103"/>
  <c r="G1844" i="103"/>
  <c r="G1845" i="103"/>
  <c r="G1846" i="103"/>
  <c r="G1847" i="103"/>
  <c r="G1848" i="103"/>
  <c r="G1849" i="103"/>
  <c r="G1850" i="103"/>
  <c r="G1851" i="103"/>
  <c r="G1852" i="103"/>
  <c r="G1853" i="103"/>
  <c r="G1854" i="103"/>
  <c r="G1855" i="103"/>
  <c r="G1856" i="103"/>
  <c r="G1857" i="103"/>
  <c r="G1858" i="103"/>
  <c r="G1859" i="103"/>
  <c r="G1860" i="103"/>
  <c r="G1861" i="103"/>
  <c r="G1862" i="103"/>
  <c r="G1863" i="103"/>
  <c r="G1864" i="103"/>
  <c r="G1865" i="103"/>
  <c r="G1866" i="103"/>
  <c r="G1867" i="103"/>
  <c r="G1868" i="103"/>
  <c r="G1869" i="103"/>
  <c r="G1870" i="103"/>
  <c r="G1871" i="103"/>
  <c r="G1872" i="103"/>
  <c r="G1873" i="103"/>
  <c r="G1874" i="103"/>
  <c r="G1875" i="103"/>
  <c r="G1876" i="103"/>
  <c r="G1877" i="103"/>
  <c r="G1878" i="103"/>
  <c r="G1879" i="103"/>
  <c r="G1880" i="103"/>
  <c r="G1881" i="103"/>
  <c r="G1882" i="103"/>
  <c r="G1883" i="103"/>
  <c r="G1884" i="103"/>
  <c r="G1885" i="103"/>
  <c r="G1886" i="103"/>
  <c r="G1887" i="103"/>
  <c r="G1888" i="103"/>
  <c r="G1889" i="103"/>
  <c r="G1890" i="103"/>
  <c r="G1891" i="103"/>
  <c r="G1892" i="103"/>
  <c r="G1893" i="103"/>
  <c r="G1894" i="103"/>
  <c r="G1895" i="103"/>
  <c r="G1896" i="103"/>
  <c r="G1897" i="103"/>
  <c r="G1898" i="103"/>
  <c r="G1899" i="103"/>
  <c r="G1900" i="103"/>
  <c r="G1901" i="103"/>
  <c r="G1902" i="103"/>
  <c r="G1903" i="103"/>
  <c r="G1904" i="103"/>
  <c r="G1905" i="103"/>
  <c r="G1906" i="103"/>
  <c r="G1907" i="103"/>
  <c r="G1908" i="103"/>
  <c r="G1909" i="103"/>
  <c r="G1910" i="103"/>
  <c r="G1911" i="103"/>
  <c r="G1912" i="103"/>
  <c r="G1913" i="103"/>
  <c r="G1914" i="103"/>
  <c r="G1915" i="103"/>
  <c r="G1916" i="103"/>
  <c r="G1917" i="103"/>
  <c r="G1918" i="103"/>
  <c r="G1919" i="103"/>
  <c r="G1920" i="103"/>
  <c r="G1921" i="103"/>
  <c r="G1922" i="103"/>
  <c r="G1923" i="103"/>
  <c r="G1924" i="103"/>
  <c r="G1925" i="103"/>
  <c r="G1926" i="103"/>
  <c r="G1927" i="103"/>
  <c r="G1928" i="103"/>
  <c r="G1929" i="103"/>
  <c r="G1930" i="103"/>
  <c r="G1931" i="103"/>
  <c r="G1932" i="103"/>
  <c r="G1933" i="103"/>
  <c r="G1934" i="103"/>
  <c r="G1935" i="103"/>
  <c r="G1936" i="103"/>
  <c r="G1937" i="103"/>
  <c r="G1938" i="103"/>
  <c r="G1939" i="103"/>
  <c r="G1940" i="103"/>
  <c r="G1941" i="103"/>
  <c r="G1942" i="103"/>
  <c r="G1943" i="103"/>
  <c r="G1944" i="103"/>
  <c r="G1945" i="103"/>
  <c r="G1946" i="103"/>
  <c r="G1947" i="103"/>
  <c r="G1948" i="103"/>
  <c r="G1949" i="103"/>
  <c r="G1950" i="103"/>
  <c r="G1951" i="103"/>
  <c r="G1952" i="103"/>
  <c r="G1953" i="103"/>
  <c r="G1954" i="103"/>
  <c r="G1955" i="103"/>
  <c r="G1956" i="103"/>
  <c r="G1957" i="103"/>
  <c r="G1958" i="103"/>
  <c r="G1959" i="103"/>
  <c r="G1960" i="103"/>
  <c r="G1961" i="103"/>
  <c r="G1962" i="103"/>
  <c r="G1963" i="103"/>
  <c r="G1964" i="103"/>
  <c r="G1965" i="103"/>
  <c r="G1966" i="103"/>
  <c r="G1967" i="103"/>
  <c r="G1968" i="103"/>
  <c r="G1969" i="103"/>
  <c r="G1970" i="103"/>
  <c r="G1971" i="103"/>
  <c r="G1972" i="103"/>
  <c r="G1973" i="103"/>
  <c r="G1974" i="103"/>
  <c r="G1975" i="103"/>
  <c r="G1976" i="103"/>
  <c r="G1977" i="103"/>
  <c r="G1978" i="103"/>
  <c r="G1979" i="103"/>
  <c r="G1980" i="103"/>
  <c r="G1981" i="103"/>
  <c r="G1982" i="103"/>
  <c r="G1983" i="103"/>
  <c r="G1984" i="103"/>
  <c r="G1985" i="103"/>
  <c r="G1986" i="103"/>
  <c r="G1987" i="103"/>
  <c r="G1988" i="103"/>
  <c r="G1989" i="103"/>
  <c r="G1990" i="103"/>
  <c r="G1991" i="103"/>
  <c r="G1992" i="103"/>
  <c r="G1993" i="103"/>
  <c r="G1994" i="103"/>
  <c r="G1995" i="103"/>
  <c r="G1996" i="103"/>
  <c r="G1997" i="103"/>
  <c r="G1998" i="103"/>
  <c r="G1999" i="103"/>
  <c r="G2000" i="103"/>
  <c r="G2001" i="103"/>
  <c r="G2002" i="103"/>
  <c r="G2003" i="103"/>
  <c r="G2004" i="103"/>
  <c r="G2005" i="103"/>
  <c r="G2006" i="103"/>
  <c r="G2007" i="103"/>
  <c r="G2008" i="103"/>
  <c r="G2009" i="103"/>
  <c r="G2010" i="103"/>
  <c r="G2011" i="103"/>
  <c r="G2012" i="103"/>
  <c r="G2013" i="103"/>
  <c r="G2014" i="103"/>
  <c r="G2015" i="103"/>
  <c r="G2016" i="103"/>
  <c r="G2017" i="103"/>
  <c r="G2018" i="103"/>
  <c r="G2019" i="103"/>
  <c r="G2020" i="103"/>
  <c r="G2021" i="103"/>
  <c r="G2022" i="103"/>
  <c r="G2023" i="103"/>
  <c r="G2024" i="103"/>
  <c r="G2025" i="103"/>
  <c r="G2026" i="103"/>
  <c r="G2027" i="103"/>
  <c r="G2028" i="103"/>
  <c r="G2029" i="103"/>
  <c r="G2030" i="103"/>
  <c r="G2031" i="103"/>
  <c r="G2032" i="103"/>
  <c r="G2033" i="103"/>
  <c r="G2034" i="103"/>
  <c r="G2035" i="103"/>
  <c r="G2036" i="103"/>
  <c r="G2037" i="103"/>
  <c r="G2038" i="103"/>
  <c r="G2039" i="103"/>
  <c r="G2040" i="103"/>
  <c r="G2041" i="103"/>
  <c r="G2042" i="103"/>
  <c r="G2043" i="103"/>
  <c r="G2044" i="103"/>
  <c r="G2045" i="103"/>
  <c r="G2046" i="103"/>
  <c r="G2047" i="103"/>
  <c r="G2048" i="103"/>
  <c r="G2049" i="103"/>
  <c r="G2050" i="103"/>
  <c r="G2051" i="103"/>
  <c r="G2052" i="103"/>
  <c r="G2053" i="103"/>
  <c r="G2054" i="103"/>
  <c r="G2055" i="103"/>
  <c r="G2056" i="103"/>
  <c r="G2057" i="103"/>
  <c r="G2058" i="103"/>
  <c r="G2059" i="103"/>
  <c r="G2060" i="103"/>
  <c r="G2061" i="103"/>
  <c r="G2062" i="103"/>
  <c r="G2063" i="103"/>
  <c r="G2064" i="103"/>
  <c r="G2065" i="103"/>
  <c r="G2066" i="103"/>
  <c r="G2067" i="103"/>
  <c r="G2068" i="103"/>
  <c r="G2069" i="103"/>
  <c r="G2070" i="103"/>
  <c r="G2071" i="103"/>
  <c r="G2072" i="103"/>
  <c r="G2073" i="103"/>
  <c r="G2074" i="103"/>
  <c r="G2075" i="103"/>
  <c r="G2076" i="103"/>
  <c r="G2077" i="103"/>
  <c r="G2078" i="103"/>
  <c r="G2079" i="103"/>
  <c r="G2080" i="103"/>
  <c r="G2081" i="103"/>
  <c r="G2082" i="103"/>
  <c r="G2083" i="103"/>
  <c r="G2084" i="103"/>
  <c r="G2085" i="103"/>
  <c r="G2086" i="103"/>
  <c r="G2087" i="103"/>
  <c r="G2088" i="103"/>
  <c r="G2089" i="103"/>
  <c r="G2090" i="103"/>
  <c r="G2091" i="103"/>
  <c r="G2092" i="103"/>
  <c r="G2093" i="103"/>
  <c r="G2094" i="103"/>
  <c r="G2095" i="103"/>
  <c r="G2096" i="103"/>
  <c r="G2097" i="103"/>
  <c r="G2098" i="103"/>
  <c r="G2099" i="103"/>
  <c r="G2100" i="103"/>
  <c r="G2101" i="103"/>
  <c r="G2102" i="103"/>
  <c r="G2103" i="103"/>
  <c r="G2104" i="103"/>
  <c r="G2105" i="103"/>
  <c r="G2106" i="103"/>
  <c r="G2107" i="103"/>
  <c r="G2108" i="103"/>
  <c r="G2109" i="103"/>
  <c r="G2110" i="103"/>
  <c r="G2111" i="103"/>
  <c r="G2112" i="103"/>
  <c r="G2113" i="103"/>
  <c r="G2114" i="103"/>
  <c r="G2115" i="103"/>
  <c r="G2116" i="103"/>
  <c r="G2117" i="103"/>
  <c r="G2118" i="103"/>
  <c r="G2119" i="103"/>
  <c r="G2120" i="103"/>
  <c r="G2121" i="103"/>
  <c r="G2122" i="103"/>
  <c r="G2123" i="103"/>
  <c r="G2124" i="103"/>
  <c r="G2125" i="103"/>
  <c r="G2126" i="103"/>
  <c r="G2127" i="103"/>
  <c r="G2128" i="103"/>
  <c r="G2129" i="103"/>
  <c r="G2130" i="103"/>
  <c r="G2131" i="103"/>
  <c r="G2132" i="103"/>
  <c r="G2133" i="103"/>
  <c r="G2134" i="103"/>
  <c r="G2135" i="103"/>
  <c r="G2136" i="103"/>
  <c r="G2137" i="103"/>
  <c r="G2138" i="103"/>
  <c r="G2139" i="103"/>
  <c r="G2140" i="103"/>
  <c r="G2141" i="103"/>
  <c r="G2142" i="103"/>
  <c r="G2143" i="103"/>
  <c r="G2144" i="103"/>
  <c r="G2145" i="103"/>
  <c r="G2146" i="103"/>
  <c r="G2147" i="103"/>
  <c r="G2148" i="103"/>
  <c r="G2149" i="103"/>
  <c r="G2150" i="103"/>
  <c r="G2151" i="103"/>
  <c r="G2152" i="103"/>
  <c r="G2153" i="103"/>
  <c r="G2154" i="103"/>
  <c r="G2155" i="103"/>
  <c r="G2156" i="103"/>
  <c r="G2157" i="103"/>
  <c r="G2158" i="103"/>
  <c r="G2159" i="103"/>
  <c r="G2160" i="103"/>
  <c r="G2161" i="103"/>
  <c r="G2162" i="103"/>
  <c r="G2163" i="103"/>
  <c r="G2164" i="103"/>
  <c r="G2165" i="103"/>
  <c r="G2166" i="103"/>
  <c r="G2167" i="103"/>
  <c r="G2168" i="103"/>
  <c r="G2169" i="103"/>
  <c r="G2170" i="103"/>
  <c r="G2171" i="103"/>
  <c r="G2172" i="103"/>
  <c r="G2173" i="103"/>
  <c r="G2174" i="103"/>
  <c r="G2175" i="103"/>
  <c r="G2176" i="103"/>
  <c r="G2177" i="103"/>
  <c r="G2178" i="103"/>
  <c r="G2179" i="103"/>
  <c r="G2180" i="103"/>
  <c r="G2181" i="103"/>
  <c r="G2182" i="103"/>
  <c r="G2183" i="103"/>
  <c r="G2184" i="103"/>
  <c r="G2185" i="103"/>
  <c r="G2186" i="103"/>
  <c r="G2187" i="103"/>
  <c r="G2188" i="103"/>
  <c r="G2189" i="103"/>
  <c r="G2190" i="103"/>
  <c r="G2191" i="103"/>
  <c r="G2192" i="103"/>
  <c r="G2193" i="103"/>
  <c r="G2194" i="103"/>
  <c r="G2195" i="103"/>
  <c r="G2196" i="103"/>
  <c r="G2197" i="103"/>
  <c r="G2198" i="103"/>
  <c r="G2199" i="103"/>
  <c r="G2200" i="103"/>
  <c r="G2201" i="103"/>
  <c r="G2202" i="103"/>
  <c r="G2203" i="103"/>
  <c r="G2204" i="103"/>
  <c r="G2205" i="103"/>
  <c r="G2206" i="103"/>
  <c r="G2207" i="103"/>
  <c r="G2208" i="103"/>
  <c r="G2209" i="103"/>
  <c r="G2210" i="103"/>
  <c r="G2211" i="103"/>
  <c r="G2212" i="103"/>
  <c r="G2213" i="103"/>
  <c r="G2214" i="103"/>
  <c r="G2215" i="103"/>
  <c r="G2216" i="103"/>
  <c r="G2217" i="103"/>
  <c r="G2218" i="103"/>
  <c r="G2219" i="103"/>
  <c r="G2220" i="103"/>
  <c r="G2221" i="103"/>
  <c r="G2222" i="103"/>
  <c r="G2223" i="103"/>
  <c r="G2224" i="103"/>
  <c r="G2225" i="103"/>
  <c r="G2226" i="103"/>
  <c r="G2227" i="103"/>
  <c r="G2228" i="103"/>
  <c r="G2229" i="103"/>
  <c r="G2230" i="103"/>
  <c r="G2231" i="103"/>
  <c r="G2232" i="103"/>
  <c r="G2233" i="103"/>
  <c r="G2234" i="103"/>
  <c r="G2235" i="103"/>
  <c r="G2236" i="103"/>
  <c r="G2237" i="103"/>
  <c r="G2238" i="103"/>
  <c r="G2239" i="103"/>
  <c r="G2240" i="103"/>
  <c r="G2241" i="103"/>
  <c r="G2242" i="103"/>
  <c r="G2243" i="103"/>
  <c r="G2244" i="103"/>
  <c r="G2245" i="103"/>
  <c r="G2246" i="103"/>
  <c r="G2247" i="103"/>
  <c r="G2248" i="103"/>
  <c r="G2249" i="103"/>
  <c r="G2250" i="103"/>
  <c r="G2251" i="103"/>
  <c r="G2252" i="103"/>
  <c r="G2253" i="103"/>
  <c r="G2254" i="103"/>
  <c r="G2255" i="103"/>
  <c r="G2256" i="103"/>
  <c r="G2257" i="103"/>
  <c r="G2258" i="103"/>
  <c r="G2259" i="103"/>
  <c r="G2260" i="103"/>
  <c r="G2261" i="103"/>
  <c r="G2262" i="103"/>
  <c r="G2263" i="103"/>
  <c r="G2264" i="103"/>
  <c r="G2265" i="103"/>
  <c r="G2266" i="103"/>
  <c r="G2267" i="103"/>
  <c r="G2268" i="103"/>
  <c r="G2269" i="103"/>
  <c r="G2270" i="103"/>
  <c r="G2271" i="103"/>
  <c r="G2272" i="103"/>
  <c r="G2273" i="103"/>
  <c r="G2274" i="103"/>
  <c r="G2275" i="103"/>
  <c r="G2276" i="103"/>
  <c r="G2277" i="103"/>
  <c r="G2278" i="103"/>
  <c r="G2279" i="103"/>
  <c r="G2280" i="103"/>
  <c r="G2281" i="103"/>
  <c r="G2282" i="103"/>
  <c r="G2283" i="103"/>
  <c r="G2284" i="103"/>
  <c r="G2285" i="103"/>
  <c r="G2286" i="103"/>
  <c r="G2287" i="103"/>
  <c r="G2288" i="103"/>
  <c r="G2289" i="103"/>
  <c r="G2290" i="103"/>
  <c r="G2291" i="103"/>
  <c r="G2292" i="103"/>
  <c r="G2293" i="103"/>
  <c r="G2294" i="103"/>
  <c r="G2295" i="103"/>
  <c r="G2296" i="103"/>
  <c r="G2297" i="103"/>
  <c r="G2298" i="103"/>
  <c r="G2299" i="103"/>
  <c r="G2300" i="103"/>
  <c r="G2301" i="103"/>
  <c r="G2302" i="103"/>
  <c r="G2303" i="103"/>
  <c r="G2304" i="103"/>
  <c r="G2305" i="103"/>
  <c r="G2306" i="103"/>
  <c r="G2307" i="103"/>
  <c r="G2308" i="103"/>
  <c r="G2309" i="103"/>
  <c r="G2310" i="103"/>
  <c r="G2311" i="103"/>
  <c r="G2312" i="103"/>
  <c r="G2313" i="103"/>
  <c r="G2314" i="103"/>
  <c r="G2315" i="103"/>
  <c r="G2316" i="103"/>
  <c r="G2317" i="103"/>
  <c r="G2318" i="103"/>
  <c r="G2319" i="103"/>
  <c r="G2320" i="103"/>
  <c r="G2321" i="103"/>
  <c r="G2322" i="103"/>
  <c r="G2323" i="103"/>
  <c r="G2324" i="103"/>
  <c r="G2325" i="103"/>
  <c r="G2326" i="103"/>
  <c r="G2327" i="103"/>
  <c r="G2328" i="103"/>
  <c r="G2329" i="103"/>
  <c r="G2330" i="103"/>
  <c r="G2331" i="103"/>
  <c r="G2332" i="103"/>
  <c r="G2333" i="103"/>
  <c r="G2334" i="103"/>
  <c r="G2335" i="103"/>
  <c r="G2336" i="103"/>
  <c r="G2337" i="103"/>
  <c r="G2338" i="103"/>
  <c r="G2339" i="103"/>
  <c r="G2340" i="103"/>
  <c r="G2341" i="103"/>
  <c r="G2342" i="103"/>
  <c r="G2343" i="103"/>
  <c r="G2344" i="103"/>
  <c r="G2345" i="103"/>
  <c r="G2346" i="103"/>
  <c r="G2347" i="103"/>
  <c r="G2348" i="103"/>
  <c r="G2349" i="103"/>
  <c r="G2350" i="103"/>
  <c r="G2351" i="103"/>
  <c r="G2352" i="103"/>
  <c r="G2353" i="103"/>
  <c r="G2354" i="103"/>
  <c r="G2355" i="103"/>
  <c r="G2356" i="103"/>
  <c r="G2357" i="103"/>
  <c r="G2358" i="103"/>
  <c r="G2359" i="103"/>
  <c r="G2360" i="103"/>
  <c r="G2361" i="103"/>
  <c r="G2362" i="103"/>
  <c r="G2363" i="103"/>
  <c r="G2364" i="103"/>
  <c r="G2365" i="103"/>
  <c r="G2366" i="103"/>
  <c r="G2367" i="103"/>
  <c r="G2368" i="103"/>
  <c r="G2369" i="103"/>
  <c r="G2370" i="103"/>
  <c r="G2371" i="103"/>
  <c r="G2372" i="103"/>
  <c r="G2373" i="103"/>
  <c r="G2374" i="103"/>
  <c r="G2375" i="103"/>
  <c r="G2376" i="103"/>
  <c r="G2377" i="103"/>
  <c r="G2378" i="103"/>
  <c r="G2379" i="103"/>
  <c r="G2380" i="103"/>
  <c r="G2381" i="103"/>
  <c r="G2382" i="103"/>
  <c r="G2383" i="103"/>
  <c r="G2384" i="103"/>
  <c r="G2385" i="103"/>
  <c r="G2386" i="103"/>
  <c r="G2387" i="103"/>
  <c r="G2388" i="103"/>
  <c r="G2389" i="103"/>
  <c r="G2390" i="103"/>
  <c r="G2391" i="103"/>
  <c r="G2392" i="103"/>
  <c r="G2393" i="103"/>
  <c r="G2394" i="103"/>
  <c r="G2395" i="103"/>
  <c r="G2396" i="103"/>
  <c r="G2397" i="103"/>
  <c r="G2398" i="103"/>
  <c r="G2399" i="103"/>
  <c r="G2400" i="103"/>
  <c r="G2401" i="103"/>
  <c r="G2402" i="103"/>
  <c r="G2403" i="103"/>
  <c r="G2404" i="103"/>
  <c r="G2405" i="103"/>
  <c r="G2406" i="103"/>
  <c r="G2407" i="103"/>
  <c r="G2408" i="103"/>
  <c r="G2409" i="103"/>
  <c r="G2410" i="103"/>
  <c r="G2411" i="103"/>
  <c r="G2412" i="103"/>
  <c r="G2413" i="103"/>
  <c r="G2414" i="103"/>
  <c r="G2415" i="103"/>
  <c r="G2416" i="103"/>
  <c r="G2417" i="103"/>
  <c r="G2418" i="103"/>
  <c r="G2419" i="103"/>
  <c r="G2420" i="103"/>
  <c r="G2421" i="103"/>
  <c r="G2422" i="103"/>
  <c r="G2423" i="103"/>
  <c r="G2424" i="103"/>
  <c r="G2425" i="103"/>
  <c r="G2426" i="103"/>
  <c r="G2427" i="103"/>
  <c r="G2428" i="103"/>
  <c r="G2429" i="103"/>
  <c r="G2430" i="103"/>
  <c r="G2431" i="103"/>
  <c r="G2432" i="103"/>
  <c r="G2433" i="103"/>
  <c r="G2434" i="103"/>
  <c r="G2435" i="103"/>
  <c r="G2436" i="103"/>
  <c r="G2437" i="103"/>
  <c r="G2438" i="103"/>
  <c r="G2439" i="103"/>
  <c r="G2440" i="103"/>
  <c r="G2441" i="103"/>
  <c r="G2442" i="103"/>
  <c r="G2443" i="103"/>
  <c r="G2444" i="103"/>
  <c r="G2445" i="103"/>
  <c r="G2446" i="103"/>
  <c r="G2447" i="103"/>
  <c r="G2448" i="103"/>
  <c r="G2449" i="103"/>
  <c r="G2450" i="103"/>
  <c r="G2451" i="103"/>
  <c r="G2452" i="103"/>
  <c r="G2453" i="103"/>
  <c r="G2454" i="103"/>
  <c r="G2455" i="103"/>
  <c r="G2456" i="103"/>
  <c r="G2457" i="103"/>
  <c r="G2458" i="103"/>
  <c r="G2459" i="103"/>
  <c r="G2460" i="103"/>
  <c r="G2461" i="103"/>
  <c r="G2462" i="103"/>
  <c r="G2463" i="103"/>
  <c r="G2464" i="103"/>
  <c r="G2465" i="103"/>
  <c r="G2466" i="103"/>
  <c r="G2467" i="103"/>
  <c r="G2468" i="103"/>
  <c r="G2469" i="103"/>
  <c r="G2470" i="103"/>
  <c r="G2471" i="103"/>
  <c r="G2472" i="103"/>
  <c r="G2473" i="103"/>
  <c r="G2474" i="103"/>
  <c r="G2475" i="103"/>
  <c r="G2476" i="103"/>
  <c r="G2477" i="103"/>
  <c r="G2478" i="103"/>
  <c r="G2479" i="103"/>
  <c r="G2480" i="103"/>
  <c r="G2481" i="103"/>
  <c r="G2482" i="103"/>
  <c r="G2483" i="103"/>
  <c r="G2484" i="103"/>
  <c r="G2485" i="103"/>
  <c r="G2486" i="103"/>
  <c r="G2487" i="103"/>
  <c r="G2488" i="103"/>
  <c r="G2489" i="103"/>
  <c r="G2490" i="103"/>
  <c r="G2491" i="103"/>
  <c r="G2492" i="103"/>
  <c r="G2493" i="103"/>
  <c r="G2494" i="103"/>
  <c r="G2495" i="103"/>
  <c r="G2496" i="103"/>
  <c r="G2497" i="103"/>
  <c r="G2498" i="103"/>
  <c r="G2499" i="103"/>
  <c r="G2500" i="103"/>
  <c r="G2501" i="103"/>
  <c r="G2502" i="103"/>
  <c r="G2503" i="103"/>
  <c r="G2504" i="103"/>
  <c r="G2505" i="103"/>
  <c r="G2506" i="103"/>
  <c r="G2507" i="103"/>
  <c r="G2508" i="103"/>
  <c r="G2509" i="103"/>
  <c r="G2510" i="103"/>
  <c r="G2511" i="103"/>
  <c r="G2512" i="103"/>
  <c r="G2513" i="103"/>
  <c r="G2514" i="103"/>
  <c r="G2515" i="103"/>
  <c r="G2516" i="103"/>
  <c r="G2517" i="103"/>
  <c r="G2518" i="103"/>
  <c r="G2519" i="103"/>
  <c r="G2520" i="103"/>
  <c r="G2521" i="103"/>
  <c r="G2522" i="103"/>
  <c r="G2523" i="103"/>
  <c r="G2524" i="103"/>
  <c r="G2525" i="103"/>
  <c r="G2526" i="103"/>
  <c r="G2527" i="103"/>
  <c r="G2528" i="103"/>
  <c r="G2529" i="103"/>
  <c r="G2530" i="103"/>
  <c r="G2531" i="103"/>
  <c r="G2532" i="103"/>
  <c r="G2533" i="103"/>
  <c r="G2534" i="103"/>
  <c r="G2535" i="103"/>
  <c r="G2536" i="103"/>
  <c r="G2537" i="103"/>
  <c r="G2538" i="103"/>
  <c r="G2539" i="103"/>
  <c r="G2540" i="103"/>
  <c r="G2541" i="103"/>
  <c r="G2542" i="103"/>
  <c r="G2543" i="103"/>
  <c r="G2544" i="103"/>
  <c r="G2545" i="103"/>
  <c r="G2546" i="103"/>
  <c r="G2547" i="103"/>
  <c r="G2548" i="103"/>
  <c r="G2549" i="103"/>
  <c r="G2550" i="103"/>
  <c r="G2551" i="103"/>
  <c r="G2552" i="103"/>
  <c r="G2553" i="103"/>
  <c r="G2554" i="103"/>
  <c r="G2555" i="103"/>
  <c r="G2556" i="103"/>
  <c r="G2557" i="103"/>
  <c r="G2558" i="103"/>
  <c r="G2559" i="103"/>
  <c r="G2560" i="103"/>
  <c r="G2561" i="103"/>
  <c r="G2562" i="103"/>
  <c r="G2563" i="103"/>
  <c r="G2564" i="103"/>
  <c r="G2565" i="103"/>
  <c r="G2566" i="103"/>
  <c r="G2567" i="103"/>
  <c r="G2568" i="103"/>
  <c r="G2569" i="103"/>
  <c r="G2570" i="103"/>
  <c r="G2571" i="103"/>
  <c r="G2572" i="103"/>
  <c r="G2573" i="103"/>
  <c r="G2574" i="103"/>
  <c r="G2575" i="103"/>
  <c r="G2576" i="103"/>
  <c r="G2577" i="103"/>
  <c r="G2578" i="103"/>
  <c r="G2579" i="103"/>
  <c r="G2580" i="103"/>
  <c r="G2581" i="103"/>
  <c r="G2582" i="103"/>
  <c r="G2583" i="103"/>
  <c r="G2584" i="103"/>
  <c r="G2585" i="103"/>
  <c r="G2586" i="103"/>
  <c r="G2587" i="103"/>
  <c r="G2588" i="103"/>
  <c r="G2589" i="103"/>
  <c r="G2590" i="103"/>
  <c r="G2591" i="103"/>
  <c r="G2592" i="103"/>
  <c r="G2593" i="103"/>
  <c r="G2594" i="103"/>
  <c r="G2595" i="103"/>
  <c r="G2596" i="103"/>
  <c r="G2597" i="103"/>
  <c r="G2598" i="103"/>
  <c r="G2599" i="103"/>
  <c r="G2600" i="103"/>
  <c r="G2601" i="103"/>
  <c r="G2602" i="103"/>
  <c r="G2603" i="103"/>
  <c r="G2604" i="103"/>
  <c r="G2605" i="103"/>
  <c r="G2606" i="103"/>
  <c r="G2607" i="103"/>
  <c r="G2608" i="103"/>
  <c r="G2609" i="103"/>
  <c r="G2610" i="103"/>
  <c r="G2611" i="103"/>
  <c r="G2612" i="103"/>
  <c r="G2613" i="103"/>
  <c r="G2614" i="103"/>
  <c r="G2615" i="103"/>
  <c r="G2616" i="103"/>
  <c r="G2617" i="103"/>
  <c r="G2618" i="103"/>
  <c r="G2619" i="103"/>
  <c r="G2620" i="103"/>
  <c r="G2621" i="103"/>
  <c r="G2622" i="103"/>
  <c r="G2623" i="103"/>
  <c r="G2624" i="103"/>
  <c r="G2625" i="103"/>
  <c r="G2626" i="103"/>
  <c r="G2627" i="103"/>
  <c r="G2628" i="103"/>
  <c r="G2629" i="103"/>
  <c r="G2630" i="103"/>
  <c r="G2631" i="103"/>
  <c r="G2632" i="103"/>
  <c r="G2633" i="103"/>
  <c r="G2634" i="103"/>
  <c r="G2635" i="103"/>
  <c r="G2636" i="103"/>
  <c r="G2637" i="103"/>
  <c r="G2638" i="103"/>
  <c r="G2639" i="103"/>
  <c r="G2640" i="103"/>
  <c r="G2641" i="103"/>
  <c r="G2642" i="103"/>
  <c r="G2643" i="103"/>
  <c r="G2644" i="103"/>
  <c r="G2645" i="103"/>
  <c r="G2646" i="103"/>
  <c r="G2647" i="103"/>
  <c r="G2648" i="103"/>
  <c r="G2649" i="103"/>
  <c r="G2650" i="103"/>
  <c r="G2651" i="103"/>
  <c r="G2652" i="103"/>
  <c r="G2653" i="103"/>
  <c r="G2654" i="103"/>
  <c r="G2655" i="103"/>
  <c r="G2656" i="103"/>
  <c r="G2657" i="103"/>
  <c r="G2658" i="103"/>
  <c r="G2659" i="103"/>
  <c r="G2660" i="103"/>
  <c r="G2661" i="103"/>
  <c r="G2662" i="103"/>
  <c r="G2663" i="103"/>
  <c r="G2664" i="103"/>
  <c r="G2665" i="103"/>
  <c r="G2666" i="103"/>
  <c r="G2667" i="103"/>
  <c r="G2668" i="103"/>
  <c r="G2669" i="103"/>
  <c r="G2670" i="103"/>
  <c r="G2671" i="103"/>
  <c r="G2672" i="103"/>
  <c r="G2673" i="103"/>
  <c r="G2674" i="103"/>
  <c r="G2675" i="103"/>
  <c r="G2676" i="103"/>
  <c r="G2677" i="103"/>
  <c r="G2678" i="103"/>
  <c r="G2679" i="103"/>
  <c r="G2680" i="103"/>
  <c r="G2681" i="103"/>
  <c r="G2682" i="103"/>
  <c r="G2683" i="103"/>
  <c r="G2684" i="103"/>
  <c r="G2685" i="103"/>
  <c r="G2686" i="103"/>
  <c r="G2687" i="103"/>
  <c r="G2688" i="103"/>
  <c r="G2689" i="103"/>
  <c r="G2690" i="103"/>
  <c r="G2691" i="103"/>
  <c r="G2692" i="103"/>
  <c r="G2693" i="103"/>
  <c r="G2694" i="103"/>
  <c r="G2695" i="103"/>
  <c r="G2696" i="103"/>
  <c r="G2697" i="103"/>
  <c r="G2698" i="103"/>
  <c r="G2699" i="103"/>
  <c r="G2700" i="103"/>
  <c r="G2701" i="103"/>
  <c r="G2702" i="103"/>
  <c r="G2703" i="103"/>
  <c r="G2704" i="103"/>
  <c r="G2705" i="103"/>
  <c r="G2706" i="103"/>
  <c r="G2707" i="103"/>
  <c r="G2708" i="103"/>
  <c r="G2709" i="103"/>
  <c r="G2710" i="103"/>
  <c r="G2711" i="103"/>
  <c r="G2712" i="103"/>
  <c r="G2713" i="103"/>
  <c r="G2714" i="103"/>
  <c r="G2715" i="103"/>
  <c r="G2716" i="103"/>
  <c r="G2717" i="103"/>
  <c r="G2718" i="103"/>
  <c r="G2719" i="103"/>
  <c r="G2720" i="103"/>
  <c r="G2721" i="103"/>
  <c r="G2722" i="103"/>
  <c r="G2723" i="103"/>
  <c r="G2724" i="103"/>
  <c r="G2725" i="103"/>
  <c r="G2726" i="103"/>
  <c r="G2727" i="103"/>
  <c r="G2728" i="103"/>
  <c r="G2729" i="103"/>
  <c r="G2730" i="103"/>
  <c r="G2731" i="103"/>
  <c r="G2732" i="103"/>
  <c r="G2733" i="103"/>
  <c r="G2734" i="103"/>
  <c r="G2735" i="103"/>
  <c r="G2736" i="103"/>
  <c r="G2737" i="103"/>
  <c r="G2738" i="103"/>
  <c r="G2739" i="103"/>
  <c r="G2740" i="103"/>
  <c r="G2741" i="103"/>
  <c r="G2742" i="103"/>
  <c r="G2743" i="103"/>
  <c r="G2744" i="103"/>
  <c r="G2745" i="103"/>
  <c r="G2746" i="103"/>
  <c r="G2747" i="103"/>
  <c r="G2748" i="103"/>
  <c r="G2749" i="103"/>
  <c r="G2750" i="103"/>
  <c r="G2751" i="103"/>
  <c r="G2752" i="103"/>
  <c r="G2753" i="103"/>
  <c r="G2754" i="103"/>
  <c r="G2755" i="103"/>
  <c r="G2756" i="103"/>
  <c r="G2757" i="103"/>
  <c r="G2758" i="103"/>
  <c r="G2759" i="103"/>
  <c r="G2760" i="103"/>
  <c r="G2761" i="103"/>
  <c r="G2762" i="103"/>
  <c r="G2763" i="103"/>
  <c r="G2764" i="103"/>
  <c r="G2765" i="103"/>
  <c r="G2766" i="103"/>
  <c r="G2767" i="103"/>
  <c r="G2768" i="103"/>
  <c r="G2769" i="103"/>
  <c r="G2770" i="103"/>
  <c r="G2771" i="103"/>
  <c r="G2772" i="103"/>
  <c r="G2773" i="103"/>
  <c r="G2774" i="103"/>
  <c r="G2775" i="103"/>
  <c r="G2776" i="103"/>
  <c r="G2777" i="103"/>
  <c r="G2778" i="103"/>
  <c r="G2779" i="103"/>
  <c r="G2780" i="103"/>
  <c r="G2781" i="103"/>
  <c r="G2782" i="103"/>
  <c r="G2783" i="103"/>
  <c r="G2784" i="103"/>
  <c r="G2785" i="103"/>
  <c r="G2786" i="103"/>
  <c r="G2787" i="103"/>
  <c r="G2788" i="103"/>
  <c r="G2789" i="103"/>
  <c r="G2790" i="103"/>
  <c r="G2791" i="103"/>
  <c r="G2792" i="103"/>
  <c r="G2793" i="103"/>
  <c r="G2794" i="103"/>
  <c r="G2795" i="103"/>
  <c r="G2796" i="103"/>
  <c r="G2797" i="103"/>
  <c r="G2798" i="103"/>
  <c r="G2799" i="103"/>
  <c r="G2800" i="103"/>
  <c r="G2801" i="103"/>
  <c r="G2802" i="103"/>
  <c r="G2803" i="103"/>
  <c r="G2804" i="103"/>
  <c r="G2805" i="103"/>
  <c r="G2806" i="103"/>
  <c r="G2807" i="103"/>
  <c r="G2808" i="103"/>
  <c r="G2809" i="103"/>
  <c r="G2810" i="103"/>
  <c r="G2811" i="103"/>
  <c r="G2812" i="103"/>
  <c r="G2813" i="103"/>
  <c r="G2814" i="103"/>
  <c r="G2815" i="103"/>
  <c r="G2816" i="103"/>
  <c r="G2817" i="103"/>
  <c r="G2818" i="103"/>
  <c r="G2819" i="103"/>
  <c r="G2820" i="103"/>
  <c r="G2821" i="103"/>
  <c r="G2822" i="103"/>
  <c r="G2823" i="103"/>
  <c r="G2824" i="103"/>
  <c r="G2825" i="103"/>
  <c r="G2826" i="103"/>
  <c r="G2827" i="103"/>
  <c r="G2828" i="103"/>
  <c r="G2829" i="103"/>
  <c r="G2830" i="103"/>
  <c r="G2831" i="103"/>
  <c r="G2832" i="103"/>
  <c r="G2833" i="103"/>
  <c r="G2834" i="103"/>
  <c r="G2835" i="103"/>
  <c r="G2836" i="103"/>
  <c r="G2837" i="103"/>
  <c r="G2838" i="103"/>
  <c r="G2839" i="103"/>
  <c r="G2840" i="103"/>
  <c r="G2841" i="103"/>
  <c r="G2842" i="103"/>
  <c r="G2843" i="103"/>
  <c r="G2844" i="103"/>
  <c r="G2845" i="103"/>
  <c r="G2846" i="103"/>
  <c r="G2847" i="103"/>
  <c r="G2848" i="103"/>
  <c r="G2849" i="103"/>
  <c r="G2850" i="103"/>
  <c r="G2851" i="103"/>
  <c r="G2852" i="103"/>
  <c r="G2853" i="103"/>
  <c r="G2854" i="103"/>
  <c r="G2855" i="103"/>
  <c r="G2856" i="103"/>
  <c r="G2857" i="103"/>
  <c r="G2858" i="103"/>
  <c r="G2859" i="103"/>
  <c r="G2860" i="103"/>
  <c r="G2861" i="103"/>
  <c r="G2862" i="103"/>
  <c r="G2863" i="103"/>
  <c r="G2864" i="103"/>
  <c r="G2865" i="103"/>
  <c r="G2866" i="103"/>
  <c r="G2867" i="103"/>
  <c r="G2868" i="103"/>
  <c r="G2869" i="103"/>
  <c r="G2870" i="103"/>
  <c r="G2871" i="103"/>
  <c r="G2872" i="103"/>
  <c r="G2873" i="103"/>
  <c r="G2874" i="103"/>
  <c r="G2875" i="103"/>
  <c r="G2876" i="103"/>
  <c r="G2877" i="103"/>
  <c r="G2878" i="103"/>
  <c r="G2879" i="103"/>
  <c r="G2880" i="103"/>
  <c r="G2881" i="103"/>
  <c r="G2882" i="103"/>
  <c r="G2883" i="103"/>
  <c r="G2884" i="103"/>
  <c r="G2885" i="103"/>
  <c r="G2886" i="103"/>
  <c r="G2887" i="103"/>
  <c r="G2888" i="103"/>
  <c r="G2889" i="103"/>
  <c r="G2890" i="103"/>
  <c r="G2891" i="103"/>
  <c r="G2892" i="103"/>
  <c r="G2893" i="103"/>
  <c r="G2894" i="103"/>
  <c r="G2895" i="103"/>
  <c r="G2896" i="103"/>
  <c r="G2897" i="103"/>
  <c r="G2898" i="103"/>
  <c r="G2899" i="103"/>
  <c r="G2900" i="103"/>
  <c r="G2901" i="103"/>
  <c r="G2902" i="103"/>
  <c r="G2903" i="103"/>
  <c r="G2904" i="103"/>
  <c r="G2905" i="103"/>
  <c r="G2906" i="103"/>
  <c r="G2907" i="103"/>
  <c r="G2908" i="103"/>
  <c r="G2909" i="103"/>
  <c r="G2910" i="103"/>
  <c r="G2911" i="103"/>
  <c r="G2912" i="103"/>
  <c r="G2913" i="103"/>
  <c r="G2914" i="103"/>
  <c r="G2915" i="103"/>
  <c r="G2916" i="103"/>
  <c r="G2917" i="103"/>
  <c r="G2918" i="103"/>
  <c r="G2919" i="103"/>
  <c r="G2920" i="103"/>
  <c r="G2921" i="103"/>
  <c r="G2922" i="103"/>
  <c r="G2923" i="103"/>
  <c r="G2924" i="103"/>
  <c r="G2925" i="103"/>
  <c r="G2926" i="103"/>
  <c r="G2927" i="103"/>
  <c r="G2928" i="103"/>
  <c r="G2929" i="103"/>
  <c r="G2930" i="103"/>
  <c r="G2931" i="103"/>
  <c r="G2932" i="103"/>
  <c r="G2933" i="103"/>
  <c r="G2934" i="103"/>
  <c r="G2935" i="103"/>
  <c r="G2936" i="103"/>
  <c r="G2937" i="103"/>
  <c r="G2938" i="103"/>
  <c r="G2939" i="103"/>
  <c r="G2940" i="103"/>
  <c r="G2941" i="103"/>
  <c r="G2942" i="103"/>
  <c r="G2943" i="103"/>
  <c r="G2944" i="103"/>
  <c r="G2945" i="103"/>
  <c r="G2946" i="103"/>
  <c r="G2947" i="103"/>
  <c r="G2948" i="103"/>
  <c r="G2949" i="103"/>
  <c r="G2950" i="103"/>
  <c r="G2951" i="103"/>
  <c r="G2952" i="103"/>
  <c r="G2953" i="103"/>
  <c r="G2954" i="103"/>
  <c r="G2955" i="103"/>
  <c r="G2956" i="103"/>
  <c r="G2957" i="103"/>
  <c r="G2958" i="103"/>
  <c r="G2959" i="103"/>
  <c r="G2960" i="103"/>
  <c r="G2961" i="103"/>
  <c r="G2962" i="103"/>
  <c r="G2963" i="103"/>
  <c r="G2964" i="103"/>
  <c r="G2965" i="103"/>
  <c r="G2966" i="103"/>
  <c r="G2967" i="103"/>
  <c r="G2968" i="103"/>
  <c r="G2969" i="103"/>
  <c r="G2970" i="103"/>
  <c r="G2971" i="103"/>
  <c r="G2972" i="103"/>
  <c r="G2973" i="103"/>
  <c r="G2974" i="103"/>
  <c r="G2975" i="103"/>
  <c r="G2976" i="103"/>
  <c r="G2977" i="103"/>
  <c r="G2978" i="103"/>
  <c r="G2979" i="103"/>
  <c r="G2980" i="103"/>
  <c r="G2981" i="103"/>
  <c r="G2982" i="103"/>
  <c r="G2983" i="103"/>
  <c r="G2984" i="103"/>
  <c r="G2985" i="103"/>
  <c r="G2986" i="103"/>
  <c r="G2987" i="103"/>
  <c r="G2988" i="103"/>
  <c r="G2989" i="103"/>
  <c r="G2990" i="103"/>
  <c r="G2991" i="103"/>
  <c r="G2992" i="103"/>
  <c r="G2993" i="103"/>
  <c r="G2994" i="103"/>
  <c r="G2995" i="103"/>
  <c r="G2996" i="103"/>
  <c r="G2997" i="103"/>
  <c r="G2998" i="103"/>
  <c r="G2999" i="103"/>
  <c r="G3000" i="103"/>
  <c r="G3001" i="103"/>
  <c r="G3002" i="103"/>
  <c r="G3003" i="103"/>
  <c r="G3004" i="103"/>
  <c r="G3005" i="103"/>
  <c r="G3006" i="103"/>
  <c r="G3007" i="103"/>
  <c r="G3008" i="103"/>
  <c r="G3009" i="103"/>
  <c r="G3010" i="103"/>
  <c r="G3011" i="103"/>
  <c r="G3012" i="103"/>
  <c r="G3013" i="103"/>
  <c r="G3014" i="103"/>
  <c r="G3015" i="103"/>
  <c r="G3016" i="103"/>
  <c r="G3017" i="103"/>
  <c r="G3018" i="103"/>
  <c r="G3019" i="103"/>
  <c r="G3020" i="103"/>
  <c r="G3021" i="103"/>
  <c r="G3022" i="103"/>
  <c r="G3023" i="103"/>
  <c r="G3024" i="103"/>
  <c r="G3025" i="103"/>
  <c r="G3026" i="103"/>
  <c r="G3027" i="103"/>
  <c r="G3028" i="103"/>
  <c r="G3029" i="103"/>
  <c r="G3030" i="103"/>
  <c r="G3031" i="103"/>
  <c r="G3032" i="103"/>
  <c r="G3033" i="103"/>
  <c r="G3034" i="103"/>
  <c r="G3035" i="103"/>
  <c r="G3036" i="103"/>
  <c r="G3037" i="103"/>
  <c r="G3038" i="103"/>
  <c r="G3039" i="103"/>
  <c r="G3040" i="103"/>
  <c r="G3041" i="103"/>
  <c r="G3042" i="103"/>
  <c r="G3043" i="103"/>
  <c r="G3044" i="103"/>
  <c r="G3045" i="103"/>
  <c r="G3046" i="103"/>
  <c r="G3047" i="103"/>
  <c r="G3048" i="103"/>
  <c r="G3049" i="103"/>
  <c r="G3050" i="103"/>
  <c r="G3051" i="103"/>
  <c r="G3052" i="103"/>
  <c r="G3053" i="103"/>
  <c r="G3054" i="103"/>
  <c r="G3055" i="103"/>
  <c r="G3056" i="103"/>
  <c r="G3057" i="103"/>
  <c r="G3058" i="103"/>
  <c r="G3059" i="103"/>
  <c r="G3060" i="103"/>
  <c r="G3061" i="103"/>
  <c r="G3062" i="103"/>
  <c r="G3063" i="103"/>
  <c r="G3064" i="103"/>
  <c r="G3065" i="103"/>
  <c r="G3066" i="103"/>
  <c r="G3067" i="103"/>
  <c r="G3068" i="103"/>
  <c r="G3069" i="103"/>
  <c r="G3070" i="103"/>
  <c r="G3071" i="103"/>
  <c r="G3072" i="103"/>
  <c r="G3073" i="103"/>
  <c r="G3074" i="103"/>
  <c r="G3075" i="103"/>
  <c r="G3076" i="103"/>
  <c r="G3077" i="103"/>
  <c r="G3078" i="103"/>
  <c r="G3079" i="103"/>
  <c r="G3080" i="103"/>
  <c r="G3081" i="103"/>
  <c r="G3082" i="103"/>
  <c r="G3083" i="103"/>
  <c r="G3084" i="103"/>
  <c r="G3085" i="103"/>
  <c r="G3086" i="103"/>
  <c r="G3087" i="103"/>
  <c r="G3088" i="103"/>
  <c r="G3089" i="103"/>
  <c r="G3090" i="103"/>
  <c r="G3091" i="103"/>
  <c r="G3092" i="103"/>
  <c r="G3093" i="103"/>
  <c r="G3094" i="103"/>
  <c r="G3095" i="103"/>
  <c r="G3096" i="103"/>
  <c r="G3097" i="103"/>
  <c r="G3098" i="103"/>
  <c r="G3099" i="103"/>
  <c r="G3100" i="103"/>
  <c r="G3101" i="103"/>
  <c r="G3102" i="103"/>
  <c r="G3103" i="103"/>
  <c r="G3104" i="103"/>
  <c r="G3105" i="103"/>
  <c r="G3106" i="103"/>
  <c r="G3107" i="103"/>
  <c r="G3108" i="103"/>
  <c r="G3109" i="103"/>
  <c r="G3110" i="103"/>
  <c r="G3111" i="103"/>
  <c r="G3112" i="103"/>
  <c r="G3113" i="103"/>
  <c r="G3114" i="103"/>
  <c r="G3115" i="103"/>
  <c r="G3116" i="103"/>
  <c r="G3117" i="103"/>
  <c r="G3118" i="103"/>
  <c r="G3119" i="103"/>
  <c r="G3120" i="103"/>
  <c r="G3121" i="103"/>
  <c r="G3122" i="103"/>
  <c r="G3123" i="103"/>
  <c r="G3124" i="103"/>
  <c r="G3125" i="103"/>
  <c r="G3126" i="103"/>
  <c r="G3127" i="103"/>
  <c r="G3128" i="103"/>
  <c r="G3129" i="103"/>
  <c r="G3130" i="103"/>
  <c r="G3131" i="103"/>
  <c r="G3132" i="103"/>
  <c r="G3133" i="103"/>
  <c r="G3134" i="103"/>
  <c r="G3135" i="103"/>
  <c r="G3136" i="103"/>
  <c r="G3137" i="103"/>
  <c r="G3138" i="103"/>
  <c r="G3139" i="103"/>
  <c r="G3140" i="103"/>
  <c r="G3141" i="103"/>
  <c r="G3142" i="103"/>
  <c r="G3143" i="103"/>
  <c r="G3144" i="103"/>
  <c r="G3145" i="103"/>
  <c r="G3146" i="103"/>
  <c r="G3147" i="103"/>
  <c r="G3148" i="103"/>
  <c r="G3149" i="103"/>
  <c r="G3150" i="103"/>
  <c r="G3151" i="103"/>
  <c r="G3152" i="103"/>
  <c r="G3153" i="103"/>
  <c r="G3154" i="103"/>
  <c r="G3155" i="103"/>
  <c r="G3156" i="103"/>
  <c r="G3157" i="103"/>
  <c r="G3158" i="103"/>
  <c r="G3159" i="103"/>
  <c r="G3160" i="103"/>
  <c r="G3161" i="103"/>
  <c r="G3162" i="103"/>
  <c r="G3163" i="103"/>
  <c r="G3164" i="103"/>
  <c r="G3165" i="103"/>
  <c r="G3166" i="103"/>
  <c r="G3167" i="103"/>
  <c r="G3168" i="103"/>
  <c r="G3169" i="103"/>
  <c r="G3170" i="103"/>
  <c r="G3171" i="103"/>
  <c r="G3172" i="103"/>
  <c r="G3173" i="103"/>
  <c r="G3174" i="103"/>
  <c r="G3175" i="103"/>
  <c r="G3176" i="103"/>
  <c r="G3177" i="103"/>
  <c r="G3178" i="103"/>
  <c r="G3179" i="103"/>
  <c r="G3180" i="103"/>
  <c r="G3181" i="103"/>
  <c r="G3182" i="103"/>
  <c r="G3183" i="103"/>
  <c r="G3184" i="103"/>
  <c r="G3185" i="103"/>
  <c r="G3186" i="103"/>
  <c r="G3187" i="103"/>
  <c r="G3188" i="103"/>
  <c r="G3189" i="103"/>
  <c r="G3190" i="103"/>
  <c r="G3191" i="103"/>
  <c r="G3192" i="103"/>
  <c r="G3193" i="103"/>
  <c r="G3194" i="103"/>
  <c r="G3195" i="103"/>
  <c r="G3196" i="103"/>
  <c r="G3197" i="103"/>
  <c r="G3198" i="103"/>
  <c r="G3199" i="103"/>
  <c r="G3200" i="103"/>
  <c r="G3201" i="103"/>
  <c r="G3202" i="103"/>
  <c r="G3203" i="103"/>
  <c r="G3204" i="103"/>
  <c r="G3205" i="103"/>
  <c r="G3206" i="103"/>
  <c r="G3207" i="103"/>
  <c r="G3208" i="103"/>
  <c r="G3209" i="103"/>
  <c r="G3210" i="103"/>
  <c r="G3211" i="103"/>
  <c r="G3212" i="103"/>
  <c r="G3213" i="103"/>
  <c r="G3214" i="103"/>
  <c r="G3215" i="103"/>
  <c r="G3216" i="103"/>
  <c r="G3217" i="103"/>
  <c r="G3218" i="103"/>
  <c r="G3219" i="103"/>
  <c r="G3220" i="103"/>
  <c r="G3221" i="103"/>
  <c r="G3222" i="103"/>
  <c r="G3223" i="103"/>
  <c r="G3224" i="103"/>
  <c r="G3225" i="103"/>
  <c r="G3226" i="103"/>
  <c r="G3227" i="103"/>
  <c r="G3228" i="103"/>
  <c r="G3229" i="103"/>
  <c r="G3230" i="103"/>
  <c r="G3231" i="103"/>
  <c r="G3232" i="103"/>
  <c r="G3233" i="103"/>
  <c r="G3234" i="103"/>
  <c r="G3235" i="103"/>
  <c r="G3236" i="103"/>
  <c r="G3237" i="103"/>
  <c r="G3238" i="103"/>
  <c r="G3239" i="103"/>
  <c r="G3240" i="103"/>
  <c r="G3241" i="103"/>
  <c r="G3242" i="103"/>
  <c r="G3243" i="103"/>
  <c r="G3244" i="103"/>
  <c r="G3245" i="103"/>
  <c r="G3246" i="103"/>
  <c r="G3247" i="103"/>
  <c r="G3248" i="103"/>
  <c r="G3249" i="103"/>
  <c r="G3250" i="103"/>
  <c r="G3251" i="103"/>
  <c r="G3252" i="103"/>
  <c r="G3253" i="103"/>
  <c r="G3254" i="103"/>
  <c r="G3255" i="103"/>
  <c r="G3256" i="103"/>
  <c r="G3257" i="103"/>
  <c r="G3258" i="103"/>
  <c r="G3259" i="103"/>
  <c r="G3260" i="103"/>
  <c r="G3261" i="103"/>
  <c r="G3262" i="103"/>
  <c r="G3263" i="103"/>
  <c r="G3264" i="103"/>
  <c r="G3265" i="103"/>
  <c r="G3266" i="103"/>
  <c r="G3267" i="103"/>
  <c r="G3268" i="103"/>
  <c r="G3269" i="103"/>
  <c r="G3270" i="103"/>
  <c r="G3271" i="103"/>
  <c r="G3272" i="103"/>
  <c r="G3273" i="103"/>
  <c r="G3274" i="103"/>
  <c r="G3275" i="103"/>
  <c r="G3276" i="103"/>
  <c r="G3277" i="103"/>
  <c r="G3278" i="103"/>
  <c r="G3279" i="103"/>
  <c r="G3280" i="103"/>
  <c r="G3281" i="103"/>
  <c r="G3282" i="103"/>
  <c r="G3283" i="103"/>
  <c r="G3284" i="103"/>
  <c r="G3285" i="103"/>
  <c r="G3286" i="103"/>
  <c r="G3287" i="103"/>
  <c r="G3288" i="103"/>
  <c r="G3289" i="103"/>
  <c r="G3290" i="103"/>
  <c r="G3291" i="103"/>
  <c r="G3292" i="103"/>
  <c r="G3293" i="103"/>
  <c r="G3294" i="103"/>
  <c r="G3295" i="103"/>
  <c r="G3296" i="103"/>
  <c r="G3297" i="103"/>
  <c r="G3298" i="103"/>
  <c r="G3299" i="103"/>
  <c r="G3300" i="103"/>
  <c r="G3301" i="103"/>
  <c r="G3302" i="103"/>
  <c r="G3303" i="103"/>
  <c r="G3304" i="103"/>
  <c r="G3305" i="103"/>
  <c r="G3306" i="103"/>
  <c r="G3307" i="103"/>
  <c r="G3308" i="103"/>
  <c r="G3309" i="103"/>
  <c r="G3310" i="103"/>
  <c r="G3311" i="103"/>
  <c r="G3312" i="103"/>
  <c r="G3313" i="103"/>
  <c r="G3314" i="103"/>
  <c r="G3315" i="103"/>
  <c r="G3316" i="103"/>
  <c r="G3317" i="103"/>
  <c r="G3318" i="103"/>
  <c r="G3319" i="103"/>
  <c r="G3320" i="103"/>
  <c r="G3321" i="103"/>
  <c r="G3322" i="103"/>
  <c r="G3323" i="103"/>
  <c r="G3324" i="103"/>
  <c r="G3325" i="103"/>
  <c r="G3326" i="103"/>
  <c r="G3327" i="103"/>
  <c r="G3328" i="103"/>
  <c r="G3329" i="103"/>
  <c r="G3330" i="103"/>
  <c r="G3331" i="103"/>
  <c r="G3332" i="103"/>
  <c r="G3333" i="103"/>
  <c r="G3334" i="103"/>
  <c r="G3335" i="103"/>
  <c r="G3336" i="103"/>
  <c r="G3337" i="103"/>
  <c r="G3338" i="103"/>
  <c r="G3339" i="103"/>
  <c r="G3340" i="103"/>
  <c r="G3341" i="103"/>
  <c r="G3342" i="103"/>
  <c r="G3343" i="103"/>
  <c r="G3344" i="103"/>
  <c r="G3345" i="103"/>
  <c r="G3346" i="103"/>
  <c r="G3347" i="103"/>
  <c r="G3348" i="103"/>
  <c r="G3349" i="103"/>
  <c r="G3350" i="103"/>
  <c r="G3351" i="103"/>
  <c r="G3352" i="103"/>
  <c r="G3353" i="103"/>
  <c r="G3354" i="103"/>
  <c r="G3355" i="103"/>
  <c r="G3356" i="103"/>
  <c r="G3357" i="103"/>
  <c r="G3358" i="103"/>
  <c r="G3359" i="103"/>
  <c r="G3360" i="103"/>
  <c r="G3361" i="103"/>
  <c r="G3362" i="103"/>
  <c r="G3363" i="103"/>
  <c r="G3364" i="103"/>
  <c r="G3365" i="103"/>
  <c r="G3366" i="103"/>
  <c r="G3367" i="103"/>
  <c r="G3368" i="103"/>
  <c r="G3369" i="103"/>
  <c r="G3370" i="103"/>
  <c r="G3371" i="103"/>
  <c r="G3372" i="103"/>
  <c r="G3373" i="103"/>
  <c r="G3374" i="103"/>
  <c r="G3375" i="103"/>
  <c r="G3376" i="103"/>
  <c r="G3377" i="103"/>
  <c r="G3378" i="103"/>
  <c r="G3379" i="103"/>
  <c r="G3380" i="103"/>
  <c r="G3381" i="103"/>
  <c r="G3382" i="103"/>
  <c r="G3383" i="103"/>
  <c r="G3384" i="103"/>
  <c r="G3385" i="103"/>
  <c r="G3386" i="103"/>
  <c r="G3387" i="103"/>
  <c r="G3388" i="103"/>
  <c r="G3389" i="103"/>
  <c r="G3390" i="103"/>
  <c r="G3391" i="103"/>
  <c r="G3392" i="103"/>
  <c r="G3393" i="103"/>
  <c r="G3394" i="103"/>
  <c r="G3395" i="103"/>
  <c r="G3396" i="103"/>
  <c r="G3397" i="103"/>
  <c r="G3398" i="103"/>
  <c r="G3399" i="103"/>
  <c r="G3400" i="103"/>
  <c r="G3401" i="103"/>
  <c r="G3402" i="103"/>
  <c r="G3403" i="103"/>
  <c r="G3404" i="103"/>
  <c r="G3405" i="103"/>
  <c r="G3406" i="103"/>
  <c r="G3407" i="103"/>
  <c r="G3408" i="103"/>
  <c r="G3409" i="103"/>
  <c r="G3410" i="103"/>
  <c r="G3411" i="103"/>
  <c r="G3412" i="103"/>
  <c r="G3413" i="103"/>
  <c r="G3414" i="103"/>
  <c r="G3415" i="103"/>
  <c r="G3416" i="103"/>
  <c r="G3417" i="103"/>
  <c r="G3418" i="103"/>
  <c r="G3419" i="103"/>
  <c r="G3420" i="103"/>
  <c r="G3421" i="103"/>
  <c r="G3422" i="103"/>
  <c r="G3423" i="103"/>
  <c r="G3424" i="103"/>
  <c r="G3425" i="103"/>
  <c r="G3426" i="103"/>
  <c r="G3427" i="103"/>
  <c r="G3428" i="103"/>
  <c r="G3429" i="103"/>
  <c r="G3430" i="103"/>
  <c r="G3431" i="103"/>
  <c r="G3432" i="103"/>
  <c r="G3433" i="103"/>
  <c r="G3434" i="103"/>
  <c r="G3435" i="103"/>
  <c r="G3436" i="103"/>
  <c r="G3437" i="103"/>
  <c r="G3438" i="103"/>
  <c r="G3439" i="103"/>
  <c r="G3440" i="103"/>
  <c r="G3441" i="103"/>
  <c r="G3442" i="103"/>
  <c r="G3443" i="103"/>
  <c r="G3444" i="103"/>
  <c r="G3445" i="103"/>
  <c r="G3446" i="103"/>
  <c r="G3447" i="103"/>
  <c r="G3448" i="103"/>
  <c r="G3449" i="103"/>
  <c r="G3450" i="103"/>
  <c r="G3451" i="103"/>
  <c r="G3452" i="103"/>
  <c r="G3453" i="103"/>
  <c r="G3454" i="103"/>
  <c r="G3455" i="103"/>
  <c r="G3456" i="103"/>
  <c r="G3457" i="103"/>
  <c r="G3458" i="103"/>
  <c r="G3459" i="103"/>
  <c r="G3460" i="103"/>
  <c r="G3461" i="103"/>
  <c r="G3462" i="103"/>
  <c r="G3463" i="103"/>
  <c r="G3464" i="103"/>
  <c r="G3465" i="103"/>
  <c r="G3466" i="103"/>
  <c r="G3467" i="103"/>
  <c r="G3468" i="103"/>
  <c r="G3469" i="103"/>
  <c r="G3470" i="103"/>
  <c r="G3471" i="103"/>
  <c r="G3472" i="103"/>
  <c r="G3473" i="103"/>
  <c r="G3474" i="103"/>
  <c r="G3475" i="103"/>
  <c r="G3476" i="103"/>
  <c r="G3477" i="103"/>
  <c r="G3478" i="103"/>
  <c r="G3479" i="103"/>
  <c r="G3480" i="103"/>
  <c r="G3481" i="103"/>
  <c r="G3482" i="103"/>
  <c r="G3483" i="103"/>
  <c r="G3484" i="103"/>
  <c r="G3485" i="103"/>
  <c r="G3486" i="103"/>
  <c r="G3487" i="103"/>
  <c r="G3488" i="103"/>
  <c r="G3489" i="103"/>
  <c r="G3490" i="103"/>
  <c r="G3491" i="103"/>
  <c r="G3492" i="103"/>
  <c r="G3493" i="103"/>
  <c r="G3494" i="103"/>
  <c r="G3495" i="103"/>
  <c r="G3496" i="103"/>
  <c r="G3497" i="103"/>
  <c r="G3498" i="103"/>
  <c r="G3499" i="103"/>
  <c r="G3500" i="103"/>
  <c r="G3501" i="103"/>
  <c r="G3502" i="103"/>
  <c r="G3503" i="103"/>
  <c r="G3504" i="103"/>
  <c r="G3505" i="103"/>
  <c r="G3506" i="103"/>
  <c r="G3507" i="103"/>
  <c r="G3508" i="103"/>
  <c r="G3509" i="103"/>
  <c r="G3510" i="103"/>
  <c r="G3511" i="103"/>
  <c r="G3512" i="103"/>
  <c r="G3513" i="103"/>
  <c r="G3514" i="103"/>
  <c r="G3515" i="103"/>
  <c r="G3516" i="103"/>
  <c r="G3517" i="103"/>
  <c r="G3518" i="103"/>
  <c r="G3519" i="103"/>
  <c r="G3520" i="103"/>
  <c r="G3521" i="103"/>
  <c r="G3522" i="103"/>
  <c r="G3523" i="103"/>
  <c r="G3524" i="103"/>
  <c r="G3525" i="103"/>
  <c r="G3526" i="103"/>
  <c r="G3527" i="103"/>
  <c r="G3528" i="103"/>
  <c r="G3529" i="103"/>
  <c r="G3530" i="103"/>
  <c r="G3531" i="103"/>
  <c r="G3532" i="103"/>
  <c r="G3533" i="103"/>
  <c r="G3534" i="103"/>
  <c r="G3535" i="103"/>
  <c r="G3536" i="103"/>
  <c r="G3537" i="103"/>
  <c r="G3538" i="103"/>
  <c r="G3539" i="103"/>
  <c r="G3540" i="103"/>
  <c r="G3541" i="103"/>
  <c r="G3542" i="103"/>
  <c r="G3543" i="103"/>
  <c r="G3544" i="103"/>
  <c r="G3545" i="103"/>
  <c r="G3546" i="103"/>
  <c r="G3547" i="103"/>
  <c r="G3548" i="103"/>
  <c r="G3549" i="103"/>
  <c r="G3550" i="103"/>
  <c r="G3551" i="103"/>
  <c r="G3552" i="103"/>
  <c r="G3553" i="103"/>
  <c r="G3554" i="103"/>
  <c r="G3555" i="103"/>
  <c r="G3556" i="103"/>
  <c r="G3557" i="103"/>
  <c r="G3558" i="103"/>
  <c r="G3559" i="103"/>
  <c r="G3560" i="103"/>
  <c r="G3561" i="103"/>
  <c r="G3562" i="103"/>
  <c r="G3563" i="103"/>
  <c r="G3564" i="103"/>
  <c r="G3565" i="103"/>
  <c r="G3566" i="103"/>
  <c r="G3567" i="103"/>
  <c r="G3568" i="103"/>
  <c r="G3569" i="103"/>
  <c r="G3570" i="103"/>
  <c r="G3571" i="103"/>
  <c r="G3572" i="103"/>
  <c r="G3573" i="103"/>
  <c r="G3574" i="103"/>
  <c r="G3575" i="103"/>
  <c r="G3576" i="103"/>
  <c r="G3577" i="103"/>
  <c r="G3578" i="103"/>
  <c r="G3579" i="103"/>
  <c r="G3580" i="103"/>
  <c r="G3581" i="103"/>
  <c r="G3582" i="103"/>
  <c r="G3583" i="103"/>
  <c r="G3584" i="103"/>
  <c r="G3585" i="103"/>
  <c r="G3586" i="103"/>
  <c r="G3587" i="103"/>
  <c r="G3588" i="103"/>
  <c r="G3589" i="103"/>
  <c r="G3590" i="103"/>
  <c r="G3591" i="103"/>
  <c r="G3592" i="103"/>
  <c r="G3593" i="103"/>
  <c r="G3594" i="103"/>
  <c r="G3595" i="103"/>
  <c r="G3596" i="103"/>
  <c r="G3597" i="103"/>
  <c r="G3598" i="103"/>
  <c r="G3599" i="103"/>
  <c r="G3600" i="103"/>
  <c r="G3601" i="103"/>
  <c r="G3602" i="103"/>
  <c r="G3603" i="103"/>
  <c r="G3604" i="103"/>
  <c r="G3605" i="103"/>
  <c r="G3606" i="103"/>
  <c r="G3607" i="103"/>
  <c r="G3608" i="103"/>
  <c r="G3609" i="103"/>
  <c r="G3610" i="103"/>
  <c r="G3611" i="103"/>
  <c r="G3612" i="103"/>
  <c r="G3613" i="103"/>
  <c r="G3614" i="103"/>
  <c r="G3615" i="103"/>
  <c r="G3616" i="103"/>
  <c r="G3617" i="103"/>
  <c r="G3618" i="103"/>
  <c r="G3619" i="103"/>
  <c r="G3620" i="103"/>
  <c r="G3621" i="103"/>
  <c r="G3622" i="103"/>
  <c r="G3623" i="103"/>
  <c r="G3624" i="103"/>
  <c r="G3625" i="103"/>
  <c r="G3626" i="103"/>
  <c r="G3627" i="103"/>
  <c r="G3628" i="103"/>
  <c r="G3629" i="103"/>
  <c r="G3630" i="103"/>
  <c r="G3631" i="103"/>
  <c r="G3632" i="103"/>
  <c r="G3633" i="103"/>
  <c r="G3634" i="103"/>
  <c r="G3635" i="103"/>
  <c r="G3636" i="103"/>
  <c r="G3637" i="103"/>
  <c r="G3638" i="103"/>
  <c r="G3639" i="103"/>
  <c r="G3640" i="103"/>
  <c r="G3641" i="103"/>
  <c r="G3642" i="103"/>
  <c r="G3643" i="103"/>
  <c r="G3644" i="103"/>
  <c r="G3645" i="103"/>
  <c r="G3646" i="103"/>
  <c r="G3647" i="103"/>
  <c r="G3648" i="103"/>
  <c r="G3649" i="103"/>
  <c r="G3650" i="103"/>
  <c r="G3651" i="103"/>
  <c r="G3652" i="103"/>
  <c r="G3653" i="103"/>
  <c r="G3654" i="103"/>
  <c r="G3655" i="103"/>
  <c r="G3656" i="103"/>
  <c r="G3657" i="103"/>
  <c r="G3658" i="103"/>
  <c r="G3659" i="103"/>
  <c r="G3660" i="103"/>
  <c r="G3661" i="103"/>
  <c r="G3662" i="103"/>
  <c r="G3663" i="103"/>
  <c r="G3664" i="103"/>
  <c r="G3665" i="103"/>
  <c r="G3666" i="103"/>
  <c r="G3667" i="103"/>
  <c r="G3668" i="103"/>
  <c r="G3669" i="103"/>
  <c r="G3670" i="103"/>
  <c r="G3671" i="103"/>
  <c r="G3672" i="103"/>
  <c r="G3673" i="103"/>
  <c r="G3674" i="103"/>
  <c r="G3675" i="103"/>
  <c r="G3676" i="103"/>
  <c r="G3677" i="103"/>
  <c r="G3678" i="103"/>
  <c r="G3679" i="103"/>
  <c r="G3680" i="103"/>
  <c r="G3681" i="103"/>
  <c r="G3682" i="103"/>
  <c r="G3683" i="103"/>
  <c r="G3684" i="103"/>
  <c r="G3685" i="103"/>
  <c r="G3686" i="103"/>
  <c r="G3687" i="103"/>
  <c r="G3688" i="103"/>
  <c r="G3689" i="103"/>
  <c r="G3690" i="103"/>
  <c r="G3691" i="103"/>
  <c r="G3692" i="103"/>
  <c r="G3693" i="103"/>
  <c r="G3694" i="103"/>
  <c r="G3695" i="103"/>
  <c r="G3696" i="103"/>
  <c r="G3697" i="103"/>
  <c r="G3698" i="103"/>
  <c r="G3699" i="103"/>
  <c r="G3700" i="103"/>
  <c r="G3701" i="103"/>
  <c r="G3702" i="103"/>
  <c r="G3703" i="103"/>
  <c r="G3704" i="103"/>
  <c r="G3705" i="103"/>
  <c r="G3706" i="103"/>
  <c r="G3707" i="103"/>
  <c r="G3708" i="103"/>
  <c r="G3709" i="103"/>
  <c r="G3710" i="103"/>
  <c r="G3711" i="103"/>
  <c r="G3712" i="103"/>
  <c r="G3713" i="103"/>
  <c r="G3714" i="103"/>
  <c r="G3715" i="103"/>
  <c r="G3716" i="103"/>
  <c r="G3717" i="103"/>
  <c r="G3718" i="103"/>
  <c r="G3719" i="103"/>
  <c r="G3720" i="103"/>
  <c r="G3721" i="103"/>
  <c r="G3722" i="103"/>
  <c r="G3723" i="103"/>
  <c r="G3724" i="103"/>
  <c r="G3725" i="103"/>
  <c r="G3726" i="103"/>
  <c r="G3727" i="103"/>
  <c r="G3728" i="103"/>
  <c r="G3729" i="103"/>
  <c r="G3730" i="103"/>
  <c r="G3731" i="103"/>
  <c r="G3732" i="103"/>
  <c r="G3733" i="103"/>
  <c r="G3734" i="103"/>
  <c r="G3735" i="103"/>
  <c r="G3736" i="103"/>
  <c r="G3737" i="103"/>
  <c r="G3738" i="103"/>
  <c r="G3739" i="103"/>
  <c r="G3740" i="103"/>
  <c r="G3741" i="103"/>
  <c r="G3742" i="103"/>
  <c r="G3743" i="103"/>
  <c r="G3744" i="103"/>
  <c r="G3745" i="103"/>
  <c r="G3746" i="103"/>
  <c r="G3747" i="103"/>
  <c r="G3748" i="103"/>
  <c r="G3749" i="103"/>
  <c r="G3750" i="103"/>
  <c r="G3751" i="103"/>
  <c r="G3752" i="103"/>
  <c r="G3753" i="103"/>
  <c r="G3754" i="103"/>
  <c r="G3755" i="103"/>
  <c r="G3756" i="103"/>
  <c r="G3757" i="103"/>
  <c r="G3758" i="103"/>
  <c r="G3759" i="103"/>
  <c r="G3760" i="103"/>
  <c r="G3761" i="103"/>
  <c r="G3762" i="103"/>
  <c r="G3763" i="103"/>
  <c r="G3764" i="103"/>
  <c r="G3765" i="103"/>
  <c r="G3766" i="103"/>
  <c r="G3767" i="103"/>
  <c r="G3768" i="103"/>
  <c r="G3769" i="103"/>
  <c r="G3770" i="103"/>
  <c r="G3771" i="103"/>
  <c r="G3772" i="103"/>
  <c r="G3773" i="103"/>
  <c r="G3774" i="103"/>
  <c r="G3775" i="103"/>
  <c r="G3776" i="103"/>
  <c r="G3777" i="103"/>
  <c r="G3778" i="103"/>
  <c r="G3779" i="103"/>
  <c r="G3780" i="103"/>
  <c r="G3781" i="103"/>
  <c r="G3782" i="103"/>
  <c r="G3783" i="103"/>
  <c r="G3784" i="103"/>
  <c r="G3785" i="103"/>
  <c r="G3786" i="103"/>
  <c r="G3787" i="103"/>
  <c r="G3788" i="103"/>
  <c r="G3789" i="103"/>
  <c r="G3790" i="103"/>
  <c r="G3791" i="103"/>
  <c r="G3792" i="103"/>
  <c r="G3793" i="103"/>
  <c r="G3794" i="103"/>
  <c r="G3795" i="103"/>
  <c r="G3796" i="103"/>
  <c r="G3797" i="103"/>
  <c r="G3798" i="103"/>
  <c r="G3799" i="103"/>
  <c r="G3800" i="103"/>
  <c r="G3801" i="103"/>
  <c r="G3802" i="103"/>
  <c r="G3803" i="103"/>
  <c r="G3804" i="103"/>
  <c r="G3805" i="103"/>
  <c r="G3806" i="103"/>
  <c r="G3807" i="103"/>
  <c r="G3808" i="103"/>
  <c r="G3809" i="103"/>
  <c r="G3810" i="103"/>
  <c r="G3811" i="103"/>
  <c r="G3812" i="103"/>
  <c r="G3813" i="103"/>
  <c r="G3814" i="103"/>
  <c r="G3815" i="103"/>
  <c r="G3816" i="103"/>
  <c r="G3817" i="103"/>
  <c r="G3818" i="103"/>
  <c r="G3819" i="103"/>
  <c r="G3820" i="103"/>
  <c r="G3821" i="103"/>
  <c r="G3822" i="103"/>
  <c r="G3823" i="103"/>
  <c r="G3824" i="103"/>
  <c r="G3825" i="103"/>
  <c r="G3826" i="103"/>
  <c r="G3827" i="103"/>
  <c r="G3828" i="103"/>
  <c r="G3829" i="103"/>
  <c r="G3830" i="103"/>
  <c r="G3831" i="103"/>
  <c r="G3832" i="103"/>
  <c r="G3833" i="103"/>
  <c r="G3834" i="103"/>
  <c r="G3835" i="103"/>
  <c r="G3836" i="103"/>
  <c r="G3837" i="103"/>
  <c r="G3838" i="103"/>
  <c r="G3839" i="103"/>
  <c r="G3840" i="103"/>
  <c r="G3841" i="103"/>
  <c r="G3842" i="103"/>
  <c r="G3843" i="103"/>
  <c r="G3844" i="103"/>
  <c r="G3845" i="103"/>
  <c r="G3846" i="103"/>
  <c r="G3847" i="103"/>
  <c r="G3848" i="103"/>
  <c r="G3849" i="103"/>
  <c r="G3850" i="103"/>
  <c r="G3851" i="103"/>
  <c r="G3852" i="103"/>
  <c r="G3853" i="103"/>
  <c r="G3854" i="103"/>
  <c r="G3855" i="103"/>
  <c r="G3856" i="103"/>
  <c r="G3857" i="103"/>
  <c r="G3858" i="103"/>
  <c r="G3859" i="103"/>
  <c r="G3860" i="103"/>
  <c r="G3861" i="103"/>
  <c r="G3862" i="103"/>
  <c r="G3863" i="103"/>
  <c r="G3864" i="103"/>
  <c r="G3865" i="103"/>
  <c r="G3866" i="103"/>
  <c r="G3867" i="103"/>
  <c r="G3868" i="103"/>
  <c r="G3869" i="103"/>
  <c r="G3870" i="103"/>
  <c r="G3871" i="103"/>
  <c r="G3872" i="103"/>
  <c r="G3873" i="103"/>
  <c r="G3874" i="103"/>
  <c r="G3875" i="103"/>
  <c r="G3876" i="103"/>
  <c r="G3877" i="103"/>
  <c r="G3878" i="103"/>
  <c r="G3879" i="103"/>
  <c r="G3880" i="103"/>
  <c r="G3881" i="103"/>
  <c r="G3882" i="103"/>
  <c r="G3883" i="103"/>
  <c r="G3884" i="103"/>
  <c r="G3885" i="103"/>
  <c r="G3886" i="103"/>
  <c r="G3887" i="103"/>
  <c r="G3888" i="103"/>
  <c r="G3889" i="103"/>
  <c r="G3890" i="103"/>
  <c r="G3891" i="103"/>
  <c r="G3892" i="103"/>
  <c r="G3893" i="103"/>
  <c r="G3894" i="103"/>
  <c r="G3895" i="103"/>
  <c r="G3896" i="103"/>
  <c r="G3897" i="103"/>
  <c r="G3898" i="103"/>
  <c r="G3899" i="103"/>
  <c r="G3900" i="103"/>
  <c r="G3901" i="103"/>
  <c r="G3902" i="103"/>
  <c r="G3903" i="103"/>
  <c r="G3904" i="103"/>
  <c r="G3905" i="103"/>
  <c r="G3906" i="103"/>
  <c r="G3907" i="103"/>
  <c r="G3908" i="103"/>
  <c r="G3909" i="103"/>
  <c r="G3910" i="103"/>
  <c r="G3911" i="103"/>
  <c r="G3912" i="103"/>
  <c r="G3913" i="103"/>
  <c r="G3914" i="103"/>
  <c r="G3915" i="103"/>
  <c r="G3916" i="103"/>
  <c r="G3917" i="103"/>
  <c r="G3918" i="103"/>
  <c r="G3919" i="103"/>
  <c r="G3920" i="103"/>
  <c r="G3921" i="103"/>
  <c r="G3922" i="103"/>
  <c r="G3923" i="103"/>
  <c r="G3924" i="103"/>
  <c r="G3925" i="103"/>
  <c r="G3926" i="103"/>
  <c r="G3927" i="103"/>
  <c r="G3928" i="103"/>
  <c r="G3929" i="103"/>
  <c r="G3930" i="103"/>
  <c r="G3931" i="103"/>
  <c r="G3932" i="103"/>
  <c r="G3933" i="103"/>
  <c r="G3934" i="103"/>
  <c r="G3935" i="103"/>
  <c r="G3936" i="103"/>
  <c r="G3937" i="103"/>
  <c r="G3938" i="103"/>
  <c r="G3939" i="103"/>
  <c r="G3940" i="103"/>
  <c r="G3941" i="103"/>
  <c r="G3942" i="103"/>
  <c r="G3943" i="103"/>
  <c r="G3944" i="103"/>
  <c r="G3945" i="103"/>
  <c r="G3946" i="103"/>
  <c r="G3947" i="103"/>
  <c r="G3948" i="103"/>
  <c r="G3949" i="103"/>
  <c r="G3950" i="103"/>
  <c r="G3951" i="103"/>
  <c r="G3952" i="103"/>
  <c r="G3953" i="103"/>
  <c r="G3954" i="103"/>
  <c r="G3955" i="103"/>
  <c r="G3956" i="103"/>
  <c r="G3957" i="103"/>
  <c r="G3958" i="103"/>
  <c r="G3959" i="103"/>
  <c r="G3960" i="103"/>
  <c r="G3961" i="103"/>
  <c r="G3962" i="103"/>
  <c r="G3963" i="103"/>
  <c r="G3964" i="103"/>
  <c r="G3965" i="103"/>
  <c r="G3966" i="103"/>
  <c r="G3967" i="103"/>
  <c r="G3968" i="103"/>
  <c r="G3969" i="103"/>
  <c r="G3970" i="103"/>
  <c r="G3971" i="103"/>
  <c r="G3972" i="103"/>
  <c r="G3973" i="103"/>
  <c r="G3974" i="103"/>
  <c r="G3975" i="103"/>
  <c r="G3976" i="103"/>
  <c r="G3977" i="103"/>
  <c r="G3978" i="103"/>
  <c r="G3979" i="103"/>
  <c r="G3980" i="103"/>
  <c r="G3981" i="103"/>
  <c r="G3982" i="103"/>
  <c r="G3983" i="103"/>
  <c r="G3984" i="103"/>
  <c r="G3985" i="103"/>
  <c r="G3986" i="103"/>
  <c r="G3987" i="103"/>
  <c r="G3988" i="103"/>
  <c r="G3989" i="103"/>
  <c r="G3990" i="103"/>
  <c r="G3991" i="103"/>
  <c r="G3992" i="103"/>
  <c r="G3993" i="103"/>
  <c r="G3994" i="103"/>
  <c r="G3995" i="103"/>
  <c r="G3996" i="103"/>
  <c r="G3997" i="103"/>
  <c r="G3998" i="103"/>
  <c r="G3999" i="103"/>
  <c r="G4000" i="103"/>
  <c r="G4001" i="103"/>
  <c r="G4002" i="103"/>
  <c r="G4003" i="103"/>
  <c r="G4004" i="103"/>
  <c r="G4005" i="103"/>
  <c r="G4006" i="103"/>
  <c r="G4007" i="103"/>
  <c r="G4008" i="103"/>
  <c r="G4009" i="103"/>
  <c r="G4010" i="103"/>
  <c r="G4011" i="103"/>
  <c r="G4012" i="103"/>
  <c r="G4013" i="103"/>
  <c r="G4014" i="103"/>
  <c r="G4015" i="103"/>
  <c r="G4016" i="103"/>
  <c r="G4017" i="103"/>
  <c r="G4018" i="103"/>
  <c r="G4019" i="103"/>
  <c r="G4020" i="103"/>
  <c r="G4021" i="103"/>
  <c r="G4022" i="103"/>
  <c r="G4023" i="103"/>
  <c r="G4024" i="103"/>
  <c r="G4025" i="103"/>
  <c r="G4026" i="103"/>
  <c r="G4027" i="103"/>
  <c r="G4028" i="103"/>
  <c r="G4029" i="103"/>
  <c r="G4030" i="103"/>
  <c r="G4031" i="103"/>
  <c r="G4032" i="103"/>
  <c r="G4033" i="103"/>
  <c r="G4034" i="103"/>
  <c r="G4035" i="103"/>
  <c r="G4036" i="103"/>
  <c r="G4037" i="103"/>
  <c r="G4038" i="103"/>
  <c r="G4039" i="103"/>
  <c r="G4040" i="103"/>
  <c r="G4041" i="103"/>
  <c r="G4042" i="103"/>
  <c r="G4043" i="103"/>
  <c r="G4044" i="103"/>
  <c r="G4045" i="103"/>
  <c r="G4046" i="103"/>
  <c r="G4047" i="103"/>
  <c r="G4048" i="103"/>
  <c r="G4049" i="103"/>
  <c r="G4050" i="103"/>
  <c r="G4051" i="103"/>
  <c r="G4052" i="103"/>
  <c r="G4053" i="103"/>
  <c r="G4054" i="103"/>
  <c r="G4055" i="103"/>
  <c r="G4056" i="103"/>
  <c r="G4057" i="103"/>
  <c r="G4058" i="103"/>
  <c r="G4059" i="103"/>
  <c r="G4060" i="103"/>
  <c r="G4061" i="103"/>
  <c r="G4062" i="103"/>
  <c r="G4063" i="103"/>
  <c r="G4064" i="103"/>
  <c r="G4065" i="103"/>
  <c r="G4066" i="103"/>
  <c r="G4067" i="103"/>
  <c r="G4068" i="103"/>
  <c r="G4069" i="103"/>
  <c r="G4070" i="103"/>
  <c r="G4071" i="103"/>
  <c r="G4072" i="103"/>
  <c r="G4073" i="103"/>
  <c r="G4074" i="103"/>
  <c r="G4075" i="103"/>
  <c r="G4076" i="103"/>
  <c r="G4077" i="103"/>
  <c r="G4078" i="103"/>
  <c r="G4079" i="103"/>
  <c r="G4080" i="103"/>
  <c r="G4081" i="103"/>
  <c r="G4082" i="103"/>
  <c r="G4083" i="103"/>
  <c r="G4084" i="103"/>
  <c r="G4085" i="103"/>
  <c r="G4086" i="103"/>
  <c r="G4087" i="103"/>
  <c r="G4088" i="103"/>
  <c r="G4089" i="103"/>
  <c r="G4090" i="103"/>
  <c r="G4091" i="103"/>
  <c r="G4092" i="103"/>
  <c r="G4093" i="103"/>
  <c r="G4094" i="103"/>
  <c r="G4095" i="103"/>
  <c r="G4096" i="103"/>
  <c r="G4097" i="103"/>
  <c r="G4098" i="103"/>
  <c r="G4099" i="103"/>
  <c r="G4100" i="103"/>
  <c r="G4101" i="103"/>
  <c r="G4102" i="103"/>
  <c r="G4103" i="103"/>
  <c r="G4104" i="103"/>
  <c r="G4105" i="103"/>
  <c r="G4106" i="103"/>
  <c r="G4107" i="103"/>
  <c r="G4108" i="103"/>
  <c r="G4109" i="103"/>
  <c r="G4110" i="103"/>
  <c r="G4111" i="103"/>
  <c r="G4112" i="103"/>
  <c r="G4113" i="103"/>
  <c r="G4114" i="103"/>
  <c r="G4115" i="103"/>
  <c r="G4116" i="103"/>
  <c r="G4117" i="103"/>
  <c r="G4118" i="103"/>
  <c r="G4119" i="103"/>
  <c r="G4120" i="103"/>
  <c r="G4121" i="103"/>
  <c r="G4122" i="103"/>
  <c r="G4123" i="103"/>
  <c r="G4124" i="103"/>
  <c r="G4125" i="103"/>
  <c r="G4126" i="103"/>
  <c r="G4127" i="103"/>
  <c r="G4128" i="103"/>
  <c r="G4129" i="103"/>
  <c r="G4130" i="103"/>
  <c r="G4131" i="103"/>
  <c r="G4132" i="103"/>
  <c r="G4133" i="103"/>
  <c r="G4134" i="103"/>
  <c r="G4135" i="103"/>
  <c r="G4136" i="103"/>
  <c r="G4137" i="103"/>
  <c r="G4138" i="103"/>
  <c r="G4139" i="103"/>
  <c r="G4140" i="103"/>
  <c r="G4141" i="103"/>
  <c r="G4142" i="103"/>
  <c r="G4143" i="103"/>
  <c r="G4144" i="103"/>
  <c r="G4145" i="103"/>
  <c r="G4146" i="103"/>
  <c r="G4147" i="103"/>
  <c r="G4148" i="103"/>
  <c r="G4149" i="103"/>
  <c r="G4150" i="103"/>
  <c r="G4151" i="103"/>
  <c r="G4152" i="103"/>
  <c r="G4153" i="103"/>
  <c r="G4154" i="103"/>
  <c r="G4155" i="103"/>
  <c r="G4156" i="103"/>
  <c r="G4157" i="103"/>
  <c r="G4158" i="103"/>
  <c r="G4159" i="103"/>
  <c r="G4160" i="103"/>
  <c r="G4161" i="103"/>
  <c r="G4162" i="103"/>
  <c r="G4163" i="103"/>
  <c r="G4164" i="103"/>
  <c r="G4165" i="103"/>
  <c r="G4166" i="103"/>
  <c r="G4167" i="103"/>
  <c r="G4168" i="103"/>
  <c r="G4169" i="103"/>
  <c r="G4170" i="103"/>
  <c r="G4171" i="103"/>
  <c r="G4172" i="103"/>
  <c r="G4173" i="103"/>
  <c r="G4174" i="103"/>
  <c r="G4175" i="103"/>
  <c r="G4176" i="103"/>
  <c r="G4177" i="103"/>
  <c r="G4178" i="103"/>
  <c r="G4179" i="103"/>
  <c r="G4180" i="103"/>
  <c r="G4181" i="103"/>
  <c r="G4182" i="103"/>
  <c r="G4183" i="103"/>
  <c r="G4184" i="103"/>
  <c r="G4185" i="103"/>
  <c r="G4186" i="103"/>
  <c r="G4187" i="103"/>
  <c r="G4188" i="103"/>
  <c r="G4189" i="103"/>
  <c r="G4190" i="103"/>
  <c r="G4191" i="103"/>
  <c r="G4192" i="103"/>
  <c r="G4193" i="103"/>
  <c r="G4194" i="103"/>
  <c r="G4195" i="103"/>
  <c r="G4196" i="103"/>
  <c r="G4197" i="103"/>
  <c r="G4198" i="103"/>
  <c r="G4199" i="103"/>
  <c r="G4200" i="103"/>
  <c r="G4201" i="103"/>
  <c r="G4202" i="103"/>
  <c r="G4203" i="103"/>
  <c r="G4204" i="103"/>
  <c r="G4205" i="103"/>
  <c r="G4206" i="103"/>
  <c r="G4207" i="103"/>
  <c r="G4208" i="103"/>
  <c r="G4209" i="103"/>
  <c r="G4210" i="103"/>
  <c r="G4211" i="103"/>
  <c r="G4212" i="103"/>
  <c r="G4213" i="103"/>
  <c r="G4214" i="103"/>
  <c r="G4215" i="103"/>
  <c r="G4216" i="103"/>
  <c r="G4217" i="103"/>
  <c r="G4218" i="103"/>
  <c r="G4219" i="103"/>
  <c r="G4220" i="103"/>
  <c r="G4221" i="103"/>
  <c r="G4222" i="103"/>
  <c r="G4223" i="103"/>
  <c r="G4224" i="103"/>
  <c r="G4225" i="103"/>
  <c r="G4226" i="103"/>
  <c r="G4227" i="103"/>
  <c r="G4228" i="103"/>
  <c r="G4229" i="103"/>
  <c r="G4230" i="103"/>
  <c r="G4231" i="103"/>
  <c r="G4232" i="103"/>
  <c r="G4233" i="103"/>
  <c r="G4234" i="103"/>
  <c r="G4235" i="103"/>
  <c r="G4236" i="103"/>
  <c r="G4237" i="103"/>
  <c r="G4238" i="103"/>
  <c r="G4239" i="103"/>
  <c r="G4240" i="103"/>
  <c r="G4241" i="103"/>
  <c r="G4242" i="103"/>
  <c r="G4243" i="103"/>
  <c r="G4244" i="103"/>
  <c r="G4245" i="103"/>
  <c r="G4246" i="103"/>
  <c r="G4247" i="103"/>
  <c r="G4248" i="103"/>
  <c r="G4249" i="103"/>
  <c r="G4250" i="103"/>
  <c r="G4251" i="103"/>
  <c r="G4252" i="103"/>
  <c r="G4253" i="103"/>
  <c r="G4254" i="103"/>
  <c r="G4255" i="103"/>
  <c r="G4256" i="103"/>
  <c r="G4257" i="103"/>
  <c r="G4258" i="103"/>
  <c r="G4259" i="103"/>
  <c r="G4260" i="103"/>
  <c r="G4261" i="103"/>
  <c r="G4262" i="103"/>
  <c r="G4263" i="103"/>
  <c r="G4264" i="103"/>
  <c r="G4265" i="103"/>
  <c r="G4266" i="103"/>
  <c r="G4267" i="103"/>
  <c r="G4268" i="103"/>
  <c r="G4269" i="103"/>
  <c r="G4270" i="103"/>
  <c r="G4271" i="103"/>
  <c r="G4272" i="103"/>
  <c r="G4273" i="103"/>
  <c r="G4274" i="103"/>
  <c r="G4275" i="103"/>
  <c r="G4276" i="103"/>
  <c r="G4277" i="103"/>
  <c r="G4278" i="103"/>
  <c r="G4279" i="103"/>
  <c r="G4280" i="103"/>
  <c r="G4281" i="103"/>
  <c r="G4282" i="103"/>
  <c r="G4283" i="103"/>
  <c r="G4284" i="103"/>
  <c r="G4285" i="103"/>
  <c r="G4286" i="103"/>
  <c r="G4287" i="103"/>
  <c r="G4288" i="103"/>
  <c r="G4289" i="103"/>
  <c r="G4290" i="103"/>
  <c r="G4291" i="103"/>
  <c r="G4292" i="103"/>
  <c r="G4293" i="103"/>
  <c r="G4294" i="103"/>
  <c r="G4295" i="103"/>
  <c r="G4296" i="103"/>
  <c r="G4297" i="103"/>
  <c r="G4298" i="103"/>
  <c r="G4299" i="103"/>
  <c r="G4300" i="103"/>
  <c r="G4301" i="103"/>
  <c r="G4302" i="103"/>
  <c r="G4303" i="103"/>
  <c r="G4304" i="103"/>
  <c r="G4305" i="103"/>
  <c r="G4306" i="103"/>
  <c r="G4307" i="103"/>
  <c r="G4308" i="103"/>
  <c r="G4309" i="103"/>
  <c r="G4310" i="103"/>
  <c r="G4311" i="103"/>
  <c r="G4312" i="103"/>
  <c r="G4313" i="103"/>
  <c r="G4314" i="103"/>
  <c r="G4315" i="103"/>
  <c r="G4316" i="103"/>
  <c r="G4317" i="103"/>
  <c r="G4318" i="103"/>
  <c r="G4319" i="103"/>
  <c r="G4320" i="103"/>
  <c r="G4321" i="103"/>
  <c r="G4322" i="103"/>
  <c r="G4323" i="103"/>
  <c r="G4324" i="103"/>
  <c r="G4325" i="103"/>
  <c r="G4326" i="103"/>
  <c r="G4327" i="103"/>
  <c r="G4328" i="103"/>
  <c r="G4329" i="103"/>
  <c r="G4330" i="103"/>
  <c r="G4331" i="103"/>
  <c r="G4332" i="103"/>
  <c r="G4333" i="103"/>
  <c r="G4334" i="103"/>
  <c r="G4335" i="103"/>
  <c r="G4336" i="103"/>
  <c r="G4337" i="103"/>
  <c r="G4338" i="103"/>
  <c r="G4339" i="103"/>
  <c r="G4340" i="103"/>
  <c r="G4341" i="103"/>
  <c r="G4342" i="103"/>
  <c r="G4343" i="103"/>
  <c r="G4344" i="103"/>
  <c r="G4345" i="103"/>
  <c r="G4346" i="103"/>
  <c r="G4347" i="103"/>
  <c r="G4348" i="103"/>
  <c r="G4349" i="103"/>
  <c r="G4350" i="103"/>
  <c r="G4351" i="103"/>
  <c r="G4352" i="103"/>
  <c r="G4353" i="103"/>
  <c r="G4354" i="103"/>
  <c r="G4355" i="103"/>
  <c r="G4356" i="103"/>
  <c r="G4357" i="103"/>
  <c r="G4358" i="103"/>
  <c r="G4359" i="103"/>
  <c r="G4360" i="103"/>
  <c r="G4361" i="103"/>
  <c r="G4362" i="103"/>
  <c r="G4363" i="103"/>
  <c r="G4364" i="103"/>
  <c r="G4365" i="103"/>
  <c r="G4366" i="103"/>
  <c r="G4367" i="103"/>
  <c r="G4368" i="103"/>
  <c r="G4369" i="103"/>
  <c r="G4370" i="103"/>
  <c r="G4371" i="103"/>
  <c r="G4372" i="103"/>
  <c r="G4373" i="103"/>
  <c r="G4374" i="103"/>
  <c r="G4375" i="103"/>
  <c r="G4376" i="103"/>
  <c r="G4377" i="103"/>
  <c r="G4378" i="103"/>
  <c r="G4379" i="103"/>
  <c r="G4380" i="103"/>
  <c r="G4381" i="103"/>
  <c r="G4382" i="103"/>
  <c r="G4383" i="103"/>
  <c r="G4384" i="103"/>
  <c r="G4385" i="103"/>
  <c r="G4386" i="103"/>
  <c r="G4387" i="103"/>
  <c r="G4388" i="103"/>
  <c r="G4389" i="103"/>
  <c r="G4390" i="103"/>
  <c r="G4391" i="103"/>
  <c r="G4392" i="103"/>
  <c r="G4393" i="103"/>
  <c r="G4394" i="103"/>
  <c r="G4395" i="103"/>
  <c r="G4396" i="103"/>
  <c r="G4397" i="103"/>
  <c r="G4398" i="103"/>
  <c r="G4399" i="103"/>
  <c r="G4400" i="103"/>
  <c r="G4401" i="103"/>
  <c r="G4402" i="103"/>
  <c r="G4403" i="103"/>
  <c r="G4404" i="103"/>
  <c r="G4405" i="103"/>
  <c r="G4406" i="103"/>
  <c r="G4407" i="103"/>
  <c r="G4408" i="103"/>
  <c r="G4409" i="103"/>
  <c r="G4410" i="103"/>
  <c r="G4411" i="103"/>
  <c r="G4412" i="103"/>
  <c r="G4413" i="103"/>
  <c r="G4414" i="103"/>
  <c r="G4415" i="103"/>
  <c r="G4416" i="103"/>
  <c r="G4417" i="103"/>
  <c r="G4418" i="103"/>
  <c r="G4419" i="103"/>
  <c r="G4420" i="103"/>
  <c r="G4421" i="103"/>
  <c r="G4422" i="103"/>
  <c r="G4423" i="103"/>
  <c r="G4424" i="103"/>
  <c r="G4425" i="103"/>
  <c r="G4426" i="103"/>
  <c r="G4427" i="103"/>
  <c r="G4428" i="103"/>
  <c r="G4429" i="103"/>
  <c r="G4430" i="103"/>
  <c r="G4431" i="103"/>
  <c r="G4432" i="103"/>
  <c r="G4433" i="103"/>
  <c r="G4434" i="103"/>
  <c r="G4435" i="103"/>
  <c r="G4436" i="103"/>
  <c r="G4437" i="103"/>
  <c r="G4438" i="103"/>
  <c r="G4439" i="103"/>
  <c r="G4440" i="103"/>
  <c r="G4441" i="103"/>
  <c r="G4442" i="103"/>
  <c r="G4443" i="103"/>
  <c r="G4444" i="103"/>
  <c r="G4445" i="103"/>
  <c r="G4446" i="103"/>
  <c r="G4447" i="103"/>
  <c r="G4448" i="103"/>
  <c r="G4449" i="103"/>
  <c r="G4450" i="103"/>
  <c r="G4451" i="103"/>
  <c r="G4452" i="103"/>
  <c r="G4453" i="103"/>
  <c r="G4454" i="103"/>
  <c r="G4455" i="103"/>
  <c r="G4456" i="103"/>
  <c r="G4457" i="103"/>
  <c r="G4458" i="103"/>
  <c r="G4459" i="103"/>
  <c r="G4460" i="103"/>
  <c r="G4461" i="103"/>
  <c r="G4462" i="103"/>
  <c r="G4463" i="103"/>
  <c r="G4464" i="103"/>
  <c r="G4465" i="103"/>
  <c r="G4466" i="103"/>
  <c r="G4467" i="103"/>
  <c r="G4468" i="103"/>
  <c r="G4469" i="103"/>
  <c r="G4470" i="103"/>
  <c r="G4471" i="103"/>
  <c r="G4472" i="103"/>
  <c r="G4473" i="103"/>
  <c r="G4474" i="103"/>
  <c r="G4475" i="103"/>
  <c r="G4476" i="103"/>
  <c r="G4477" i="103"/>
  <c r="G4478" i="103"/>
  <c r="G4479" i="103"/>
  <c r="G4480" i="103"/>
  <c r="G4481" i="103"/>
  <c r="G4482" i="103"/>
  <c r="G4483" i="103"/>
  <c r="G4484" i="103"/>
  <c r="G4485" i="103"/>
  <c r="G4486" i="103"/>
  <c r="G4487" i="103"/>
  <c r="G4488" i="103"/>
  <c r="G4489" i="103"/>
  <c r="G4490" i="103"/>
  <c r="G4491" i="103"/>
  <c r="G4492" i="103"/>
  <c r="G4493" i="103"/>
  <c r="G4494" i="103"/>
  <c r="G4495" i="103"/>
  <c r="G4496" i="103"/>
  <c r="G4497" i="103"/>
  <c r="G4498" i="103"/>
  <c r="G4499" i="103"/>
  <c r="G4500" i="103"/>
  <c r="G4501" i="103"/>
  <c r="G4502" i="103"/>
  <c r="G4503" i="103"/>
  <c r="G4504" i="103"/>
  <c r="G4505" i="103"/>
  <c r="G4506" i="103"/>
  <c r="G4507" i="103"/>
  <c r="G4508" i="103"/>
  <c r="G4509" i="103"/>
  <c r="G4510" i="103"/>
  <c r="G4511" i="103"/>
  <c r="G4512" i="103"/>
  <c r="G4513" i="103"/>
  <c r="G4514" i="103"/>
  <c r="G4515" i="103"/>
  <c r="G4516" i="103"/>
  <c r="G4517" i="103"/>
  <c r="G4518" i="103"/>
  <c r="G4519" i="103"/>
  <c r="G4520" i="103"/>
  <c r="G4521" i="103"/>
  <c r="G4522" i="103"/>
  <c r="G4523" i="103"/>
  <c r="G4524" i="103"/>
  <c r="G4525" i="103"/>
  <c r="G4526" i="103"/>
  <c r="G4527" i="103"/>
  <c r="G4528" i="103"/>
  <c r="G4529" i="103"/>
  <c r="G4530" i="103"/>
  <c r="G4531" i="103"/>
  <c r="G4532" i="103"/>
  <c r="G4533" i="103"/>
  <c r="G4534" i="103"/>
  <c r="G4535" i="103"/>
  <c r="G4536" i="103"/>
  <c r="G4537" i="103"/>
  <c r="G4538" i="103"/>
  <c r="G4539" i="103"/>
  <c r="G4540" i="103"/>
  <c r="G4541" i="103"/>
  <c r="G4542" i="103"/>
  <c r="G4543" i="103"/>
  <c r="G4544" i="103"/>
  <c r="G4545" i="103"/>
  <c r="G4546" i="103"/>
  <c r="G4547" i="103"/>
  <c r="G4548" i="103"/>
  <c r="G4549" i="103"/>
  <c r="G4550" i="103"/>
  <c r="G4551" i="103"/>
  <c r="G4552" i="103"/>
  <c r="G4553" i="103"/>
  <c r="G4554" i="103"/>
  <c r="G4555" i="103"/>
  <c r="G4556" i="103"/>
  <c r="G4557" i="103"/>
  <c r="G4558" i="103"/>
  <c r="G4559" i="103"/>
  <c r="G4560" i="103"/>
  <c r="G4561" i="103"/>
  <c r="G4562" i="103"/>
  <c r="G4563" i="103"/>
  <c r="G4564" i="103"/>
  <c r="G4565" i="103"/>
  <c r="G4566" i="103"/>
  <c r="G4567" i="103"/>
  <c r="G4568" i="103"/>
  <c r="G4569" i="103"/>
  <c r="G4570" i="103"/>
  <c r="G4571" i="103"/>
  <c r="G4572" i="103"/>
  <c r="G4573" i="103"/>
  <c r="G4574" i="103"/>
  <c r="G4575" i="103"/>
  <c r="G4576" i="103"/>
  <c r="G4577" i="103"/>
  <c r="G4578" i="103"/>
  <c r="G4579" i="103"/>
  <c r="G4580" i="103"/>
  <c r="G4581" i="103"/>
  <c r="G4582" i="103"/>
  <c r="G4583" i="103"/>
  <c r="G4584" i="103"/>
  <c r="G4585" i="103"/>
  <c r="G4586" i="103"/>
  <c r="G4587" i="103"/>
  <c r="G4588" i="103"/>
  <c r="G4589" i="103"/>
  <c r="G4590" i="103"/>
  <c r="G4591" i="103"/>
  <c r="G4592" i="103"/>
  <c r="G4593" i="103"/>
  <c r="G4594" i="103"/>
  <c r="G4595" i="103"/>
  <c r="G4596" i="103"/>
  <c r="G4597" i="103"/>
  <c r="G4598" i="103"/>
  <c r="G4599" i="103"/>
  <c r="G4600" i="103"/>
  <c r="G4601" i="103"/>
  <c r="G4602" i="103"/>
  <c r="G4603" i="103"/>
  <c r="G4604" i="103"/>
  <c r="G4605" i="103"/>
  <c r="G4606" i="103"/>
  <c r="G4607" i="103"/>
  <c r="G4608" i="103"/>
  <c r="G4609" i="103"/>
  <c r="G4610" i="103"/>
  <c r="G4611" i="103"/>
  <c r="G4612" i="103"/>
  <c r="G4613" i="103"/>
  <c r="G4614" i="103"/>
  <c r="G4615" i="103"/>
  <c r="G4616" i="103"/>
  <c r="G4617" i="103"/>
  <c r="G4618" i="103"/>
  <c r="G4619" i="103"/>
  <c r="G4620" i="103"/>
  <c r="G4621" i="103"/>
  <c r="G4622" i="103"/>
  <c r="G4623" i="103"/>
  <c r="G4624" i="103"/>
  <c r="G4625" i="103"/>
  <c r="G4626" i="103"/>
  <c r="G4627" i="103"/>
  <c r="G4628" i="103"/>
  <c r="G4629" i="103"/>
  <c r="G4630" i="103"/>
  <c r="G4631" i="103"/>
  <c r="G4632" i="103"/>
  <c r="G4633" i="103"/>
  <c r="G4634" i="103"/>
  <c r="G4635" i="103"/>
  <c r="G4636" i="103"/>
  <c r="G4637" i="103"/>
  <c r="G4638" i="103"/>
  <c r="G4639" i="103"/>
  <c r="G4640" i="103"/>
  <c r="G4641" i="103"/>
  <c r="G4642" i="103"/>
  <c r="G4643" i="103"/>
  <c r="G4644" i="103"/>
  <c r="G4645" i="103"/>
  <c r="G4646" i="103"/>
  <c r="G4647" i="103"/>
  <c r="G4648" i="103"/>
  <c r="G4649" i="103"/>
  <c r="G4650" i="103"/>
  <c r="G4651" i="103"/>
  <c r="G4652" i="103"/>
  <c r="G4653" i="103"/>
  <c r="G4654" i="103"/>
  <c r="G4655" i="103"/>
  <c r="G4656" i="103"/>
  <c r="G4657" i="103"/>
  <c r="G4658" i="103"/>
  <c r="G4659" i="103"/>
  <c r="G4660" i="103"/>
  <c r="G4661" i="103"/>
  <c r="G4662" i="103"/>
  <c r="G4663" i="103"/>
  <c r="G4664" i="103"/>
  <c r="G4665" i="103"/>
  <c r="G4666" i="103"/>
  <c r="G4667" i="103"/>
  <c r="G4668" i="103"/>
  <c r="G4669" i="103"/>
  <c r="G4670" i="103"/>
  <c r="G4671" i="103"/>
  <c r="G4672" i="103"/>
  <c r="G4673" i="103"/>
  <c r="G4674" i="103"/>
  <c r="G4675" i="103"/>
  <c r="G4676" i="103"/>
  <c r="G4677" i="103"/>
  <c r="G4678" i="103"/>
  <c r="G4679" i="103"/>
  <c r="G4680" i="103"/>
  <c r="G4681" i="103"/>
  <c r="G4682" i="103"/>
  <c r="G4683" i="103"/>
  <c r="G4684" i="103"/>
  <c r="G4685" i="103"/>
  <c r="G4686" i="103"/>
  <c r="G4687" i="103"/>
  <c r="G4688" i="103"/>
  <c r="G4689" i="103"/>
  <c r="G4690" i="103"/>
  <c r="G4691" i="103"/>
  <c r="G4692" i="103"/>
  <c r="G4693" i="103"/>
  <c r="G4694" i="103"/>
  <c r="G4695" i="103"/>
  <c r="G4696" i="103"/>
  <c r="G4697" i="103"/>
  <c r="G4698" i="103"/>
  <c r="G4699" i="103"/>
  <c r="G4700" i="103"/>
  <c r="G4701" i="103"/>
  <c r="G4702" i="103"/>
  <c r="G4703" i="103"/>
  <c r="G4704" i="103"/>
  <c r="G4705" i="103"/>
  <c r="G4706" i="103"/>
  <c r="G4707" i="103"/>
  <c r="G4708" i="103"/>
  <c r="G4709" i="103"/>
  <c r="G4710" i="103"/>
  <c r="G4711" i="103"/>
  <c r="G4712" i="103"/>
  <c r="G4713" i="103"/>
  <c r="G4714" i="103"/>
  <c r="G4715" i="103"/>
  <c r="G4716" i="103"/>
  <c r="G4717" i="103"/>
  <c r="G4718" i="103"/>
  <c r="G4719" i="103"/>
  <c r="G4720" i="103"/>
  <c r="G4721" i="103"/>
  <c r="G4722" i="103"/>
  <c r="G4723" i="103"/>
  <c r="G4724" i="103"/>
  <c r="G4725" i="103"/>
  <c r="G4726" i="103"/>
  <c r="G4727" i="103"/>
  <c r="G4728" i="103"/>
  <c r="G4729" i="103"/>
  <c r="G4730" i="103"/>
  <c r="G4731" i="103"/>
  <c r="G4732" i="103"/>
  <c r="G4733" i="103"/>
  <c r="G4734" i="103"/>
  <c r="G4735" i="103"/>
  <c r="G4736" i="103"/>
  <c r="G4737" i="103"/>
  <c r="G4738" i="103"/>
  <c r="G4739" i="103"/>
  <c r="G4740" i="103"/>
  <c r="G4741" i="103"/>
  <c r="G4742" i="103"/>
  <c r="G4743" i="103"/>
  <c r="G4744" i="103"/>
  <c r="G4745" i="103"/>
  <c r="G4746" i="103"/>
  <c r="G4747" i="103"/>
  <c r="G4748" i="103"/>
  <c r="G4749" i="103"/>
  <c r="G4750" i="103"/>
  <c r="G4751" i="103"/>
  <c r="G4752" i="103"/>
  <c r="G4753" i="103"/>
  <c r="G4754" i="103"/>
  <c r="G4755" i="103"/>
  <c r="G4756" i="103"/>
  <c r="G4757" i="103"/>
  <c r="G4758" i="103"/>
  <c r="G4759" i="103"/>
  <c r="G4760" i="103"/>
  <c r="G4761" i="103"/>
  <c r="G4762" i="103"/>
  <c r="G4763" i="103"/>
  <c r="G4764" i="103"/>
  <c r="G4765" i="103"/>
  <c r="G4766" i="103"/>
  <c r="G4767" i="103"/>
  <c r="G4768" i="103"/>
  <c r="G4769" i="103"/>
  <c r="G4770" i="103"/>
  <c r="G4771" i="103"/>
  <c r="G4772" i="103"/>
  <c r="G4773" i="103"/>
  <c r="G4774" i="103"/>
  <c r="G4775" i="103"/>
  <c r="G4776" i="103"/>
  <c r="G4777" i="103"/>
  <c r="G4778" i="103"/>
  <c r="G4779" i="103"/>
  <c r="G4780" i="103"/>
  <c r="G4781" i="103"/>
  <c r="G4782" i="103"/>
  <c r="G4783" i="103"/>
  <c r="G4784" i="103"/>
  <c r="G4785" i="103"/>
  <c r="G4786" i="103"/>
  <c r="G4787" i="103"/>
  <c r="G4788" i="103"/>
  <c r="G4789" i="103"/>
  <c r="G4790" i="103"/>
  <c r="G4791" i="103"/>
  <c r="G4792" i="103"/>
  <c r="G4793" i="103"/>
  <c r="G4794" i="103"/>
  <c r="G4795" i="103"/>
  <c r="G4796" i="103"/>
  <c r="G4797" i="103"/>
  <c r="G4798" i="103"/>
  <c r="G4799" i="103"/>
  <c r="G4800" i="103"/>
  <c r="G4801" i="103"/>
  <c r="G4802" i="103"/>
  <c r="G4803" i="103"/>
  <c r="G4804" i="103"/>
  <c r="G4805" i="103"/>
  <c r="G4806" i="103"/>
  <c r="G4807" i="103"/>
  <c r="G4808" i="103"/>
  <c r="G4809" i="103"/>
  <c r="G4810" i="103"/>
  <c r="G4811" i="103"/>
  <c r="G4812" i="103"/>
  <c r="G4813" i="103"/>
  <c r="G4814" i="103"/>
  <c r="G4815" i="103"/>
  <c r="G4816" i="103"/>
  <c r="G4817" i="103"/>
  <c r="G4818" i="103"/>
  <c r="G4819" i="103"/>
  <c r="G4820" i="103"/>
  <c r="G4821" i="103"/>
  <c r="G4822" i="103"/>
  <c r="G4823" i="103"/>
  <c r="G4824" i="103"/>
  <c r="G4825" i="103"/>
  <c r="G4826" i="103"/>
  <c r="G4827" i="103"/>
  <c r="G4828" i="103"/>
  <c r="G4829" i="103"/>
  <c r="G4830" i="103"/>
  <c r="G4831" i="103"/>
  <c r="G4832" i="103"/>
  <c r="G4833" i="103"/>
  <c r="G4834" i="103"/>
  <c r="G4835" i="103"/>
  <c r="G4836" i="103"/>
  <c r="G4837" i="103"/>
  <c r="G4838" i="103"/>
  <c r="G4839" i="103"/>
  <c r="G4840" i="103"/>
  <c r="G4841" i="103"/>
  <c r="G4842" i="103"/>
  <c r="G4843" i="103"/>
  <c r="G4844" i="103"/>
  <c r="G4845" i="103"/>
  <c r="G4846" i="103"/>
  <c r="G4847" i="103"/>
  <c r="G4848" i="103"/>
  <c r="G4849" i="103"/>
  <c r="G4850" i="103"/>
  <c r="G4851" i="103"/>
  <c r="G4852" i="103"/>
  <c r="G4853" i="103"/>
  <c r="G4854" i="103"/>
  <c r="G4855" i="103"/>
  <c r="G4856" i="103"/>
  <c r="G4857" i="103"/>
  <c r="G4858" i="103"/>
  <c r="G4859" i="103"/>
  <c r="G4860" i="103"/>
  <c r="G4861" i="103"/>
  <c r="G4862" i="103"/>
  <c r="G4863" i="103"/>
  <c r="G4864" i="103"/>
  <c r="G4865" i="103"/>
  <c r="G4866" i="103"/>
  <c r="G4867" i="103"/>
  <c r="G4868" i="103"/>
  <c r="G4869" i="103"/>
  <c r="G4870" i="103"/>
  <c r="G4871" i="103"/>
  <c r="G4872" i="103"/>
  <c r="G4873" i="103"/>
  <c r="G4874" i="103"/>
  <c r="G4875" i="103"/>
  <c r="G4876" i="103"/>
  <c r="G4877" i="103"/>
  <c r="G4878" i="103"/>
  <c r="G4879" i="103"/>
  <c r="G4880" i="103"/>
  <c r="G4881" i="103"/>
  <c r="G4882" i="103"/>
  <c r="G4883" i="103"/>
  <c r="G4884" i="103"/>
  <c r="G4885" i="103"/>
  <c r="G4886" i="103"/>
  <c r="G4887" i="103"/>
  <c r="G4888" i="103"/>
  <c r="G4889" i="103"/>
  <c r="G4890" i="103"/>
  <c r="G4891" i="103"/>
  <c r="G4892" i="103"/>
  <c r="G4893" i="103"/>
  <c r="G4894" i="103"/>
  <c r="G4895" i="103"/>
  <c r="G4896" i="103"/>
  <c r="G4897" i="103"/>
  <c r="G4898" i="103"/>
  <c r="G4899" i="103"/>
  <c r="G4900" i="103"/>
  <c r="G4901" i="103"/>
  <c r="G4902" i="103"/>
  <c r="G4903" i="103"/>
  <c r="G4904" i="103"/>
  <c r="G4905" i="103"/>
  <c r="G4906" i="103"/>
  <c r="G4907" i="103"/>
  <c r="G4908" i="103"/>
  <c r="G4909" i="103"/>
  <c r="G4910" i="103"/>
  <c r="G4911" i="103"/>
  <c r="G4912" i="103"/>
  <c r="G4913" i="103"/>
  <c r="G4914" i="103"/>
  <c r="G4915" i="103"/>
  <c r="G4916" i="103"/>
  <c r="G4917" i="103"/>
  <c r="G4918" i="103"/>
  <c r="G4919" i="103"/>
  <c r="G4920" i="103"/>
  <c r="G4921" i="103"/>
  <c r="G4922" i="103"/>
  <c r="G4923" i="103"/>
  <c r="G4924" i="103"/>
  <c r="G4925" i="103"/>
  <c r="G4926" i="103"/>
  <c r="G4927" i="103"/>
  <c r="G4928" i="103"/>
  <c r="G4929" i="103"/>
  <c r="G4930" i="103"/>
  <c r="G4931" i="103"/>
  <c r="G4932" i="103"/>
  <c r="G4933" i="103"/>
  <c r="G4934" i="103"/>
  <c r="G4935" i="103"/>
  <c r="G4936" i="103"/>
  <c r="G4937" i="103"/>
  <c r="G4938" i="103"/>
  <c r="G4939" i="103"/>
  <c r="G4940" i="103"/>
  <c r="G4941" i="103"/>
  <c r="G4942" i="103"/>
  <c r="G4943" i="103"/>
  <c r="G4944" i="103"/>
  <c r="G4945" i="103"/>
  <c r="G4946" i="103"/>
  <c r="G4947" i="103"/>
  <c r="G4948" i="103"/>
  <c r="G4949" i="103"/>
  <c r="G4950" i="103"/>
  <c r="G4951" i="103"/>
  <c r="G4952" i="103"/>
  <c r="G4953" i="103"/>
  <c r="G4954" i="103"/>
  <c r="G4955" i="103"/>
  <c r="G4956" i="103"/>
  <c r="G4957" i="103"/>
  <c r="G4958" i="103"/>
  <c r="G4959" i="103"/>
  <c r="G4960" i="103"/>
  <c r="G4961" i="103"/>
  <c r="G4962" i="103"/>
  <c r="G4963" i="103"/>
  <c r="G4964" i="103"/>
  <c r="G4965" i="103"/>
  <c r="G4966" i="103"/>
  <c r="G4967" i="103"/>
  <c r="G4968" i="103"/>
  <c r="G4969" i="103"/>
  <c r="G4970" i="103"/>
  <c r="G4971" i="103"/>
  <c r="G4972" i="103"/>
  <c r="G4973" i="103"/>
  <c r="G4974" i="103"/>
  <c r="G4975" i="103"/>
  <c r="G4976" i="103"/>
  <c r="G4977" i="103"/>
  <c r="G4978" i="103"/>
  <c r="G4979" i="103"/>
  <c r="G4980" i="103"/>
  <c r="G4981" i="103"/>
  <c r="G4982" i="103"/>
  <c r="G4983" i="103"/>
  <c r="G4984" i="103"/>
  <c r="G4985" i="103"/>
  <c r="G4986" i="103"/>
  <c r="G4987" i="103"/>
  <c r="G4988" i="103"/>
  <c r="G4989" i="103"/>
  <c r="G4990" i="103"/>
  <c r="G4991" i="103"/>
  <c r="G4992" i="103"/>
  <c r="G4993" i="103"/>
  <c r="G4994" i="103"/>
  <c r="G4995" i="103"/>
  <c r="G4996" i="103"/>
  <c r="G4997" i="103"/>
  <c r="G4998" i="103"/>
  <c r="G4999" i="103"/>
  <c r="G5000" i="103"/>
  <c r="G5001" i="103"/>
  <c r="G5002" i="103"/>
  <c r="G5003" i="103"/>
  <c r="G5004" i="103"/>
  <c r="G5005" i="103"/>
  <c r="G5006" i="103"/>
  <c r="G5007" i="103"/>
  <c r="G5008" i="103"/>
  <c r="G5009" i="103"/>
  <c r="G5010" i="103"/>
  <c r="G5011" i="103"/>
  <c r="G5012" i="103"/>
  <c r="G5013" i="103"/>
  <c r="G5014" i="103"/>
  <c r="G5015" i="103"/>
  <c r="G5016" i="103"/>
  <c r="G5017" i="103"/>
  <c r="G5018" i="103"/>
  <c r="G5019" i="103"/>
  <c r="G5020" i="103"/>
  <c r="G5021" i="103"/>
  <c r="G5022" i="103"/>
  <c r="G5023" i="103"/>
  <c r="G5024" i="103"/>
  <c r="G5025" i="103"/>
  <c r="G5026" i="103"/>
  <c r="G5027" i="103"/>
  <c r="G5028" i="103"/>
  <c r="G5029" i="103"/>
  <c r="G5030" i="103"/>
  <c r="G5031" i="103"/>
  <c r="G5032" i="103"/>
  <c r="G5033" i="103"/>
  <c r="G5034" i="103"/>
  <c r="G5035" i="103"/>
  <c r="G5036" i="103"/>
  <c r="G5037" i="103"/>
  <c r="G5038" i="103"/>
  <c r="G5039" i="103"/>
  <c r="G5040" i="103"/>
  <c r="G5041" i="103"/>
  <c r="G5042" i="103"/>
  <c r="G5043" i="103"/>
  <c r="G5044" i="103"/>
  <c r="G5045" i="103"/>
  <c r="G5046" i="103"/>
  <c r="G5047" i="103"/>
  <c r="G5048" i="103"/>
  <c r="G5049" i="103"/>
  <c r="G5050" i="103"/>
  <c r="G5051" i="103"/>
  <c r="G5052" i="103"/>
  <c r="G5053" i="103"/>
  <c r="G5054" i="103"/>
  <c r="G5055" i="103"/>
  <c r="G5056" i="103"/>
  <c r="G5057" i="103"/>
  <c r="G5058" i="103"/>
  <c r="G5059" i="103"/>
  <c r="G5060" i="103"/>
  <c r="G5061" i="103"/>
  <c r="G5062" i="103"/>
  <c r="G5063" i="103"/>
  <c r="G5064" i="103"/>
  <c r="G5065" i="103"/>
  <c r="G5066" i="103"/>
  <c r="G5067" i="103"/>
  <c r="G5068" i="103"/>
  <c r="G5069" i="103"/>
  <c r="G5070" i="103"/>
  <c r="G5071" i="103"/>
  <c r="G5072" i="103"/>
  <c r="G5073" i="103"/>
  <c r="G5074" i="103"/>
  <c r="G5075" i="103"/>
  <c r="G5076" i="103"/>
  <c r="G5077" i="103"/>
  <c r="G5078" i="103"/>
  <c r="G5079" i="103"/>
  <c r="G5080" i="103"/>
  <c r="G5081" i="103"/>
  <c r="G5082" i="103"/>
  <c r="G5083" i="103"/>
  <c r="G5084" i="103"/>
  <c r="G5085" i="103"/>
  <c r="G5086" i="103"/>
  <c r="G5087" i="103"/>
  <c r="G5088" i="103"/>
  <c r="G5089" i="103"/>
  <c r="G5090" i="103"/>
  <c r="G5091" i="103"/>
  <c r="G5092" i="103"/>
  <c r="G5093" i="103"/>
  <c r="G5094" i="103"/>
  <c r="G5095" i="103"/>
  <c r="G5096" i="103"/>
  <c r="G5097" i="103"/>
  <c r="G5098" i="103"/>
  <c r="G5099" i="103"/>
  <c r="G5100" i="103"/>
  <c r="G5101" i="103"/>
  <c r="G5102" i="103"/>
  <c r="G5103" i="103"/>
  <c r="G5104" i="103"/>
  <c r="G5105" i="103"/>
  <c r="G5106" i="103"/>
  <c r="G5107" i="103"/>
  <c r="G5108" i="103"/>
  <c r="G5109" i="103"/>
  <c r="G5110" i="103"/>
  <c r="G5111" i="103"/>
  <c r="G5112" i="103"/>
  <c r="G5113" i="103"/>
  <c r="G5114" i="103"/>
  <c r="G5115" i="103"/>
  <c r="G5116" i="103"/>
  <c r="G5117" i="103"/>
  <c r="G5118" i="103"/>
  <c r="G5119" i="103"/>
  <c r="G5120" i="103"/>
  <c r="G5121" i="103"/>
  <c r="G5122" i="103"/>
  <c r="G5123" i="103"/>
  <c r="G5124" i="103"/>
  <c r="G5125" i="103"/>
  <c r="G5126" i="103"/>
  <c r="G5127" i="103"/>
  <c r="G5128" i="103"/>
  <c r="G5129" i="103"/>
  <c r="G5130" i="103"/>
  <c r="G5131" i="103"/>
  <c r="G5132" i="103"/>
  <c r="G5133" i="103"/>
  <c r="G5134" i="103"/>
  <c r="G5135" i="103"/>
  <c r="G5136" i="103"/>
  <c r="G5137" i="103"/>
  <c r="G5138" i="103"/>
  <c r="G5139" i="103"/>
  <c r="G5140" i="103"/>
  <c r="G5141" i="103"/>
  <c r="G5142" i="103"/>
  <c r="G5143" i="103"/>
  <c r="G5144" i="103"/>
  <c r="G5145" i="103"/>
  <c r="G5146" i="103"/>
  <c r="G5147" i="103"/>
  <c r="G5148" i="103"/>
  <c r="G5149" i="103"/>
  <c r="G5150" i="103"/>
  <c r="G5151" i="103"/>
  <c r="G5152" i="103"/>
  <c r="G5153" i="103"/>
  <c r="G5154" i="103"/>
  <c r="G5155" i="103"/>
  <c r="G5156" i="103"/>
  <c r="G5157" i="103"/>
  <c r="G5158" i="103"/>
  <c r="G5159" i="103"/>
  <c r="G5160" i="103"/>
  <c r="G5161" i="103"/>
  <c r="G5162" i="103"/>
  <c r="G5163" i="103"/>
  <c r="G5164" i="103"/>
  <c r="G5165" i="103"/>
  <c r="G5166" i="103"/>
  <c r="G5167" i="103"/>
  <c r="G5168" i="103"/>
  <c r="G5169" i="103"/>
  <c r="G5170" i="103"/>
  <c r="G5171" i="103"/>
  <c r="G5172" i="103"/>
  <c r="G5173" i="103"/>
  <c r="G5174" i="103"/>
  <c r="G5175" i="103"/>
  <c r="G5176" i="103"/>
  <c r="G5177" i="103"/>
  <c r="G5178" i="103"/>
  <c r="G5179" i="103"/>
  <c r="G5180" i="103"/>
  <c r="G5181" i="103"/>
  <c r="G5182" i="103"/>
  <c r="G5183" i="103"/>
  <c r="G5184" i="103"/>
  <c r="G5185" i="103"/>
  <c r="G5186" i="103"/>
  <c r="G5187" i="103"/>
  <c r="G5188" i="103"/>
  <c r="G5189" i="103"/>
  <c r="G5190" i="103"/>
  <c r="G5191" i="103"/>
  <c r="G5192" i="103"/>
  <c r="G5193" i="103"/>
  <c r="G5194" i="103"/>
  <c r="G5195" i="103"/>
  <c r="G5196" i="103"/>
  <c r="G5197" i="103"/>
  <c r="G5198" i="103"/>
  <c r="G5199" i="103"/>
  <c r="G5200" i="103"/>
  <c r="G5201" i="103"/>
  <c r="G5202" i="103"/>
  <c r="G5203" i="103"/>
  <c r="G5204" i="103"/>
  <c r="G5205" i="103"/>
  <c r="G5206" i="103"/>
  <c r="G5207" i="103"/>
  <c r="G5208" i="103"/>
  <c r="G5209" i="103"/>
  <c r="G5210" i="103"/>
  <c r="G5211" i="103"/>
  <c r="G5212" i="103"/>
  <c r="G5213" i="103"/>
  <c r="G5214" i="103"/>
  <c r="G5215" i="103"/>
  <c r="G5216" i="103"/>
  <c r="G5217" i="103"/>
  <c r="G5218" i="103"/>
  <c r="G5219" i="103"/>
  <c r="G5220" i="103"/>
  <c r="G5221" i="103"/>
  <c r="G5222" i="103"/>
  <c r="G5223" i="103"/>
  <c r="G5224" i="103"/>
  <c r="G5225" i="103"/>
  <c r="G5226" i="103"/>
  <c r="G5227" i="103"/>
  <c r="G5228" i="103"/>
  <c r="G5229" i="103"/>
  <c r="G5230" i="103"/>
  <c r="G5231" i="103"/>
  <c r="G5232" i="103"/>
  <c r="G5233" i="103"/>
  <c r="G5234" i="103"/>
  <c r="G5235" i="103"/>
  <c r="G5236" i="103"/>
  <c r="G5237" i="103"/>
  <c r="G5238" i="103"/>
  <c r="G5239" i="103"/>
  <c r="G5240" i="103"/>
  <c r="G5241" i="103"/>
  <c r="G5242" i="103"/>
  <c r="G5243" i="103"/>
  <c r="G5244" i="103"/>
  <c r="G5245" i="103"/>
  <c r="G5246" i="103"/>
  <c r="G5247" i="103"/>
  <c r="G5248" i="103"/>
  <c r="G5249" i="103"/>
  <c r="G5250" i="103"/>
  <c r="G5251" i="103"/>
  <c r="G5252" i="103"/>
  <c r="G5253" i="103"/>
  <c r="G5254" i="103"/>
  <c r="G5255" i="103"/>
  <c r="G5256" i="103"/>
  <c r="G5257" i="103"/>
  <c r="G5258" i="103"/>
  <c r="G5259" i="103"/>
  <c r="G5260" i="103"/>
  <c r="G5261" i="103"/>
  <c r="G5262" i="103"/>
  <c r="G5263" i="103"/>
  <c r="G5264" i="103"/>
  <c r="G5265" i="103"/>
  <c r="G5266" i="103"/>
  <c r="G5267" i="103"/>
  <c r="G5268" i="103"/>
  <c r="G5269" i="103"/>
  <c r="G5270" i="103"/>
  <c r="G5271" i="103"/>
  <c r="G5272" i="103"/>
  <c r="G5273" i="103"/>
  <c r="G5274" i="103"/>
  <c r="G5275" i="103"/>
  <c r="G5276" i="103"/>
  <c r="G5277" i="103"/>
  <c r="G5278" i="103"/>
  <c r="G5279" i="103"/>
  <c r="G5280" i="103"/>
  <c r="G5281" i="103"/>
  <c r="G5282" i="103"/>
  <c r="G5283" i="103"/>
  <c r="G5284" i="103"/>
  <c r="G5285" i="103"/>
  <c r="G5286" i="103"/>
  <c r="G5287" i="103"/>
  <c r="G5288" i="103"/>
  <c r="G5289" i="103"/>
  <c r="G5290" i="103"/>
  <c r="G5291" i="103"/>
  <c r="G5292" i="103"/>
  <c r="G5293" i="103"/>
  <c r="G5294" i="103"/>
  <c r="G5295" i="103"/>
  <c r="G5296" i="103"/>
  <c r="G5297" i="103"/>
  <c r="G5298" i="103"/>
  <c r="G5299" i="103"/>
  <c r="G5300" i="103"/>
  <c r="G5301" i="103"/>
  <c r="G5302" i="103"/>
  <c r="G5303" i="103"/>
  <c r="G5304" i="103"/>
  <c r="G5305" i="103"/>
  <c r="G5306" i="103"/>
  <c r="G5307" i="103"/>
  <c r="G5308" i="103"/>
  <c r="G5309" i="103"/>
  <c r="G5310" i="103"/>
  <c r="G5311" i="103"/>
  <c r="G5312" i="103"/>
  <c r="G5313" i="103"/>
  <c r="G5314" i="103"/>
  <c r="G5315" i="103"/>
  <c r="G5316" i="103"/>
  <c r="G5317" i="103"/>
  <c r="G5318" i="103"/>
  <c r="G5319" i="103"/>
  <c r="G5320" i="103"/>
  <c r="G5321" i="103"/>
  <c r="G5322" i="103"/>
  <c r="G5323" i="103"/>
  <c r="G5324" i="103"/>
  <c r="G5325" i="103"/>
  <c r="G5326" i="103"/>
  <c r="G5327" i="103"/>
  <c r="G5328" i="103"/>
  <c r="G5329" i="103"/>
  <c r="G5330" i="103"/>
  <c r="G5331" i="103"/>
  <c r="G5332" i="103"/>
  <c r="G5333" i="103"/>
  <c r="G5334" i="103"/>
  <c r="G5335" i="103"/>
  <c r="G5336" i="103"/>
  <c r="G5337" i="103"/>
  <c r="G5338" i="103"/>
  <c r="G5339" i="103"/>
  <c r="G5340" i="103"/>
  <c r="G5341" i="103"/>
  <c r="G5342" i="103"/>
  <c r="G5343" i="103"/>
  <c r="G5344" i="103"/>
  <c r="G5345" i="103"/>
  <c r="G5346" i="103"/>
  <c r="G5347" i="103"/>
  <c r="G5348" i="103"/>
  <c r="G5349" i="103"/>
  <c r="G5350" i="103"/>
  <c r="G5351" i="103"/>
  <c r="G5352" i="103"/>
  <c r="G5353" i="103"/>
  <c r="G5354" i="103"/>
  <c r="G5355" i="103"/>
  <c r="G5356" i="103"/>
  <c r="G5357" i="103"/>
  <c r="G5358" i="103"/>
  <c r="G5359" i="103"/>
  <c r="G5360" i="103"/>
  <c r="G5361" i="103"/>
  <c r="G5362" i="103"/>
  <c r="G5363" i="103"/>
  <c r="G5364" i="103"/>
  <c r="G5365" i="103"/>
  <c r="G5366" i="103"/>
  <c r="G5367" i="103"/>
  <c r="G5368" i="103"/>
  <c r="G5369" i="103"/>
  <c r="G5370" i="103"/>
  <c r="G5371" i="103"/>
  <c r="G5372" i="103"/>
  <c r="G5373" i="103"/>
  <c r="G5374" i="103"/>
  <c r="G5375" i="103"/>
  <c r="G5376" i="103"/>
  <c r="G5377" i="103"/>
  <c r="G5378" i="103"/>
  <c r="G5379" i="103"/>
  <c r="G5380" i="103"/>
  <c r="G5381" i="103"/>
  <c r="G5382" i="103"/>
  <c r="G5383" i="103"/>
  <c r="G5384" i="103"/>
  <c r="G5385" i="103"/>
  <c r="G5386" i="103"/>
  <c r="G5387" i="103"/>
  <c r="G5388" i="103"/>
  <c r="G5389" i="103"/>
  <c r="G5390" i="103"/>
  <c r="G5391" i="103"/>
  <c r="G5392" i="103"/>
  <c r="G5393" i="103"/>
  <c r="G5394" i="103"/>
  <c r="G5395" i="103"/>
  <c r="G5396" i="103"/>
  <c r="G5397" i="103"/>
  <c r="G5398" i="103"/>
  <c r="G5399" i="103"/>
  <c r="G5400" i="103"/>
  <c r="G5401" i="103"/>
  <c r="G5402" i="103"/>
  <c r="G5403" i="103"/>
  <c r="G5404" i="103"/>
  <c r="G5405" i="103"/>
  <c r="G5406" i="103"/>
  <c r="G5407" i="103"/>
  <c r="G5408" i="103"/>
  <c r="G5409" i="103"/>
  <c r="G5410" i="103"/>
  <c r="G5411" i="103"/>
  <c r="G5412" i="103"/>
  <c r="G5413" i="103"/>
  <c r="G5414" i="103"/>
  <c r="G5415" i="103"/>
  <c r="G5416" i="103"/>
  <c r="G5417" i="103"/>
  <c r="G5418" i="103"/>
  <c r="G5419" i="103"/>
  <c r="G5420" i="103"/>
  <c r="G5421" i="103"/>
  <c r="G5422" i="103"/>
  <c r="G5423" i="103"/>
  <c r="G5424" i="103"/>
  <c r="G5425" i="103"/>
  <c r="G5426" i="103"/>
  <c r="G5427" i="103"/>
  <c r="G5428" i="103"/>
  <c r="G5429" i="103"/>
  <c r="G5430" i="103"/>
  <c r="G5431" i="103"/>
  <c r="G5432" i="103"/>
  <c r="G5433" i="103"/>
  <c r="G5434" i="103"/>
  <c r="G5435" i="103"/>
  <c r="G5436" i="103"/>
  <c r="G5437" i="103"/>
  <c r="G5438" i="103"/>
  <c r="G5439" i="103"/>
  <c r="G5440" i="103"/>
  <c r="G5441" i="103"/>
  <c r="G5442" i="103"/>
  <c r="G5443" i="103"/>
  <c r="G5444" i="103"/>
  <c r="G5445" i="103"/>
  <c r="G5446" i="103"/>
  <c r="G5447" i="103"/>
  <c r="G5448" i="103"/>
  <c r="G5449" i="103"/>
  <c r="G5450" i="103"/>
  <c r="G5451" i="103"/>
  <c r="G5452" i="103"/>
  <c r="G5453" i="103"/>
  <c r="G5454" i="103"/>
  <c r="G5455" i="103"/>
  <c r="G5456" i="103"/>
  <c r="G5457" i="103"/>
  <c r="G5458" i="103"/>
  <c r="G5459" i="103"/>
  <c r="G5460" i="103"/>
  <c r="G5461" i="103"/>
  <c r="G5462" i="103"/>
  <c r="G5463" i="103"/>
  <c r="G5464" i="103"/>
  <c r="G5465" i="103"/>
  <c r="G5466" i="103"/>
  <c r="G5467" i="103"/>
  <c r="G5468" i="103"/>
  <c r="G5469" i="103"/>
  <c r="G5470" i="103"/>
  <c r="G5471" i="103"/>
  <c r="G5472" i="103"/>
  <c r="G5473" i="103"/>
  <c r="G5474" i="103"/>
  <c r="G5475" i="103"/>
  <c r="G5476" i="103"/>
  <c r="G5477" i="103"/>
  <c r="G5478" i="103"/>
  <c r="G5479" i="103"/>
  <c r="G5480" i="103"/>
  <c r="G5481" i="103"/>
  <c r="G5482" i="103"/>
  <c r="G5483" i="103"/>
  <c r="G5484" i="103"/>
  <c r="G5485" i="103"/>
  <c r="G5486" i="103"/>
  <c r="G5487" i="103"/>
  <c r="G5488" i="103"/>
  <c r="G5489" i="103"/>
  <c r="G5490" i="103"/>
  <c r="G5491" i="103"/>
  <c r="G5492" i="103"/>
  <c r="G5493" i="103"/>
  <c r="G5494" i="103"/>
  <c r="G5495" i="103"/>
  <c r="G5496" i="103"/>
  <c r="G5497" i="103"/>
  <c r="G5498" i="103"/>
  <c r="G5499" i="103"/>
  <c r="G5500" i="103"/>
  <c r="G5501" i="103"/>
  <c r="G5502" i="103"/>
  <c r="G5503" i="103"/>
  <c r="G5504" i="103"/>
  <c r="G5505" i="103"/>
  <c r="G5506" i="103"/>
  <c r="G5507" i="103"/>
  <c r="G5508" i="103"/>
  <c r="G5509" i="103"/>
  <c r="G5510" i="103"/>
  <c r="G5511" i="103"/>
  <c r="G5512" i="103"/>
  <c r="G5513" i="103"/>
  <c r="G5514" i="103"/>
  <c r="G5515" i="103"/>
  <c r="G5516" i="103"/>
  <c r="G5517" i="103"/>
  <c r="G5518" i="103"/>
  <c r="G5519" i="103"/>
  <c r="G5520" i="103"/>
  <c r="G5521" i="103"/>
  <c r="G5522" i="103"/>
  <c r="G5523" i="103"/>
  <c r="G5524" i="103"/>
  <c r="G5525" i="103"/>
  <c r="G5526" i="103"/>
  <c r="G5527" i="103"/>
  <c r="G5528" i="103"/>
  <c r="G5529" i="103"/>
  <c r="G5530" i="103"/>
  <c r="G5531" i="103"/>
  <c r="G5532" i="103"/>
  <c r="G5533" i="103"/>
  <c r="G5534" i="103"/>
  <c r="G5535" i="103"/>
  <c r="G5536" i="103"/>
  <c r="G5537" i="103"/>
  <c r="G5538" i="103"/>
  <c r="G5539" i="103"/>
  <c r="G5540" i="103"/>
  <c r="G5541" i="103"/>
  <c r="G5542" i="103"/>
  <c r="G5543" i="103"/>
  <c r="G5544" i="103"/>
  <c r="G5545" i="103"/>
  <c r="G5546" i="103"/>
  <c r="G5547" i="103"/>
  <c r="G5548" i="103"/>
  <c r="G5549" i="103"/>
  <c r="G5550" i="103"/>
  <c r="G5551" i="103"/>
  <c r="G5552" i="103"/>
  <c r="G5553" i="103"/>
  <c r="G5554" i="103"/>
  <c r="G5555" i="103"/>
  <c r="G5556" i="103"/>
  <c r="G5557" i="103"/>
  <c r="G5558" i="103"/>
  <c r="G5559" i="103"/>
  <c r="G5560" i="103"/>
  <c r="G5561" i="103"/>
  <c r="G5562" i="103"/>
  <c r="G5563" i="103"/>
  <c r="G5564" i="103"/>
  <c r="G5565" i="103"/>
  <c r="G5566" i="103"/>
  <c r="G5567" i="103"/>
  <c r="G5568" i="103"/>
  <c r="G5569" i="103"/>
  <c r="G5570" i="103"/>
  <c r="G5571" i="103"/>
  <c r="G5572" i="103"/>
  <c r="G5573" i="103"/>
  <c r="G5574" i="103"/>
  <c r="G5575" i="103"/>
  <c r="G5576" i="103"/>
  <c r="G5577" i="103"/>
  <c r="G5578" i="103"/>
  <c r="G5579" i="103"/>
  <c r="G5580" i="103"/>
  <c r="G5581" i="103"/>
  <c r="G5582" i="103"/>
  <c r="G5583" i="103"/>
  <c r="G5584" i="103"/>
  <c r="G5585" i="103"/>
  <c r="G5586" i="103"/>
  <c r="G5587" i="103"/>
  <c r="G5588" i="103"/>
  <c r="G5589" i="103"/>
  <c r="G5590" i="103"/>
  <c r="G5591" i="103"/>
  <c r="G5592" i="103"/>
  <c r="G5593" i="103"/>
  <c r="G5594" i="103"/>
  <c r="G5595" i="103"/>
  <c r="G5596" i="103"/>
  <c r="G5597" i="103"/>
  <c r="G5598" i="103"/>
  <c r="G5599" i="103"/>
  <c r="G5600" i="103"/>
  <c r="G5601" i="103"/>
  <c r="G5602" i="103"/>
  <c r="G5603" i="103"/>
  <c r="G5604" i="103"/>
  <c r="G5605" i="103"/>
  <c r="G5606" i="103"/>
  <c r="G5607" i="103"/>
  <c r="G5608" i="103"/>
  <c r="G5609" i="103"/>
  <c r="G5610" i="103"/>
  <c r="G5611" i="103"/>
  <c r="G5612" i="103"/>
  <c r="G5613" i="103"/>
  <c r="G5614" i="103"/>
  <c r="G5615" i="103"/>
  <c r="G5616" i="103"/>
  <c r="G5617" i="103"/>
  <c r="G5618" i="103"/>
  <c r="G5619" i="103"/>
  <c r="G5620" i="103"/>
  <c r="G5621" i="103"/>
  <c r="G5622" i="103"/>
  <c r="G5623" i="103"/>
  <c r="G5624" i="103"/>
  <c r="G5625" i="103"/>
  <c r="G5626" i="103"/>
  <c r="G5627" i="103"/>
  <c r="G5628" i="103"/>
  <c r="G5629" i="103"/>
  <c r="G5630" i="103"/>
  <c r="G5631" i="103"/>
  <c r="G5632" i="103"/>
  <c r="G5633" i="103"/>
  <c r="G5634" i="103"/>
  <c r="G5635" i="103"/>
  <c r="G5636" i="103"/>
  <c r="G5637" i="103"/>
  <c r="G5638" i="103"/>
  <c r="G5639" i="103"/>
  <c r="G5640" i="103"/>
  <c r="G5641" i="103"/>
  <c r="G5642" i="103"/>
  <c r="G5643" i="103"/>
  <c r="G5644" i="103"/>
  <c r="G5645" i="103"/>
  <c r="G5646" i="103"/>
  <c r="G5647" i="103"/>
  <c r="G5648" i="103"/>
  <c r="G5649" i="103"/>
  <c r="G5650" i="103"/>
  <c r="G5651" i="103"/>
  <c r="G5652" i="103"/>
  <c r="G5653" i="103"/>
  <c r="G5654" i="103"/>
  <c r="G5655" i="103"/>
  <c r="G5656" i="103"/>
  <c r="G5657" i="103"/>
  <c r="G5658" i="103"/>
  <c r="G5659" i="103"/>
  <c r="G5660" i="103"/>
  <c r="G5661" i="103"/>
  <c r="G5662" i="103"/>
  <c r="G5663" i="103"/>
  <c r="G5664" i="103"/>
  <c r="G5665" i="103"/>
  <c r="G5666" i="103"/>
  <c r="G5667" i="103"/>
  <c r="G5668" i="103"/>
  <c r="G5669" i="103"/>
  <c r="G5670" i="103"/>
  <c r="G5671" i="103"/>
  <c r="G5672" i="103"/>
  <c r="G5673" i="103"/>
  <c r="G5674" i="103"/>
  <c r="G5675" i="103"/>
  <c r="G5676" i="103"/>
  <c r="G5677" i="103"/>
  <c r="G5678" i="103"/>
  <c r="G5679" i="103"/>
  <c r="G5680" i="103"/>
  <c r="G5681" i="103"/>
  <c r="G5682" i="103"/>
  <c r="G5683" i="103"/>
  <c r="G5684" i="103"/>
  <c r="G5685" i="103"/>
  <c r="G5686" i="103"/>
  <c r="G5687" i="103"/>
  <c r="G5688" i="103"/>
  <c r="G5689" i="103"/>
  <c r="G5690" i="103"/>
  <c r="G5691" i="103"/>
  <c r="G5692" i="103"/>
  <c r="G5693" i="103"/>
  <c r="G5694" i="103"/>
  <c r="G5695" i="103"/>
  <c r="G5696" i="103"/>
  <c r="G5697" i="103"/>
  <c r="G5698" i="103"/>
  <c r="G5699" i="103"/>
  <c r="G5700" i="103"/>
  <c r="G5701" i="103"/>
  <c r="G5702" i="103"/>
  <c r="G5703" i="103"/>
  <c r="G5704" i="103"/>
  <c r="G5705" i="103"/>
  <c r="G5706" i="103"/>
  <c r="G5707" i="103"/>
  <c r="G5708" i="103"/>
  <c r="G5709" i="103"/>
  <c r="G5710" i="103"/>
  <c r="G5711" i="103"/>
  <c r="G5712" i="103"/>
  <c r="G5713" i="103"/>
  <c r="G5714" i="103"/>
  <c r="G5715" i="103"/>
  <c r="G5716" i="103"/>
  <c r="G5717" i="103"/>
  <c r="G5718" i="103"/>
  <c r="G5719" i="103"/>
  <c r="G5720" i="103"/>
  <c r="G5721" i="103"/>
  <c r="G5722" i="103"/>
  <c r="G5723" i="103"/>
  <c r="G5724" i="103"/>
  <c r="G5725" i="103"/>
  <c r="G5726" i="103"/>
  <c r="G5727" i="103"/>
  <c r="G5728" i="103"/>
  <c r="G5729" i="103"/>
  <c r="G5730" i="103"/>
  <c r="G5731" i="103"/>
  <c r="G5732" i="103"/>
  <c r="G5733" i="103"/>
  <c r="G5734" i="103"/>
  <c r="G5735" i="103"/>
  <c r="G5736" i="103"/>
  <c r="G5737" i="103"/>
  <c r="G5738" i="103"/>
  <c r="G5739" i="103"/>
  <c r="G5740" i="103"/>
  <c r="G5741" i="103"/>
  <c r="G5742" i="103"/>
  <c r="G5743" i="103"/>
  <c r="G5744" i="103"/>
  <c r="G5745" i="103"/>
  <c r="G5746" i="103"/>
  <c r="G5747" i="103"/>
  <c r="G5748" i="103"/>
  <c r="G5749" i="103"/>
  <c r="G5750" i="103"/>
  <c r="G5751" i="103"/>
  <c r="G5752" i="103"/>
  <c r="G5753" i="103"/>
  <c r="G5754" i="103"/>
  <c r="G5755" i="103"/>
  <c r="G5756" i="103"/>
  <c r="G5757" i="103"/>
  <c r="G5758" i="103"/>
  <c r="G5759" i="103"/>
  <c r="G5760" i="103"/>
  <c r="G5761" i="103"/>
  <c r="G5762" i="103"/>
  <c r="G5763" i="103"/>
  <c r="G5764" i="103"/>
  <c r="G5765" i="103"/>
  <c r="G5766" i="103"/>
  <c r="G5767" i="103"/>
  <c r="G5768" i="103"/>
  <c r="G5769" i="103"/>
  <c r="G5770" i="103"/>
  <c r="G5771" i="103"/>
  <c r="G5772" i="103"/>
  <c r="G5773" i="103"/>
  <c r="G5774" i="103"/>
  <c r="G5775" i="103"/>
  <c r="G5776" i="103"/>
  <c r="G5777" i="103"/>
  <c r="G5778" i="103"/>
  <c r="G5779" i="103"/>
  <c r="G5780" i="103"/>
  <c r="G5781" i="103"/>
  <c r="G5782" i="103"/>
  <c r="G5783" i="103"/>
  <c r="G5784" i="103"/>
  <c r="G5785" i="103"/>
  <c r="G5786" i="103"/>
  <c r="G5787" i="103"/>
  <c r="G5788" i="103"/>
  <c r="G5789" i="103"/>
  <c r="G5790" i="103"/>
  <c r="G5791" i="103"/>
  <c r="G5792" i="103"/>
  <c r="G5793" i="103"/>
  <c r="G5794" i="103"/>
  <c r="G5795" i="103"/>
  <c r="G5796" i="103"/>
  <c r="G5797" i="103"/>
  <c r="G5798" i="103"/>
  <c r="G5799" i="103"/>
  <c r="G5800" i="103"/>
  <c r="G5801" i="103"/>
  <c r="G5802" i="103"/>
  <c r="G5803" i="103"/>
  <c r="G5804" i="103"/>
  <c r="G5805" i="103"/>
  <c r="G5806" i="103"/>
  <c r="G5807" i="103"/>
  <c r="G5808" i="103"/>
  <c r="G5809" i="103"/>
  <c r="G5810" i="103"/>
  <c r="G5811" i="103"/>
  <c r="G5812" i="103"/>
  <c r="G5813" i="103"/>
  <c r="G5814" i="103"/>
  <c r="G5815" i="103"/>
  <c r="G5816" i="103"/>
  <c r="G5817" i="103"/>
  <c r="G5818" i="103"/>
  <c r="G5819" i="103"/>
  <c r="G5820" i="103"/>
  <c r="G5821" i="103"/>
  <c r="G5822" i="103"/>
  <c r="G3" i="103"/>
  <c r="T20" i="103"/>
  <c r="T7" i="103"/>
  <c r="T6" i="103"/>
  <c r="O4" i="103"/>
  <c r="T20" i="102"/>
  <c r="T7" i="102"/>
  <c r="T8" i="102" s="1"/>
  <c r="T6" i="102"/>
  <c r="S20" i="103"/>
  <c r="S7" i="103"/>
  <c r="S6" i="103"/>
  <c r="S20" i="102"/>
  <c r="T8" i="103" l="1"/>
  <c r="S8" i="103"/>
  <c r="O31" i="102"/>
  <c r="O30" i="102"/>
  <c r="O29" i="102"/>
  <c r="O28" i="102"/>
  <c r="O27" i="102"/>
  <c r="O26" i="102"/>
  <c r="O25" i="102"/>
  <c r="O24" i="102"/>
  <c r="O23" i="102"/>
  <c r="O22" i="102"/>
  <c r="O21" i="102"/>
  <c r="O20" i="102"/>
  <c r="O19" i="102"/>
  <c r="O18" i="102"/>
  <c r="O17" i="102"/>
  <c r="O16" i="102"/>
  <c r="O15" i="102"/>
  <c r="O14" i="102"/>
  <c r="O13" i="102"/>
  <c r="O12" i="102"/>
  <c r="O11" i="102"/>
  <c r="O10" i="102"/>
  <c r="O9" i="102"/>
  <c r="O8" i="102"/>
  <c r="O7" i="102"/>
  <c r="O6" i="102"/>
  <c r="O5" i="102"/>
  <c r="O4" i="102"/>
  <c r="S6" i="102"/>
  <c r="S7" i="102"/>
  <c r="S8" i="102" l="1"/>
</calcChain>
</file>

<file path=xl/sharedStrings.xml><?xml version="1.0" encoding="utf-8"?>
<sst xmlns="http://schemas.openxmlformats.org/spreadsheetml/2006/main" count="64155" uniqueCount="5904">
  <si>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</si>
  <si>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</si>
  <si>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</si>
  <si>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</si>
  <si>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</si>
  <si>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</si>
  <si>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</si>
  <si>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</si>
  <si>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</si>
  <si>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</si>
  <si>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</si>
  <si>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</si>
  <si>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</si>
  <si>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</si>
  <si>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</si>
  <si>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</si>
  <si>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</si>
  <si>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</si>
  <si>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</si>
  <si>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</si>
  <si>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</si>
  <si>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</si>
  <si>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</si>
  <si>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</si>
  <si>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</si>
  <si>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</si>
  <si>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</si>
  <si>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</si>
  <si>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</si>
  <si>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</si>
  <si>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</si>
  <si>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</si>
  <si>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</si>
  <si>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</si>
  <si>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</si>
  <si>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</si>
  <si>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</si>
  <si>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</si>
  <si>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</si>
  <si>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</si>
  <si>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</si>
  <si>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</si>
  <si>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</si>
  <si>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</si>
  <si>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</si>
  <si>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</si>
  <si>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</si>
  <si>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</si>
  <si>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</si>
  <si>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</si>
  <si>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</si>
  <si>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</si>
  <si>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</si>
  <si>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</si>
  <si>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</si>
  <si>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</si>
  <si>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</si>
  <si>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</si>
  <si>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</si>
  <si>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</si>
  <si>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</si>
  <si>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</si>
  <si>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</si>
  <si>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</si>
  <si>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</si>
  <si>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</si>
  <si>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</si>
  <si>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</si>
  <si>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</si>
  <si>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</si>
  <si>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</si>
  <si>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</si>
  <si>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</si>
  <si>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</si>
  <si>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</si>
  <si>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</si>
  <si>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</si>
  <si>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</si>
  <si>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</si>
  <si>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</si>
  <si>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</si>
  <si>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</si>
  <si>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</si>
  <si>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</si>
  <si>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</si>
  <si>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</si>
  <si>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</si>
  <si>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</si>
  <si>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</si>
  <si>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</si>
  <si>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</si>
  <si>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</si>
  <si>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</si>
  <si>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</si>
  <si>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</si>
  <si>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</si>
  <si>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</si>
  <si>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</si>
  <si>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</si>
  <si>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</si>
  <si>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</si>
  <si>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</si>
  <si>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</si>
  <si>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</si>
  <si>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</si>
  <si>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</si>
  <si>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</si>
  <si>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</si>
  <si>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</si>
  <si>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</si>
  <si>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</si>
  <si>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</si>
  <si>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</si>
  <si>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</si>
  <si>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</si>
  <si>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</si>
  <si>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</si>
  <si>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</si>
  <si>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</si>
  <si>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</si>
  <si>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</si>
  <si>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</si>
  <si>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</si>
  <si>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</si>
  <si>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</si>
  <si>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</si>
  <si>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</si>
  <si>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</si>
  <si>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</si>
  <si>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</si>
  <si>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</si>
  <si>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</si>
  <si>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</si>
  <si>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</si>
  <si>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</si>
  <si>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</si>
  <si>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</si>
  <si>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</si>
  <si>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</si>
  <si>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</si>
  <si>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</si>
  <si>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</si>
  <si>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</si>
  <si>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</si>
  <si>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</si>
  <si>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</si>
  <si>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</si>
  <si>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</si>
  <si>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</si>
  <si>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</si>
  <si>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</si>
  <si>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</si>
  <si>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</si>
  <si>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</si>
  <si>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</si>
  <si>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</si>
  <si>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</si>
  <si>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</si>
  <si>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</si>
  <si>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</si>
  <si>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</si>
  <si>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</si>
  <si>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</si>
  <si>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</si>
  <si>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</si>
  <si>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</si>
  <si>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</si>
  <si>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</si>
  <si>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</si>
  <si>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</si>
  <si>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</si>
  <si>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</si>
  <si>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</si>
  <si>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</si>
  <si>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</si>
  <si>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</si>
  <si>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</si>
  <si>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</si>
  <si>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</si>
  <si>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</si>
  <si>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</si>
  <si>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</si>
  <si>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</si>
  <si>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</si>
  <si>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</si>
  <si>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</si>
  <si>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</si>
  <si>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</si>
  <si>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</si>
  <si>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</si>
  <si>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</si>
  <si>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</si>
  <si>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</si>
  <si>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</si>
  <si>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</si>
  <si>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</si>
  <si>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</si>
  <si>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</si>
  <si>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</si>
  <si>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</si>
  <si>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</si>
  <si>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</si>
  <si>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</si>
  <si>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</si>
  <si>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</si>
  <si>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</si>
  <si>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</si>
  <si>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</si>
  <si>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</si>
  <si>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</si>
  <si>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</si>
  <si>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</si>
  <si>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</si>
  <si>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</si>
  <si>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</si>
  <si>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</si>
  <si>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</si>
  <si>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</si>
  <si>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</si>
  <si>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</si>
  <si>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</si>
  <si>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</si>
  <si>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</si>
  <si>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</si>
  <si>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</si>
  <si>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</si>
  <si>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</si>
  <si>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</si>
  <si>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</si>
  <si>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</si>
  <si>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</si>
  <si>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</si>
  <si>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</si>
  <si>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</si>
  <si>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</si>
  <si>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</si>
  <si>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</si>
  <si>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</si>
  <si>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</si>
  <si>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</si>
  <si>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</si>
  <si>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</si>
  <si>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</si>
  <si>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</si>
  <si>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</si>
  <si>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</si>
  <si>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</si>
  <si>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</si>
  <si>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</si>
  <si>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</si>
  <si>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</si>
  <si>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</si>
  <si>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</si>
  <si>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</si>
  <si>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</si>
  <si>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</si>
  <si>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</si>
  <si>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</si>
  <si>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</si>
  <si>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</si>
  <si>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</si>
  <si>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</si>
  <si>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</si>
  <si>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</si>
  <si>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</si>
  <si>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</si>
  <si>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</si>
  <si>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</si>
  <si>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</si>
  <si>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</si>
  <si>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</si>
  <si>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</si>
  <si>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</si>
  <si>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</si>
  <si>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</si>
  <si>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</si>
  <si>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</si>
  <si>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</si>
  <si>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</si>
  <si>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</si>
  <si>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</si>
  <si>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</si>
  <si>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</si>
  <si>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</si>
  <si>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</si>
  <si>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</si>
  <si>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</si>
  <si>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</si>
  <si>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</si>
  <si>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</si>
  <si>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</si>
  <si>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</si>
  <si>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</si>
  <si>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</si>
  <si>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</si>
  <si>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</si>
  <si>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</si>
  <si>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</si>
  <si>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</si>
  <si>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</si>
  <si>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</si>
  <si>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</si>
  <si>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</si>
  <si>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</si>
  <si>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</si>
  <si>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</si>
  <si>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</si>
  <si>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</si>
  <si>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</si>
  <si>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</si>
  <si>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</si>
  <si>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</si>
  <si>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</si>
  <si>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</si>
  <si>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</si>
  <si>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</si>
  <si>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</si>
  <si>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</si>
  <si>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</si>
  <si>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</si>
  <si>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</si>
  <si>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</si>
  <si>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</si>
  <si>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</si>
  <si>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</si>
  <si>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</si>
  <si>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</si>
  <si>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</si>
  <si>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</si>
  <si>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</si>
  <si>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</si>
  <si>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</si>
  <si>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</si>
  <si>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</si>
  <si>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</si>
  <si>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</si>
  <si>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</si>
  <si>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</si>
  <si>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</si>
  <si>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</si>
  <si>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</si>
  <si>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</si>
  <si>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</si>
  <si>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</si>
  <si>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</si>
  <si>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</si>
  <si>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</si>
  <si>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</si>
  <si>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</si>
  <si>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</si>
  <si>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</si>
  <si>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</si>
  <si>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</si>
  <si>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</si>
  <si>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</si>
  <si>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</si>
  <si>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</si>
  <si>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</si>
  <si>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</si>
  <si>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</si>
  <si>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</si>
  <si>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</si>
  <si>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</si>
  <si>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</si>
  <si>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</si>
  <si>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</si>
  <si>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</si>
  <si>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</si>
  <si>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</si>
  <si>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</si>
  <si>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</si>
  <si>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</si>
  <si>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</si>
  <si>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</si>
  <si>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</si>
  <si>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</si>
  <si>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</si>
  <si>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</si>
  <si>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</si>
  <si>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</si>
  <si>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</si>
  <si>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</si>
  <si>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</si>
  <si>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</si>
  <si>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</si>
  <si>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</si>
  <si>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</si>
  <si>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</si>
  <si>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</si>
  <si>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</si>
  <si>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</si>
  <si>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</si>
  <si>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</si>
  <si>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</si>
  <si>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</si>
  <si>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</si>
  <si>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</si>
  <si>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</si>
  <si>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</si>
  <si>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</si>
  <si>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</si>
  <si>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</si>
  <si>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</si>
  <si>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</si>
  <si>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</si>
  <si>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</si>
  <si>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</si>
  <si>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</si>
  <si>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</si>
  <si>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</si>
  <si>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</si>
  <si>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</si>
  <si>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</si>
  <si>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</si>
  <si>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</si>
  <si>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</si>
  <si>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</si>
  <si>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</si>
  <si>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</si>
  <si>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</si>
  <si>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</si>
  <si>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</si>
  <si>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</si>
  <si>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</si>
  <si>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</si>
  <si>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</si>
  <si>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</si>
  <si>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</si>
  <si>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</si>
  <si>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</si>
  <si>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</si>
  <si>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</si>
  <si>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</si>
  <si>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</si>
  <si>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</si>
  <si>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</si>
  <si>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</si>
  <si>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</si>
  <si>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</si>
  <si>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</si>
  <si>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</si>
  <si>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</si>
  <si>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</si>
  <si>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</si>
  <si>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</si>
  <si>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</si>
  <si>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</si>
  <si>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</si>
  <si>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</si>
  <si>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</si>
  <si>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</si>
  <si>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</si>
  <si>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</si>
  <si>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</si>
  <si>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</si>
  <si>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</si>
  <si>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</si>
  <si>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</si>
  <si>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</si>
  <si>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</si>
  <si>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</si>
  <si>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</si>
  <si>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</si>
  <si>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</si>
  <si>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</si>
  <si>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</si>
  <si>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</si>
  <si>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</si>
  <si>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</si>
  <si>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</si>
  <si>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</si>
  <si>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</si>
  <si>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</si>
  <si>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</si>
  <si>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</si>
  <si>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</si>
  <si>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</si>
  <si>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</si>
  <si>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</si>
  <si>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</si>
  <si>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</si>
  <si>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</si>
  <si>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</si>
  <si>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</si>
  <si>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</si>
  <si>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</si>
  <si>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</si>
  <si>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</si>
  <si>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</si>
  <si>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</si>
  <si>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</si>
  <si>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</si>
  <si>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</si>
  <si>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</si>
  <si>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</si>
  <si>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</si>
  <si>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</si>
  <si>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</si>
  <si>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</si>
  <si>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</si>
  <si>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</si>
  <si>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</si>
  <si>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</si>
  <si>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</si>
  <si>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</si>
  <si>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</si>
  <si>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</si>
  <si>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</si>
  <si>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</si>
  <si>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</si>
  <si>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</si>
  <si>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</si>
  <si>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</si>
  <si>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</si>
  <si>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</si>
  <si>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</si>
  <si>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</si>
  <si>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</si>
  <si>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</si>
  <si>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</si>
  <si>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</si>
  <si>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</si>
  <si>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</si>
  <si>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</si>
  <si>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</si>
  <si>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</si>
  <si>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</si>
  <si>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</si>
  <si>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</si>
  <si>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</si>
  <si>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</si>
  <si>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</si>
  <si>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</si>
  <si>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</si>
  <si>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</si>
  <si>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</si>
  <si>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</si>
  <si>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</si>
  <si>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</si>
  <si>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</si>
  <si>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</si>
  <si>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</si>
  <si>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</si>
  <si>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</si>
  <si>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</si>
  <si>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</si>
  <si>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</si>
  <si>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</si>
  <si>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</si>
  <si>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</si>
  <si>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</si>
  <si>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</si>
  <si>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</si>
  <si>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</si>
  <si>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</si>
  <si>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</si>
  <si>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</si>
  <si>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</si>
  <si>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</si>
  <si>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</si>
  <si>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</si>
  <si>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</si>
  <si>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</si>
  <si>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</si>
  <si>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</si>
  <si>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</si>
  <si>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</si>
  <si>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</si>
  <si>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</si>
  <si>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</si>
  <si>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</si>
  <si>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</si>
  <si>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</si>
  <si>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</si>
  <si>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</si>
  <si>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</si>
  <si>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</si>
  <si>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</si>
  <si>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</si>
  <si>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</si>
  <si>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</si>
  <si>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</si>
  <si>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</si>
  <si>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</si>
  <si>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</si>
  <si>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</si>
  <si>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</si>
  <si>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</si>
  <si>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</si>
  <si>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</si>
  <si>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</si>
  <si>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</si>
  <si>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</si>
  <si>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</si>
  <si>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</si>
  <si>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</si>
  <si>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</si>
  <si>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</si>
  <si>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</si>
  <si>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</si>
  <si>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</si>
  <si>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</si>
  <si>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</si>
  <si>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</si>
  <si>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</si>
  <si>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</si>
  <si>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</si>
  <si>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</si>
  <si>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</si>
  <si>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</si>
  <si>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</si>
  <si>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</si>
  <si>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</si>
  <si>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</si>
  <si>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</si>
  <si>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</si>
  <si>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</si>
  <si>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</si>
  <si>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</si>
  <si>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</si>
  <si>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</si>
  <si>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</si>
  <si>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</si>
  <si>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</si>
  <si>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</si>
  <si>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</si>
  <si>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</si>
  <si>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</si>
  <si>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</si>
  <si>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</si>
  <si>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</si>
  <si>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</si>
  <si>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</si>
  <si>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</si>
  <si>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</si>
  <si>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</si>
  <si>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</si>
  <si>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</si>
  <si>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</si>
  <si>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</si>
  <si>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</si>
  <si>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</si>
  <si>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</si>
  <si>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</si>
  <si>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</si>
  <si>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</si>
  <si>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</si>
  <si>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</si>
  <si>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</si>
  <si>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</si>
  <si>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</si>
  <si>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</si>
  <si>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</si>
  <si>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</si>
  <si>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</si>
  <si>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</si>
  <si>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</si>
  <si>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</si>
  <si>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</si>
  <si>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</si>
  <si>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</si>
  <si>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</si>
  <si>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</si>
  <si>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</si>
  <si>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</si>
  <si>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</si>
  <si>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</si>
  <si>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</si>
  <si>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</si>
  <si>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</si>
  <si>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</si>
  <si>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</si>
  <si>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</si>
  <si>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</si>
  <si>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</si>
  <si>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</si>
  <si>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</si>
  <si>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</si>
  <si>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</si>
  <si>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</si>
  <si>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</si>
  <si>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</si>
  <si>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</si>
  <si>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</si>
  <si>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</si>
  <si>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</si>
  <si>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</si>
  <si>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</si>
  <si>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</si>
  <si>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</si>
  <si>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</si>
  <si>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</si>
  <si>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</si>
  <si>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</si>
  <si>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</si>
  <si>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</si>
  <si>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</si>
  <si>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</si>
  <si>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</si>
  <si>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</si>
  <si>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</si>
  <si>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</si>
  <si>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</si>
  <si>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</si>
  <si>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</si>
  <si>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</si>
  <si>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</si>
  <si>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</si>
  <si>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</si>
  <si>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</si>
  <si>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</si>
  <si>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</si>
  <si>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</si>
  <si>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</si>
  <si>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</si>
  <si>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</si>
  <si>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</si>
  <si>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</si>
  <si>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</si>
  <si>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</si>
  <si>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</si>
  <si>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</si>
  <si>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</si>
  <si>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</si>
  <si>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</si>
  <si>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</si>
  <si>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</si>
  <si>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</si>
  <si>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</si>
  <si>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</si>
  <si>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</si>
  <si>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</si>
  <si>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</si>
  <si>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</si>
  <si>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</si>
  <si>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</si>
  <si>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</si>
  <si>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</si>
  <si>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</si>
  <si>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</si>
  <si>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</si>
  <si>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</si>
  <si>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</si>
  <si>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</si>
  <si>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</si>
  <si>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</si>
  <si>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</si>
  <si>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</si>
  <si>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</si>
  <si>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</si>
  <si>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</si>
  <si>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</si>
  <si>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</si>
  <si>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</si>
  <si>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</si>
  <si>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</si>
  <si>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</si>
  <si>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</si>
  <si>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</si>
  <si>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</si>
  <si>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</si>
  <si>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</si>
  <si>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</si>
  <si>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</si>
  <si>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</si>
  <si>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</si>
  <si>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</si>
  <si>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</si>
  <si>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</si>
  <si>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</si>
  <si>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</si>
  <si>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</si>
  <si>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</si>
  <si>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</si>
  <si>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</si>
  <si>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</si>
  <si>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</si>
  <si>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</si>
  <si>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</si>
  <si>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</si>
  <si>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</si>
  <si>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</si>
  <si>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</si>
  <si>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</si>
  <si>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</si>
  <si>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</si>
  <si>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</si>
  <si>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</si>
  <si>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</si>
  <si>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</si>
  <si>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</si>
  <si>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</si>
  <si>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</si>
  <si>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</si>
  <si>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</si>
  <si>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</si>
  <si>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</si>
  <si>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</si>
  <si>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</si>
  <si>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</si>
  <si>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</si>
  <si>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</si>
  <si>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</si>
  <si>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</si>
  <si>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</si>
  <si>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</si>
  <si>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</si>
  <si>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</si>
  <si>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</si>
  <si>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</si>
  <si>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</si>
  <si>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</si>
  <si>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</si>
  <si>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</si>
  <si>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</si>
  <si>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</si>
  <si>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</si>
  <si>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</si>
  <si>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</si>
  <si>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</si>
  <si>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</si>
  <si>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</si>
  <si>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</si>
  <si>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</si>
  <si>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</si>
  <si>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</si>
  <si>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</si>
  <si>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</si>
  <si>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</si>
  <si>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</si>
  <si>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</si>
  <si>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</si>
  <si>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</si>
  <si>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</si>
  <si>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</si>
  <si>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</si>
  <si>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</si>
  <si>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</si>
  <si>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</si>
  <si>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</si>
  <si>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</si>
  <si>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</si>
  <si>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</si>
  <si>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</si>
  <si>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</si>
  <si>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</si>
  <si>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</si>
  <si>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</si>
  <si>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</si>
  <si>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</si>
  <si>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</si>
  <si>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</si>
  <si>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</si>
  <si>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</si>
  <si>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</si>
  <si>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</si>
  <si>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</si>
  <si>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</si>
  <si>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</si>
  <si>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</si>
  <si>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</si>
  <si>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</si>
  <si>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</si>
  <si>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</si>
  <si>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</si>
  <si>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</si>
  <si>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</si>
  <si>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</si>
  <si>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</si>
  <si>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</si>
  <si>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</si>
  <si>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</si>
  <si>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</si>
  <si>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</si>
  <si>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</si>
  <si>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</si>
  <si>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</si>
  <si>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</si>
  <si>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</si>
  <si>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</si>
  <si>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</si>
  <si>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</si>
  <si>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</si>
  <si>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</si>
  <si>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</si>
  <si>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</si>
  <si>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</si>
  <si>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</si>
  <si>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</si>
  <si>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</si>
  <si>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</si>
  <si>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</si>
  <si>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</si>
  <si>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</si>
  <si>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</si>
  <si>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</si>
  <si>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</si>
  <si>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</si>
  <si>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</si>
  <si>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</si>
  <si>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</si>
  <si>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</si>
  <si>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</si>
  <si>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</si>
  <si>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</si>
  <si>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</si>
  <si>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</si>
  <si>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</si>
  <si>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</si>
  <si>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</si>
  <si>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</si>
  <si>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</si>
  <si>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</si>
  <si>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</si>
  <si>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</si>
  <si>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</si>
  <si>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</si>
  <si>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</si>
  <si>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</si>
  <si>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</si>
  <si>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</si>
  <si>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</si>
  <si>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</si>
  <si>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</si>
  <si>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</si>
  <si>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</si>
  <si>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</si>
  <si>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</si>
  <si>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</si>
  <si>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</si>
  <si>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</si>
  <si>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</si>
  <si>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</si>
  <si>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</si>
  <si>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</si>
  <si>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</si>
  <si>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</si>
  <si>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</si>
  <si>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</si>
  <si>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</si>
  <si>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</si>
  <si>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</si>
  <si>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</si>
  <si>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</si>
  <si>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</si>
  <si>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</si>
  <si>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</si>
  <si>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</si>
  <si>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</si>
  <si>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</si>
  <si>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</si>
  <si>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</si>
  <si>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</si>
  <si>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</si>
  <si>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</si>
  <si>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</si>
  <si>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</si>
  <si>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</si>
  <si>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</si>
  <si>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</si>
  <si>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</si>
  <si>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</si>
  <si>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</si>
  <si>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</si>
  <si>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</si>
  <si>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</si>
  <si>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</si>
  <si>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</si>
  <si>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</si>
  <si>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</si>
  <si>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</si>
  <si>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</si>
  <si>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</si>
  <si>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</si>
  <si>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</si>
  <si>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</si>
  <si>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</si>
  <si>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</si>
  <si>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</si>
  <si>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</si>
  <si>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</si>
  <si>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</si>
  <si>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</si>
  <si>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</si>
  <si>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</si>
  <si>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</si>
  <si>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</si>
  <si>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</si>
  <si>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</si>
  <si>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</si>
  <si>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</si>
  <si>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</si>
  <si>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</si>
  <si>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</si>
  <si>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</si>
  <si>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</si>
  <si>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</si>
  <si>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</si>
  <si>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</si>
  <si>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</si>
  <si>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</si>
  <si>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</si>
  <si>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</si>
  <si>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</si>
  <si>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</si>
  <si>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</si>
  <si>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</si>
  <si>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</si>
  <si>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</si>
  <si>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</si>
  <si>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</si>
  <si>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</si>
  <si>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</si>
  <si>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</si>
  <si>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</si>
  <si>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</si>
  <si>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</si>
  <si>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</si>
  <si>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</si>
  <si>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</si>
  <si>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</si>
  <si>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</si>
  <si>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</si>
  <si>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</si>
  <si>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</si>
  <si>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</si>
  <si>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</si>
  <si>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</si>
  <si>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</si>
  <si>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</si>
  <si>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</si>
  <si>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</si>
  <si>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</si>
  <si>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</si>
  <si>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</si>
  <si>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</si>
  <si>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</si>
  <si>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</si>
  <si>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</si>
  <si>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</si>
  <si>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</si>
  <si>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</si>
  <si>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</si>
  <si>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</si>
  <si>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</si>
  <si>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</si>
  <si>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</si>
  <si>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</si>
  <si>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</si>
  <si>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</si>
  <si>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</si>
  <si>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</si>
  <si>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</si>
  <si>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</si>
  <si>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</si>
  <si>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</si>
  <si>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</si>
  <si>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</si>
  <si>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</si>
  <si>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</si>
  <si>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</si>
  <si>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</si>
  <si>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</si>
  <si>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</si>
  <si>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</si>
  <si>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</si>
  <si>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</si>
  <si>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</si>
  <si>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</si>
  <si>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</si>
  <si>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</si>
  <si>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</si>
  <si>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</si>
  <si>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</si>
  <si>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</si>
  <si>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</si>
  <si>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</si>
  <si>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</si>
  <si>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</si>
  <si>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</si>
  <si>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</si>
  <si>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</si>
  <si>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</si>
  <si>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</si>
  <si>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</si>
  <si>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</si>
  <si>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</si>
  <si>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</si>
  <si>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</si>
  <si>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</si>
  <si>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</si>
  <si>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</si>
  <si>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</si>
  <si>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</si>
  <si>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</si>
  <si>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</si>
  <si>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</si>
  <si>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</si>
  <si>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</si>
  <si>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</si>
  <si>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</si>
  <si>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</si>
  <si>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</si>
  <si>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</si>
  <si>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</si>
  <si>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</si>
  <si>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</si>
  <si>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</si>
  <si>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</si>
  <si>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</si>
  <si>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</si>
  <si>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</si>
  <si>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</si>
  <si>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</si>
  <si>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</si>
  <si>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</si>
  <si>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</si>
  <si>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</si>
  <si>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</si>
  <si>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</si>
  <si>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</si>
  <si>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</si>
  <si>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</si>
  <si>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</si>
  <si>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</si>
  <si>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</si>
  <si>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</si>
  <si>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</si>
  <si>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</si>
  <si>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</si>
  <si>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</si>
  <si>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</si>
  <si>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</si>
  <si>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</si>
  <si>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</si>
  <si>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</si>
  <si>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</si>
  <si>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</si>
  <si>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</si>
  <si>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</si>
  <si>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</si>
  <si>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</si>
  <si>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</si>
  <si>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</si>
  <si>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</si>
  <si>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</si>
  <si>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</si>
  <si>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</si>
  <si>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</si>
  <si>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</si>
  <si>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</si>
  <si>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</si>
  <si>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</si>
  <si>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</si>
  <si>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</si>
  <si>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</si>
  <si>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</si>
  <si>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</si>
  <si>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</si>
  <si>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</si>
  <si>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</si>
  <si>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</si>
  <si>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</si>
  <si>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</si>
  <si>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</si>
  <si>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</si>
  <si>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</si>
  <si>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</si>
  <si>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</si>
  <si>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</si>
  <si>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</si>
  <si>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</si>
  <si>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</si>
  <si>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</si>
  <si>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</si>
  <si>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</si>
  <si>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</si>
  <si>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</si>
  <si>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</si>
  <si>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</si>
  <si>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</si>
  <si>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</si>
  <si>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</si>
  <si>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</si>
  <si>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</si>
  <si>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</si>
  <si>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</si>
  <si>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</si>
  <si>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</si>
  <si>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</si>
  <si>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</si>
  <si>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</si>
  <si>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</si>
  <si>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</si>
  <si>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</si>
  <si>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</si>
  <si>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</si>
  <si>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</si>
  <si>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</si>
  <si>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</si>
  <si>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</si>
  <si>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</si>
  <si>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</si>
  <si>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</si>
  <si>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</si>
  <si>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</si>
  <si>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</si>
  <si>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</si>
  <si>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</si>
  <si>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</si>
  <si>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</si>
  <si>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</si>
  <si>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</si>
  <si>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</si>
  <si>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</si>
  <si>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</si>
  <si>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</si>
  <si>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</si>
  <si>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</si>
  <si>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</si>
  <si>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</si>
  <si>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</si>
  <si>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</si>
  <si>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</si>
  <si>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</si>
  <si>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</si>
  <si>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</si>
  <si>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</si>
  <si>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</si>
  <si>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</si>
  <si>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</si>
  <si>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</si>
  <si>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</si>
  <si>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</si>
  <si>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</si>
  <si>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</si>
  <si>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</si>
  <si>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</si>
  <si>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</si>
  <si>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</si>
  <si>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</si>
  <si>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</si>
  <si>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</si>
  <si>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</si>
  <si>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</si>
  <si>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</si>
  <si>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</si>
  <si>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</si>
  <si>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</si>
  <si>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</si>
  <si>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</si>
  <si>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</si>
  <si>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</si>
  <si>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</si>
  <si>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</si>
  <si>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</si>
  <si>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</si>
  <si>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</si>
  <si>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</si>
  <si>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</si>
  <si>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</si>
  <si>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</si>
  <si>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</si>
  <si>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</si>
  <si>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</si>
  <si>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</si>
  <si>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</si>
  <si>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</si>
  <si>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</si>
  <si>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</si>
  <si>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</si>
  <si>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</si>
  <si>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</si>
  <si>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</si>
  <si>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</si>
  <si>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</si>
  <si>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</si>
  <si>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</si>
  <si>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</si>
  <si>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</si>
  <si>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</si>
  <si>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</si>
  <si>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</si>
  <si>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</si>
  <si>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</si>
  <si>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</si>
  <si>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</si>
  <si>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</si>
  <si>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</si>
  <si>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</si>
  <si>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</si>
  <si>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</si>
  <si>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</si>
  <si>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</si>
  <si>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</si>
  <si>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</si>
  <si>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</si>
  <si>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</si>
  <si>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</si>
  <si>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</si>
  <si>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</si>
  <si>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</si>
  <si>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</si>
  <si>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</si>
  <si>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</si>
  <si>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</si>
  <si>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</si>
  <si>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</si>
  <si>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</si>
  <si>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</si>
  <si>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</si>
  <si>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</si>
  <si>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</si>
  <si>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</si>
  <si>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</si>
  <si>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</si>
  <si>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</si>
  <si>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</si>
  <si>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</si>
  <si>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</si>
  <si>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</si>
  <si>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</si>
  <si>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</si>
  <si>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</si>
  <si>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</si>
  <si>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</si>
  <si>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</si>
  <si>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</si>
  <si>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</si>
  <si>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</si>
  <si>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</si>
  <si>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</si>
  <si>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</si>
  <si>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</si>
  <si>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</si>
  <si>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</si>
  <si>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</si>
  <si>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</si>
  <si>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</si>
  <si>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</si>
  <si>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</si>
  <si>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</si>
  <si>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</si>
  <si>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</si>
  <si>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</si>
  <si>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</si>
  <si>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</si>
  <si>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</si>
  <si>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</si>
  <si>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</si>
  <si>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</si>
  <si>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</si>
  <si>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</si>
  <si>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</si>
  <si>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</si>
  <si>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</si>
  <si>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</si>
  <si>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</si>
  <si>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</si>
  <si>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</si>
  <si>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</si>
  <si>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</si>
  <si>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</si>
  <si>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</si>
  <si>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</si>
  <si>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</si>
  <si>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</si>
  <si>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</si>
  <si>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</si>
  <si>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</si>
  <si>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</si>
  <si>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</si>
  <si>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</si>
  <si>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</si>
  <si>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</si>
  <si>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</si>
  <si>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</si>
  <si>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</si>
  <si>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</si>
  <si>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</si>
  <si>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</si>
  <si>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</si>
  <si>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</si>
  <si>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</si>
  <si>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</si>
  <si>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</si>
  <si>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</si>
  <si>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</si>
  <si>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</si>
  <si>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</si>
  <si>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</si>
  <si>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</si>
  <si>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</si>
  <si>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</si>
  <si>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</si>
  <si>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</si>
  <si>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</si>
  <si>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</si>
  <si>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</si>
  <si>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</si>
  <si>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</si>
  <si>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</si>
  <si>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</si>
  <si>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</si>
  <si>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</si>
  <si>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</si>
  <si>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</si>
  <si>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</si>
  <si>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</si>
  <si>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</si>
  <si>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</si>
  <si>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</si>
  <si>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</si>
  <si>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</si>
  <si>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</si>
  <si>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</si>
  <si>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</si>
  <si>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</si>
  <si>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</si>
  <si>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</si>
  <si>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</si>
  <si>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</si>
  <si>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</si>
  <si>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</si>
  <si>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</si>
  <si>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</si>
  <si>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</si>
  <si>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</si>
  <si>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</si>
  <si>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</si>
  <si>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</si>
  <si>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</si>
  <si>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</si>
  <si>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</si>
  <si>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</si>
  <si>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</si>
  <si>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</si>
  <si>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</si>
  <si>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</si>
  <si>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</si>
  <si>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</si>
  <si>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</si>
  <si>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</si>
  <si>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</si>
  <si>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</si>
  <si>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</si>
  <si>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</si>
  <si>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</si>
  <si>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</si>
  <si>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</si>
  <si>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</si>
  <si>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</si>
  <si>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</si>
  <si>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</si>
  <si>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</si>
  <si>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</si>
  <si>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</si>
  <si>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</si>
  <si>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</si>
  <si>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</si>
  <si>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</si>
  <si>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</si>
  <si>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</si>
  <si>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</si>
  <si>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</si>
  <si>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</si>
  <si>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</si>
  <si>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</si>
  <si>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</si>
  <si>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</si>
  <si>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</si>
  <si>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</si>
  <si>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</si>
  <si>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</si>
  <si>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</si>
  <si>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</si>
  <si>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</si>
  <si>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</si>
  <si>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</si>
  <si>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</si>
  <si>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</si>
  <si>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</si>
  <si>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</si>
  <si>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</si>
  <si>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</si>
  <si>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</si>
  <si>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</si>
  <si>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</si>
  <si>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</si>
  <si>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</si>
  <si>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</si>
  <si>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</si>
  <si>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</si>
  <si>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</si>
  <si>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</si>
  <si>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</si>
  <si>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</si>
  <si>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</si>
  <si>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</si>
  <si>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</si>
  <si>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</si>
  <si>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</si>
  <si>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</si>
  <si>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</si>
  <si>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</si>
  <si>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</si>
  <si>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</si>
  <si>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</si>
  <si>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</si>
  <si>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</si>
  <si>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</si>
  <si>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</si>
  <si>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</si>
  <si>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</si>
  <si>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</si>
  <si>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</si>
  <si>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</si>
  <si>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</si>
  <si>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</si>
  <si>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</si>
  <si>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</si>
  <si>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</si>
  <si>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</si>
  <si>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</si>
  <si>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</si>
  <si>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</si>
  <si>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</si>
  <si>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</si>
  <si>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</si>
  <si>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</si>
  <si>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</si>
  <si>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</si>
  <si>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</si>
  <si>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</si>
  <si>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</si>
  <si>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</si>
  <si>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</si>
  <si>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</si>
  <si>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</si>
  <si>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</si>
  <si>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</si>
  <si>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</si>
  <si>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</si>
  <si>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</si>
  <si>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</si>
  <si>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</si>
  <si>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</si>
  <si>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</si>
  <si>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</si>
  <si>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</si>
  <si>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</si>
  <si>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</si>
  <si>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</si>
  <si>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</si>
  <si>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</si>
  <si>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</si>
  <si>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</si>
  <si>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</si>
  <si>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</si>
  <si>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</si>
  <si>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</si>
  <si>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</si>
  <si>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</si>
  <si>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</si>
  <si>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</si>
  <si>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</si>
  <si>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</si>
  <si>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</si>
  <si>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</si>
  <si>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</si>
  <si>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</si>
  <si>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</si>
  <si>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</si>
  <si>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</si>
  <si>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</si>
  <si>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</si>
  <si>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</si>
  <si>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</si>
  <si>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</si>
  <si>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</si>
  <si>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</si>
  <si>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</si>
  <si>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</si>
  <si>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</si>
  <si>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</si>
  <si>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</si>
  <si>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</si>
  <si>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</si>
  <si>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</si>
  <si>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</si>
  <si>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</si>
  <si>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</si>
  <si>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</si>
  <si>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</si>
  <si>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</si>
  <si>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</si>
  <si>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</si>
  <si>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</si>
  <si>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</si>
  <si>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</si>
  <si>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</si>
  <si>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</si>
  <si>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</si>
  <si>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</si>
  <si>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</si>
  <si>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</si>
  <si>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</si>
  <si>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</si>
  <si>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</si>
  <si>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</si>
  <si>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</si>
  <si>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</si>
  <si>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</si>
  <si>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</si>
  <si>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</si>
  <si>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</si>
  <si>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</si>
  <si>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</si>
  <si>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</si>
  <si>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</si>
  <si>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</si>
  <si>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</si>
  <si>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</si>
  <si>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</si>
  <si>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</si>
  <si>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</si>
  <si>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</si>
  <si>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</si>
  <si>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</si>
  <si>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</si>
  <si>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</si>
  <si>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</si>
  <si>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</si>
  <si>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</si>
  <si>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</si>
  <si>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</si>
  <si>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</si>
  <si>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</si>
  <si>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</si>
  <si>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</si>
  <si>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</si>
  <si>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</si>
  <si>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</si>
  <si>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</si>
  <si>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</si>
  <si>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</si>
  <si>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</si>
  <si>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</si>
  <si>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</si>
  <si>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</si>
  <si>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</si>
  <si>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</si>
  <si>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</si>
  <si>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</si>
  <si>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</si>
  <si>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</si>
  <si>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</si>
  <si>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</si>
  <si>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</si>
  <si>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</si>
  <si>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</si>
  <si>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</si>
  <si>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</si>
  <si>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</si>
  <si>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</si>
  <si>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</si>
  <si>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</si>
  <si>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</si>
  <si>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</si>
  <si>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</si>
  <si>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</si>
  <si>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</si>
  <si>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</si>
  <si>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</si>
  <si>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</si>
  <si>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</si>
  <si>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</si>
  <si>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</si>
  <si>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</si>
  <si>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</si>
  <si>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</si>
  <si>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</si>
  <si>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</si>
  <si>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</si>
  <si>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</si>
  <si>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</si>
  <si>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</si>
  <si>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</si>
  <si>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</si>
  <si>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</si>
  <si>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</si>
  <si>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</si>
  <si>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</si>
  <si>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</si>
  <si>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</si>
  <si>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</si>
  <si>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</si>
  <si>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</si>
  <si>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</si>
  <si>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</si>
  <si>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</si>
  <si>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</si>
  <si>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</si>
  <si>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</si>
  <si>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</si>
  <si>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</si>
  <si>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</si>
  <si>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</si>
  <si>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</si>
  <si>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</si>
  <si>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</si>
  <si>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</si>
  <si>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</si>
  <si>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</si>
  <si>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</si>
  <si>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</si>
  <si>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</si>
  <si>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</si>
  <si>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</si>
  <si>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</si>
  <si>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</si>
  <si>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</si>
  <si>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</si>
  <si>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</si>
  <si>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</si>
  <si>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</si>
  <si>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</si>
  <si>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</si>
  <si>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</si>
  <si>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</si>
  <si>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</si>
  <si>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</si>
  <si>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</si>
  <si>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</si>
  <si>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</si>
  <si>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</si>
  <si>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</si>
  <si>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</si>
  <si>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</si>
  <si>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</si>
  <si>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</si>
  <si>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</si>
  <si>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</si>
  <si>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</si>
  <si>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</si>
  <si>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</si>
  <si>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</si>
  <si>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</si>
  <si>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</si>
  <si>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</si>
  <si>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</si>
  <si>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</si>
  <si>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</si>
  <si>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</si>
  <si>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</si>
  <si>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</si>
  <si>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</si>
  <si>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</si>
  <si>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</si>
  <si>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</si>
  <si>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</si>
  <si>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</si>
  <si>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</si>
  <si>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</si>
  <si>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</si>
  <si>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</si>
  <si>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</si>
  <si>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</si>
  <si>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</si>
  <si>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</si>
  <si>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</si>
  <si>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</si>
  <si>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</si>
  <si>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</si>
  <si>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</si>
  <si>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</si>
  <si>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</si>
  <si>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</si>
  <si>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</si>
  <si>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</si>
  <si>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</si>
  <si>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</si>
  <si>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</si>
  <si>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</si>
  <si>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</si>
  <si>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</si>
  <si>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</si>
  <si>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</si>
  <si>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</si>
  <si>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</si>
  <si>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</si>
  <si>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</si>
  <si>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</si>
  <si>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</si>
  <si>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</si>
  <si>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</si>
  <si>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</si>
  <si>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</si>
  <si>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</si>
  <si>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</si>
  <si>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</si>
  <si>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</si>
  <si>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</si>
  <si>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</si>
  <si>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</si>
  <si>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</si>
  <si>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</si>
  <si>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</si>
  <si>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</si>
  <si>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</si>
  <si>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</si>
  <si>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</si>
  <si>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</si>
  <si>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</si>
  <si>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</si>
  <si>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</si>
  <si>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</si>
  <si>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</si>
  <si>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</si>
  <si>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</si>
  <si>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</si>
  <si>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</si>
  <si>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</si>
  <si>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</si>
  <si>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</si>
  <si>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</si>
  <si>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</si>
  <si>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</si>
  <si>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</si>
  <si>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</si>
  <si>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</si>
  <si>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</si>
  <si>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</si>
  <si>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</si>
  <si>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</si>
  <si>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</si>
  <si>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</si>
  <si>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</si>
  <si>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</si>
  <si>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</si>
  <si>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</si>
  <si>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</si>
  <si>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</si>
  <si>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</si>
  <si>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</si>
  <si>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</si>
  <si>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</si>
  <si>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</si>
  <si>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</si>
  <si>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</si>
  <si>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</si>
  <si>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</si>
  <si>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</si>
  <si>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</si>
  <si>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</si>
  <si>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</si>
  <si>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</si>
  <si>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</si>
  <si>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</si>
  <si>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</si>
  <si>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</si>
  <si>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</si>
  <si>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</si>
  <si>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</si>
  <si>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</si>
  <si>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</si>
  <si>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</si>
  <si>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</si>
  <si>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</si>
  <si>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</si>
  <si>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</si>
  <si>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</si>
  <si>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</si>
  <si>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</si>
  <si>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</si>
  <si>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</si>
  <si>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</si>
  <si>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</si>
  <si>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</si>
  <si>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</si>
  <si>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</si>
  <si>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</si>
  <si>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</si>
  <si>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</si>
  <si>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</si>
  <si>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</si>
  <si>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</si>
  <si>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</si>
  <si>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</si>
  <si>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</si>
  <si>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</si>
  <si>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</si>
  <si>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</si>
  <si>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</si>
  <si>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</si>
  <si>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</si>
  <si>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</si>
  <si>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</si>
  <si>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</si>
  <si>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</si>
  <si>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</si>
  <si>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</si>
  <si>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</si>
  <si>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</si>
  <si>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</si>
  <si>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</si>
  <si>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</si>
  <si>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</si>
  <si>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</si>
  <si>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</si>
  <si>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</si>
  <si>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</si>
  <si>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</si>
  <si>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</si>
  <si>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</si>
  <si>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</si>
  <si>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</si>
  <si>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</si>
  <si>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</si>
  <si>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</si>
  <si>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</si>
  <si>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</si>
  <si>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</si>
  <si>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</si>
  <si>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</si>
  <si>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</si>
  <si>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</si>
  <si>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</si>
  <si>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</si>
  <si>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</si>
  <si>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</si>
  <si>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</si>
  <si>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</si>
  <si>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</si>
  <si>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</si>
  <si>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</si>
  <si>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</si>
  <si>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</si>
  <si>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</si>
  <si>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</si>
  <si>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</si>
  <si>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</si>
  <si>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</si>
  <si>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</si>
  <si>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</si>
  <si>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</si>
  <si>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</si>
  <si>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</si>
  <si>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</si>
  <si>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</si>
  <si>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</si>
  <si>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</si>
  <si>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</si>
  <si>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</si>
  <si>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</si>
  <si>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</si>
  <si>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</si>
  <si>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</si>
  <si>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</si>
  <si>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</si>
  <si>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</si>
  <si>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</si>
  <si>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</si>
  <si>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</si>
  <si>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</si>
  <si>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</si>
  <si>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</si>
  <si>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</si>
  <si>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</si>
  <si>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</si>
  <si>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</si>
  <si>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</si>
  <si>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</si>
  <si>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</si>
  <si>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</si>
  <si>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</si>
  <si>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</si>
  <si>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</si>
  <si>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</si>
  <si>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</si>
  <si>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</si>
  <si>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</si>
  <si>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</si>
  <si>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</si>
  <si>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</si>
  <si>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</si>
  <si>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</si>
  <si>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</si>
  <si>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</si>
  <si>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</si>
  <si>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</si>
  <si>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</si>
  <si>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</si>
  <si>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</si>
  <si>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</si>
  <si>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</si>
  <si>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</si>
  <si>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</si>
  <si>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</si>
  <si>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</si>
  <si>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</si>
  <si>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</si>
  <si>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</si>
  <si>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</si>
  <si>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</si>
  <si>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</si>
  <si>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</si>
  <si>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</si>
  <si>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</si>
  <si>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</si>
  <si>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</si>
  <si>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</si>
  <si>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</si>
  <si>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</si>
  <si>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</si>
  <si>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</si>
  <si>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</si>
  <si>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</si>
  <si>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</si>
  <si>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</si>
  <si>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</si>
  <si>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</si>
  <si>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</si>
  <si>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</si>
  <si>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</si>
  <si>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</si>
  <si>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</si>
  <si>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</si>
  <si>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</si>
  <si>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</si>
  <si>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</si>
  <si>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</si>
  <si>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</si>
  <si>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</si>
  <si>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</si>
  <si>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</si>
  <si>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</si>
  <si>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</si>
  <si>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</si>
  <si>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</si>
  <si>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</si>
  <si>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</si>
  <si>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</si>
  <si>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</si>
  <si>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</si>
  <si>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</si>
  <si>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</si>
  <si>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</si>
  <si>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</si>
  <si>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</si>
  <si>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</si>
  <si>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</si>
  <si>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</si>
  <si>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</si>
  <si>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</si>
  <si>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</si>
  <si>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</si>
  <si>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</si>
  <si>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</si>
  <si>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</si>
  <si>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</si>
  <si>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</si>
  <si>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</si>
  <si>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</si>
  <si>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</si>
  <si>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</si>
  <si>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</si>
  <si>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</si>
  <si>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</si>
  <si>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</si>
  <si>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</si>
  <si>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</si>
  <si>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</si>
  <si>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</si>
  <si>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</si>
  <si>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</si>
  <si>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</si>
  <si>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</si>
  <si>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</si>
  <si>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</si>
  <si>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</si>
  <si>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</si>
  <si>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</si>
  <si>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</si>
  <si>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</si>
  <si>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</si>
  <si>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</si>
  <si>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</si>
  <si>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</si>
  <si>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</si>
  <si>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</si>
  <si>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</si>
  <si>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</si>
  <si>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</si>
  <si>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</si>
  <si>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</si>
  <si>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</si>
  <si>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</si>
  <si>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</si>
  <si>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</si>
  <si>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</si>
  <si>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</si>
  <si>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</si>
  <si>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</si>
  <si>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</si>
  <si>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</si>
  <si>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</si>
  <si>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</si>
  <si>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</si>
  <si>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</si>
  <si>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</si>
  <si>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</si>
  <si>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</si>
  <si>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</si>
  <si>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</si>
  <si>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</si>
  <si>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</si>
  <si>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</si>
  <si>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</si>
  <si>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</si>
  <si>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</si>
  <si>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</si>
  <si>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</si>
  <si>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</si>
  <si>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</si>
  <si>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</si>
  <si>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</si>
  <si>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</si>
  <si>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</si>
  <si>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</si>
  <si>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</si>
  <si>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</si>
  <si>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</si>
  <si>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</si>
  <si>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</si>
  <si>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</si>
  <si>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</si>
  <si>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</si>
  <si>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</si>
  <si>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</si>
  <si>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</si>
  <si>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</si>
  <si>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</si>
  <si>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</si>
  <si>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</si>
  <si>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</si>
  <si>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</si>
  <si>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</si>
  <si>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</si>
  <si>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</si>
  <si>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</si>
  <si>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</si>
  <si>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</si>
  <si>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</si>
  <si>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</si>
  <si>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</si>
  <si>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</si>
  <si>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</si>
  <si>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</si>
  <si>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</si>
  <si>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</si>
  <si>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</si>
  <si>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</si>
  <si>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</si>
  <si>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</si>
  <si>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</si>
  <si>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</si>
  <si>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</si>
  <si>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</si>
  <si>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</si>
  <si>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</si>
  <si>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</si>
  <si>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</si>
  <si>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</si>
  <si>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</si>
  <si>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</si>
  <si>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</si>
  <si>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</si>
  <si>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</si>
  <si>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</si>
  <si>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</si>
  <si>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</si>
  <si>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</si>
  <si>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</si>
  <si>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</si>
  <si>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</si>
  <si>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</si>
  <si>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</si>
  <si>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</si>
  <si>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</si>
  <si>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</si>
  <si>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</si>
  <si>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</si>
  <si>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</si>
  <si>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</si>
  <si>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</si>
  <si>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</si>
  <si>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</si>
  <si>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</si>
  <si>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</si>
  <si>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</si>
  <si>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</si>
  <si>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</si>
  <si>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</si>
  <si>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</si>
  <si>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</si>
  <si>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</si>
  <si>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</si>
  <si>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</si>
  <si>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</si>
  <si>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</si>
  <si>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</si>
  <si>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</si>
  <si>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</si>
  <si>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</si>
  <si>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</si>
  <si>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</si>
  <si>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</si>
  <si>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</si>
  <si>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</si>
  <si>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</si>
  <si>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</si>
  <si>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</si>
  <si>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</si>
  <si>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</si>
  <si>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</si>
  <si>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</si>
  <si>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</si>
  <si>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</si>
  <si>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</si>
  <si>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</si>
  <si>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</si>
  <si>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</si>
  <si>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</si>
  <si>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</si>
  <si>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</si>
  <si>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</si>
  <si>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</si>
  <si>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</si>
  <si>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</si>
  <si>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</si>
  <si>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</si>
  <si>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</si>
  <si>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</si>
  <si>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</si>
  <si>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</si>
  <si>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</si>
  <si>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</si>
  <si>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</si>
  <si>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</si>
  <si>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</si>
  <si>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</si>
  <si>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</si>
  <si>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</si>
  <si>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</si>
  <si>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</si>
  <si>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</si>
  <si>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</si>
  <si>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</si>
  <si>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</si>
  <si>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</si>
  <si>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</si>
  <si>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</si>
  <si>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</si>
  <si>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</si>
  <si>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</si>
  <si>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</si>
  <si>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</si>
  <si>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</si>
  <si>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</si>
  <si>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</si>
  <si>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</si>
  <si>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</si>
  <si>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</si>
  <si>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</si>
  <si>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</si>
  <si>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</si>
  <si>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</si>
  <si>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</si>
  <si>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</si>
  <si>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</si>
  <si>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</si>
  <si>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</si>
  <si>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</si>
  <si>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</si>
  <si>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</si>
  <si>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</si>
  <si>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</si>
  <si>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</si>
  <si>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</si>
  <si>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</si>
  <si>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</si>
  <si>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</si>
  <si>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</si>
  <si>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</si>
  <si>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</si>
  <si>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</si>
  <si>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</si>
  <si>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</si>
  <si>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</si>
  <si>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</si>
  <si>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</si>
  <si>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</si>
  <si>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</si>
  <si>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</si>
  <si>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</si>
  <si>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</si>
  <si>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</si>
  <si>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</si>
  <si>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</si>
  <si>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</si>
  <si>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</si>
  <si>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</si>
  <si>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</si>
  <si>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</si>
  <si>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</si>
  <si>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</si>
  <si>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</si>
  <si>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</si>
  <si>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</si>
  <si>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</si>
  <si>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</si>
  <si>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</si>
  <si>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</si>
  <si>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</si>
  <si>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</si>
  <si>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</si>
  <si>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</si>
  <si>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</si>
  <si>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</si>
  <si>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</si>
  <si>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</si>
  <si>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</si>
  <si>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</si>
  <si>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</si>
  <si>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</si>
  <si>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</si>
  <si>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</si>
  <si>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</si>
  <si>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</si>
  <si>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</si>
  <si>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</si>
  <si>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</si>
  <si>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</si>
  <si>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</si>
  <si>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</si>
  <si>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</si>
  <si>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</si>
  <si>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</si>
  <si>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</si>
  <si>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</si>
  <si>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</si>
  <si>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</si>
  <si>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</si>
  <si>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</si>
  <si>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</si>
  <si>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</si>
  <si>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</si>
  <si>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</si>
  <si>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</si>
  <si>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</si>
  <si>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</si>
  <si>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</si>
  <si>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</si>
  <si>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</si>
  <si>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</si>
  <si>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</si>
  <si>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</si>
  <si>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</si>
  <si>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</si>
  <si>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</si>
  <si>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</si>
  <si>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</si>
  <si>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</si>
  <si>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</si>
  <si>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</si>
  <si>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</si>
  <si>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</si>
  <si>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</si>
  <si>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</si>
  <si>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</si>
  <si>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</si>
  <si>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</si>
  <si>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</si>
  <si>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</si>
  <si>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</si>
  <si>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</si>
  <si>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</si>
  <si>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</si>
  <si>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</si>
  <si>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</si>
  <si>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</si>
  <si>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</si>
  <si>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</si>
  <si>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</si>
  <si>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</si>
  <si>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</si>
  <si>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</si>
  <si>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</si>
  <si>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</si>
  <si>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</si>
  <si>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</si>
  <si>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</si>
  <si>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</si>
  <si>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</si>
  <si>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</si>
  <si>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</si>
  <si>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</si>
  <si>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</si>
  <si>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</si>
  <si>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</si>
  <si>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</si>
  <si>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</si>
  <si>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</si>
  <si>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</si>
  <si>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</si>
  <si>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</si>
  <si>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</si>
  <si>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</si>
  <si>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</si>
  <si>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</si>
  <si>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</si>
  <si>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</si>
  <si>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</si>
  <si>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</si>
  <si>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</si>
  <si>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</si>
  <si>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</si>
  <si>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</si>
  <si>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</si>
  <si>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</si>
  <si>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</si>
  <si>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</si>
  <si>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</si>
  <si>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</si>
  <si>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</si>
  <si>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</si>
  <si>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</si>
  <si>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</si>
  <si>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</si>
  <si>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</si>
  <si>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</si>
  <si>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</si>
  <si>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</si>
  <si>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</si>
  <si>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</si>
  <si>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</si>
  <si>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</si>
  <si>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</si>
  <si>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</si>
  <si>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</si>
  <si>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</si>
  <si>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</si>
  <si>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</si>
  <si>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</si>
  <si>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</si>
  <si>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</si>
  <si>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</si>
  <si>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</si>
  <si>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</si>
  <si>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</si>
  <si>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</si>
  <si>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</si>
  <si>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</si>
  <si>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</si>
  <si>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</si>
  <si>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</si>
  <si>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</si>
  <si>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</si>
  <si>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</si>
  <si>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</si>
  <si>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</si>
  <si>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</si>
  <si>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</si>
  <si>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</si>
  <si>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</si>
  <si>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</si>
  <si>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</si>
  <si>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</si>
  <si>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</si>
  <si>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</si>
  <si>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</si>
  <si>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</si>
  <si>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</si>
  <si>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</si>
  <si>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</si>
  <si>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</si>
  <si>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</si>
  <si>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</si>
  <si>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</si>
  <si>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</si>
  <si>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</si>
  <si>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</si>
  <si>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</si>
  <si>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</si>
  <si>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</si>
  <si>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</si>
  <si>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</si>
  <si>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</si>
  <si>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</si>
  <si>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</si>
  <si>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</si>
  <si>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</si>
  <si>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</si>
  <si>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</si>
  <si>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</si>
  <si>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</si>
  <si>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</si>
  <si>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</si>
  <si>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</si>
  <si>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</si>
  <si>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</si>
  <si>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</si>
  <si>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</si>
  <si>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</si>
  <si>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</si>
  <si>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</si>
  <si>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</si>
  <si>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</si>
  <si>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</si>
  <si>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</si>
  <si>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</si>
  <si>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</si>
  <si>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</si>
  <si>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</si>
  <si>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</si>
  <si>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</si>
  <si>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</si>
  <si>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</si>
  <si>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</si>
  <si>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</si>
  <si>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</si>
  <si>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</si>
  <si>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</si>
  <si>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</si>
  <si>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</si>
  <si>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</si>
  <si>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</si>
  <si>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</si>
  <si>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</si>
  <si>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</si>
  <si>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</si>
  <si>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</si>
  <si>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</si>
  <si>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</si>
  <si>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</si>
  <si>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</si>
  <si>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</si>
  <si>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</si>
  <si>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</si>
  <si>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</si>
  <si>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</si>
  <si>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</si>
  <si>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</si>
  <si>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</si>
  <si>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</si>
  <si>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</si>
  <si>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</si>
  <si>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</si>
  <si>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</si>
  <si>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</si>
  <si>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</si>
  <si>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</si>
  <si>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</si>
  <si>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</si>
  <si>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</si>
  <si>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</si>
  <si>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</si>
  <si>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</si>
  <si>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</si>
  <si>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</si>
  <si>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</si>
  <si>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</si>
  <si>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</si>
  <si>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</si>
  <si>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</si>
  <si>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</si>
  <si>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</si>
  <si>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</si>
  <si>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</si>
  <si>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</si>
  <si>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</si>
  <si>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</si>
  <si>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</si>
  <si>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</si>
  <si>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</si>
  <si>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</si>
  <si>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</si>
  <si>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</si>
  <si>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</si>
  <si>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</si>
  <si>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</si>
  <si>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</si>
  <si>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</si>
  <si>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</si>
  <si>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</si>
  <si>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</si>
  <si>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</si>
  <si>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</si>
  <si>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</si>
  <si>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</si>
  <si>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</si>
  <si>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</si>
  <si>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</si>
  <si>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</si>
  <si>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</si>
  <si>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</si>
  <si>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</si>
  <si>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</si>
  <si>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</si>
  <si>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</si>
  <si>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</si>
  <si>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</si>
  <si>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</si>
  <si>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</si>
  <si>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</si>
  <si>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</si>
  <si>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</si>
  <si>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</si>
  <si>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</si>
  <si>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</si>
  <si>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</si>
  <si>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</si>
  <si>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</si>
  <si>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</si>
  <si>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</si>
  <si>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</si>
  <si>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</si>
  <si>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</si>
  <si>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</si>
  <si>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</si>
  <si>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</si>
  <si>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</si>
  <si>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</si>
  <si>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</si>
  <si>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</si>
  <si>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</si>
  <si>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</si>
  <si>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</si>
  <si>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</si>
  <si>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</si>
  <si>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</si>
  <si>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</si>
  <si>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</si>
  <si>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</si>
  <si>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</si>
  <si>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</si>
  <si>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</si>
  <si>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</si>
  <si>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</si>
  <si>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</si>
  <si>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</si>
  <si>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</si>
  <si>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</si>
  <si>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</si>
  <si>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</si>
  <si>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</si>
  <si>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</si>
  <si>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</si>
  <si>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</si>
  <si>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</si>
  <si>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</si>
  <si>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</si>
  <si>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</si>
  <si>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</si>
  <si>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</si>
  <si>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</si>
  <si>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</si>
  <si>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</si>
  <si>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</si>
  <si>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</si>
  <si>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</si>
  <si>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</si>
  <si>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</si>
  <si>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</si>
  <si>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</si>
  <si>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</si>
  <si>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</si>
  <si>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</si>
  <si>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</si>
  <si>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</si>
  <si>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</si>
  <si>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</si>
  <si>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</si>
  <si>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</si>
  <si>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</si>
  <si>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</si>
  <si>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</si>
  <si>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</si>
  <si>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</si>
  <si>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</si>
  <si>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</si>
  <si>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</si>
  <si>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</si>
  <si>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</si>
  <si>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</si>
  <si>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</si>
  <si>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</si>
  <si>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</si>
  <si>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</si>
  <si>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</si>
  <si>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</si>
  <si>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</si>
  <si>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</si>
  <si>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</si>
  <si>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</si>
  <si>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</si>
  <si>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</si>
  <si>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</si>
  <si>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</si>
  <si>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</si>
  <si>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</si>
  <si>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</si>
  <si>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</si>
  <si>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</si>
  <si>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</si>
  <si>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</si>
  <si>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</si>
  <si>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</si>
  <si>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</si>
  <si>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</si>
  <si>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</si>
  <si>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</si>
  <si>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</si>
  <si>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</si>
  <si>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</si>
  <si>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</si>
  <si>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</si>
  <si>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</si>
  <si>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</si>
  <si>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</si>
  <si>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</si>
  <si>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</si>
  <si>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</si>
  <si>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</si>
  <si>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</si>
  <si>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</si>
  <si>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</si>
  <si>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</si>
  <si>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</si>
  <si>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</si>
  <si>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</si>
  <si>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</si>
  <si>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</si>
  <si>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</si>
  <si>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</si>
  <si>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</si>
  <si>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</si>
  <si>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</si>
  <si>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</si>
  <si>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</si>
  <si>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</si>
  <si>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</si>
  <si>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</si>
  <si>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</si>
  <si>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</si>
  <si>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</si>
  <si>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</si>
  <si>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</si>
  <si>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</si>
  <si>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</si>
  <si>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</si>
  <si>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</si>
  <si>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</si>
  <si>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</si>
  <si>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</si>
  <si>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</si>
  <si>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</si>
  <si>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</si>
  <si>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</si>
  <si>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</si>
  <si>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</si>
  <si>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</si>
  <si>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</si>
  <si>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</si>
  <si>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</si>
  <si>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</si>
  <si>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</si>
  <si>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</si>
  <si>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</si>
  <si>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</si>
  <si>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</si>
  <si>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</si>
  <si>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</si>
  <si>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</si>
  <si>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</si>
  <si>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</si>
  <si>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</si>
  <si>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</si>
  <si>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</si>
  <si>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</si>
  <si>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</si>
  <si>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</si>
  <si>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</si>
  <si>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</si>
  <si>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</si>
  <si>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</si>
  <si>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</si>
  <si>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</si>
  <si>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</si>
  <si>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</si>
  <si>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</si>
  <si>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</si>
  <si>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</si>
  <si>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</si>
  <si>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</si>
  <si>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</si>
  <si>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</si>
  <si>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</si>
  <si>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</si>
  <si>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</si>
  <si>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</si>
  <si>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</si>
  <si>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</si>
  <si>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</si>
  <si>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</si>
  <si>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</si>
  <si>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</si>
  <si>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</si>
  <si>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</si>
  <si>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</si>
  <si>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</si>
  <si>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</si>
  <si>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</si>
  <si>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</si>
  <si>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</si>
  <si>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</si>
  <si>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</si>
  <si>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</si>
  <si>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</si>
  <si>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</si>
  <si>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</si>
  <si>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</si>
  <si>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</si>
  <si>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</si>
  <si>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</si>
  <si>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</si>
  <si>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</si>
  <si>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</si>
  <si>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</si>
  <si>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</si>
  <si>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</si>
  <si>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</si>
  <si>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</si>
  <si>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</si>
  <si>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</si>
  <si>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</si>
  <si>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</si>
  <si>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</si>
  <si>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</si>
  <si>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</si>
  <si>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</si>
  <si>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</si>
  <si>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</si>
  <si>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</si>
  <si>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</si>
  <si>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</si>
  <si>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</si>
  <si>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</si>
  <si>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</si>
  <si>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</si>
  <si>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</si>
  <si>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</si>
  <si>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</si>
  <si>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</si>
  <si>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</si>
  <si>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</si>
  <si>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</si>
  <si>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</si>
  <si>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</si>
  <si>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</si>
  <si>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</si>
  <si>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</si>
  <si>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</si>
  <si>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</si>
  <si>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</si>
  <si>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</si>
  <si>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</si>
  <si>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</si>
  <si>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</si>
  <si>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</si>
  <si>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</si>
  <si>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</si>
  <si>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</si>
  <si>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</si>
  <si>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</si>
  <si>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</si>
  <si>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</si>
  <si>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</si>
  <si>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</si>
  <si>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</si>
  <si>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</si>
  <si>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</si>
  <si>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</si>
  <si>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</si>
  <si>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</si>
  <si>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</si>
  <si>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</si>
  <si>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</si>
  <si>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</si>
  <si>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</si>
  <si>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</si>
  <si>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</si>
  <si>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</si>
  <si>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</si>
  <si>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</si>
  <si>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</si>
  <si>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</si>
  <si>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</si>
  <si>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</si>
  <si>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</si>
  <si>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</si>
  <si>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</si>
  <si>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</si>
  <si>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</si>
  <si>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</si>
  <si>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</si>
  <si>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</si>
  <si>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</si>
  <si>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</si>
  <si>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</si>
  <si>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</si>
  <si>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</si>
  <si>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</si>
  <si>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</si>
  <si>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</si>
  <si>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</si>
  <si>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</si>
  <si>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</si>
  <si>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</si>
  <si>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</si>
  <si>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</si>
  <si>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</si>
  <si>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</si>
  <si>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</si>
  <si>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</si>
  <si>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</si>
  <si>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</si>
  <si>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</si>
  <si>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</si>
  <si>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</si>
  <si>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</si>
  <si>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</si>
  <si>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</si>
  <si>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</si>
  <si>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</si>
  <si>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</si>
  <si>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</si>
  <si>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</si>
  <si>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</si>
  <si>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</si>
  <si>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</si>
  <si>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</si>
  <si>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</si>
  <si>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</si>
  <si>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</si>
  <si>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</si>
  <si>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</si>
  <si>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</si>
  <si>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</si>
  <si>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</si>
  <si>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</si>
  <si>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</si>
  <si>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</si>
  <si>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</si>
  <si>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</si>
  <si>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</si>
  <si>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</si>
  <si>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</si>
  <si>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</si>
  <si>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</si>
  <si>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</si>
  <si>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</si>
  <si>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</si>
  <si>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</si>
  <si>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</si>
  <si>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</si>
  <si>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</si>
  <si>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</si>
  <si>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</si>
  <si>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</si>
  <si>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</si>
  <si>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</si>
  <si>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</si>
  <si>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</si>
  <si>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</si>
  <si>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</si>
  <si>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</si>
  <si>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</si>
  <si>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</si>
  <si>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</si>
  <si>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</si>
  <si>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</si>
  <si>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</si>
  <si>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</si>
  <si>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</si>
  <si>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</si>
  <si>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</si>
  <si>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</si>
  <si>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</si>
  <si>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</si>
  <si>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</si>
  <si>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</si>
  <si>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</si>
  <si>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</si>
  <si>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</si>
  <si>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</si>
  <si>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</si>
  <si>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</si>
  <si>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</si>
  <si>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</si>
  <si>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</si>
  <si>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</si>
  <si>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</si>
  <si>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</si>
  <si>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</si>
  <si>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</si>
  <si>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</si>
  <si>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</si>
  <si>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</si>
  <si>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</si>
  <si>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</si>
  <si>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</si>
  <si>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</si>
  <si>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</si>
  <si>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</si>
  <si>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</si>
  <si>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</si>
  <si>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</si>
  <si>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</si>
  <si>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</si>
  <si>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</si>
  <si>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</si>
  <si>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</si>
  <si>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</si>
  <si>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</si>
  <si>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</si>
  <si>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</si>
  <si>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</si>
  <si>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</si>
  <si>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</si>
  <si>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</si>
  <si>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</si>
  <si>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</si>
  <si>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</si>
  <si>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</si>
  <si>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</si>
  <si>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</si>
  <si>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</si>
  <si>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</si>
  <si>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</si>
  <si>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</si>
  <si>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</si>
  <si>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</si>
  <si>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</si>
  <si>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</si>
  <si>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</si>
  <si>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</si>
  <si>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</si>
  <si>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</si>
  <si>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</si>
  <si>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</si>
  <si>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</si>
  <si>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</si>
  <si>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</si>
  <si>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</si>
  <si>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</si>
  <si>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</si>
  <si>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</si>
  <si>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</si>
  <si>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</si>
  <si>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</si>
  <si>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</si>
  <si>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</si>
  <si>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</si>
  <si>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</si>
  <si>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</si>
  <si>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</si>
  <si>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</si>
  <si>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</si>
  <si>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</si>
  <si>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</si>
  <si>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</si>
  <si>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</si>
  <si>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</si>
  <si>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</si>
  <si>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</si>
  <si>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</si>
  <si>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</si>
  <si>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</si>
  <si>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</si>
  <si>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</si>
  <si>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</si>
  <si>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</si>
  <si>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</si>
  <si>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</si>
  <si>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</si>
  <si>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</si>
  <si>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</si>
  <si>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</si>
  <si>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</si>
  <si>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</si>
  <si>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</si>
  <si>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</si>
  <si>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</si>
  <si>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</si>
  <si>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</si>
  <si>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</si>
  <si>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</si>
  <si>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</si>
  <si>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</si>
  <si>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</si>
  <si>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</si>
  <si>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</si>
  <si>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</si>
  <si>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</si>
  <si>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</si>
  <si>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</si>
  <si>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</si>
  <si>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</si>
  <si>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</si>
  <si>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</si>
  <si>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</si>
  <si>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</si>
  <si>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</si>
  <si>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</si>
  <si>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</si>
  <si>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</si>
  <si>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</si>
  <si>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</si>
  <si>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</si>
  <si>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</si>
  <si>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</si>
  <si>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</si>
  <si>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</si>
  <si>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</si>
  <si>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</si>
  <si>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</si>
  <si>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</si>
  <si>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</si>
  <si>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</si>
  <si>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</si>
  <si>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</si>
  <si>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</si>
  <si>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</si>
  <si>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</si>
  <si>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</si>
  <si>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</si>
  <si>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</si>
  <si>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</si>
  <si>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</si>
  <si>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</si>
  <si>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</si>
  <si>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</si>
  <si>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</si>
  <si>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</si>
  <si>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</si>
  <si>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</si>
  <si>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</si>
  <si>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</si>
  <si>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</si>
  <si>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</si>
  <si>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</si>
  <si>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</si>
  <si>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</si>
  <si>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</si>
  <si>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</si>
  <si>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</si>
  <si>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</si>
  <si>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</si>
  <si>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</si>
  <si>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</si>
  <si>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</si>
  <si>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</si>
  <si>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</si>
  <si>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</si>
  <si>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</si>
  <si>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</si>
  <si>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</si>
  <si>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</si>
  <si>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</si>
  <si>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</si>
  <si>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</si>
  <si>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</si>
  <si>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</si>
  <si>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</si>
  <si>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</si>
  <si>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</si>
  <si>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</si>
  <si>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</si>
  <si>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</si>
  <si>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</si>
  <si>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</si>
  <si>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</si>
  <si>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</si>
  <si>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</si>
  <si>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</si>
  <si>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</si>
  <si>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</si>
  <si>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</si>
  <si>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</si>
  <si>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</si>
  <si>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</si>
  <si>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</si>
  <si>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</si>
  <si>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</si>
  <si>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</si>
  <si>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</si>
  <si>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</si>
  <si>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</si>
  <si>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</si>
  <si>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</si>
  <si>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</si>
  <si>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</si>
  <si>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</si>
  <si>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</si>
  <si>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</si>
  <si>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</si>
  <si>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</si>
  <si>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</si>
  <si>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</si>
  <si>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</si>
  <si>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</si>
  <si>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</si>
  <si>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</si>
  <si>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</si>
  <si>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</si>
  <si>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</si>
  <si>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</si>
  <si>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</si>
  <si>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</si>
  <si>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</si>
  <si>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</si>
  <si>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</si>
  <si>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</si>
  <si>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</si>
  <si>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</si>
  <si>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</si>
  <si>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</si>
  <si>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</si>
  <si>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</si>
  <si>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</si>
  <si>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</si>
  <si>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</si>
  <si>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</si>
  <si>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</si>
  <si>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</si>
  <si>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</si>
  <si>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</si>
  <si>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</si>
  <si>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</si>
  <si>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</si>
  <si>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</si>
  <si>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</si>
  <si>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</si>
  <si>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</si>
  <si>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</si>
  <si>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</si>
  <si>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</si>
  <si>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</si>
  <si>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</si>
  <si>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</si>
  <si>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</si>
  <si>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</si>
  <si>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</si>
  <si>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</si>
  <si>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</si>
  <si>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</si>
  <si>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</si>
  <si>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</si>
  <si>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</si>
  <si>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</si>
  <si>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</si>
  <si>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</si>
  <si>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</si>
  <si>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</si>
  <si>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</si>
  <si>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</si>
  <si>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</si>
  <si>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</si>
  <si>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</si>
  <si>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</si>
  <si>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</si>
  <si>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</si>
  <si>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</si>
  <si>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</si>
  <si>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</si>
  <si>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</si>
  <si>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</si>
  <si>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</si>
  <si>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</si>
  <si>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</si>
  <si>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</si>
  <si>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</si>
  <si>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</si>
  <si>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</si>
  <si>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</si>
  <si>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</si>
  <si>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</si>
  <si>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</si>
  <si>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</si>
  <si>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</si>
  <si>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</si>
  <si>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</si>
  <si>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</si>
  <si>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</si>
  <si>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</si>
  <si>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</si>
  <si>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</si>
  <si>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</si>
  <si>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</si>
  <si>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</si>
  <si>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</si>
  <si>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</si>
  <si>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</si>
  <si>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</si>
  <si>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</si>
  <si>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</si>
  <si>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</si>
  <si>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</si>
  <si>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</si>
  <si>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</si>
  <si>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</si>
  <si>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</si>
  <si>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</si>
  <si>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</si>
  <si>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</si>
  <si>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</si>
  <si>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</si>
  <si>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</si>
  <si>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</si>
  <si>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</si>
  <si>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</si>
  <si>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</si>
  <si>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</si>
  <si>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</si>
  <si>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</si>
  <si>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</si>
  <si>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</si>
  <si>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</si>
  <si>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</si>
  <si>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</si>
  <si>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</si>
  <si>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</si>
  <si>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</si>
  <si>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</si>
  <si>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</si>
  <si>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</si>
  <si>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</si>
  <si>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</si>
  <si>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</si>
  <si>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</si>
  <si>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</si>
  <si>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</si>
  <si>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</si>
  <si>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</si>
  <si>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</si>
  <si>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</si>
  <si>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</si>
  <si>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</si>
  <si>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</si>
  <si>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</si>
  <si>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</si>
  <si>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</si>
  <si>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</si>
  <si>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</si>
  <si>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</si>
  <si>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</si>
  <si>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</si>
  <si>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</si>
  <si>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</si>
  <si>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</si>
  <si>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</si>
  <si>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</si>
  <si>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</si>
  <si>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</si>
  <si>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</si>
  <si>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</si>
  <si>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</si>
  <si>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</si>
  <si>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</si>
  <si>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</si>
  <si>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</si>
  <si>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</si>
  <si>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</si>
  <si>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</si>
  <si>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</si>
  <si>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</si>
  <si>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</si>
  <si>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</si>
  <si>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</si>
  <si>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</si>
  <si>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</si>
  <si>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</si>
  <si>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</si>
  <si>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</si>
  <si>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</si>
  <si>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</si>
  <si>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</si>
  <si>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</si>
  <si>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</si>
  <si>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</si>
  <si>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</si>
  <si>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</si>
  <si>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</si>
  <si>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</si>
  <si>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</si>
  <si>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</si>
  <si>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</si>
  <si>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</si>
  <si>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</si>
  <si>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</si>
  <si>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</si>
  <si>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</si>
  <si>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</si>
  <si>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</si>
  <si>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</si>
  <si>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</si>
  <si>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</si>
  <si>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</si>
  <si>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</si>
  <si>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</si>
  <si>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</si>
  <si>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</si>
  <si>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</si>
  <si>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</si>
  <si>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</si>
  <si>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</si>
  <si>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</si>
  <si>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</si>
  <si>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</si>
  <si>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</si>
  <si>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</si>
  <si>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</si>
  <si>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</si>
  <si>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</si>
  <si>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</si>
  <si>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</si>
  <si>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</si>
  <si>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</si>
  <si>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</si>
  <si>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</si>
  <si>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</si>
  <si>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</si>
  <si>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</si>
  <si>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</si>
  <si>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</si>
  <si>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</si>
  <si>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</si>
  <si>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</si>
  <si>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</si>
  <si>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</si>
  <si>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</si>
  <si>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</si>
  <si>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</si>
  <si>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</si>
  <si>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</si>
  <si>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</si>
  <si>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</si>
  <si>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</si>
  <si>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</si>
  <si>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</si>
  <si>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</si>
  <si>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</si>
  <si>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</si>
  <si>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</si>
  <si>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</si>
  <si>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</si>
  <si>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</si>
  <si>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</si>
  <si>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</si>
  <si>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</si>
  <si>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</si>
  <si>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</si>
  <si>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</si>
  <si>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</si>
  <si>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</si>
  <si>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</si>
  <si>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</si>
  <si>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</si>
  <si>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</si>
  <si>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</si>
  <si>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</si>
  <si>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</si>
  <si>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</si>
  <si>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</si>
  <si>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</si>
  <si>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</si>
  <si>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</si>
  <si>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</si>
  <si>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</si>
  <si>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</si>
  <si>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</si>
  <si>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</si>
  <si>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</si>
  <si>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</si>
  <si>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</si>
  <si>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</si>
  <si>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</si>
  <si>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</si>
  <si>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</si>
  <si>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</si>
  <si>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</si>
  <si>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</si>
  <si>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</si>
  <si>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</si>
  <si>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</si>
  <si>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</si>
  <si>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</si>
  <si>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</si>
  <si>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</si>
  <si>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</si>
  <si>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</si>
  <si>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</si>
  <si>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</si>
  <si>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</si>
  <si>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</si>
  <si>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</si>
  <si>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</si>
  <si>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</si>
  <si>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</si>
  <si>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</si>
  <si>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</si>
  <si>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</si>
  <si>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</si>
  <si>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</si>
  <si>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</si>
  <si>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</si>
  <si>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</si>
  <si>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</si>
  <si>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</si>
  <si>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</si>
  <si>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</si>
  <si>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</si>
  <si>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</si>
  <si>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</si>
  <si>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</si>
  <si>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</si>
  <si>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</si>
  <si>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</si>
  <si>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</si>
  <si>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</si>
  <si>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</si>
  <si>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</si>
  <si>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</si>
  <si>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</si>
  <si>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</si>
  <si>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</si>
  <si>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</si>
  <si>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</si>
  <si>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</si>
  <si>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</si>
  <si>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</si>
  <si>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</si>
  <si>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</si>
  <si>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</si>
  <si>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</si>
  <si>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</si>
  <si>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</si>
  <si>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</si>
  <si>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</si>
  <si>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</si>
  <si>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</si>
  <si>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</si>
  <si>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</si>
  <si>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</si>
  <si>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</si>
  <si>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</si>
  <si>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</si>
  <si>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</si>
  <si>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</si>
  <si>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</si>
  <si>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</si>
  <si>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</si>
  <si>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</si>
  <si>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</si>
  <si>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</si>
  <si>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</si>
  <si>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</si>
  <si>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</si>
  <si>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</si>
  <si>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</si>
  <si>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</si>
  <si>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</si>
  <si>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</si>
  <si>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</si>
  <si>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</si>
  <si>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</si>
  <si>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</si>
  <si>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</si>
  <si>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</si>
  <si>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</si>
  <si>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</si>
  <si>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</si>
  <si>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</si>
  <si>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</si>
  <si>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</si>
  <si>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</si>
  <si>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</si>
  <si>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</si>
  <si>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</si>
  <si>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</si>
  <si>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</si>
  <si>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</si>
  <si>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</si>
  <si>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</si>
  <si>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</si>
  <si>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</si>
  <si>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</si>
  <si>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</si>
  <si>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</si>
  <si>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</si>
  <si>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</si>
  <si>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</si>
  <si>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</si>
  <si>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</si>
  <si>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</si>
  <si>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</si>
  <si>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</si>
  <si>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</si>
  <si>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</si>
  <si>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</si>
  <si>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</si>
  <si>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</si>
  <si>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</si>
  <si>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</si>
  <si>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</si>
  <si>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</si>
  <si>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</si>
  <si>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</si>
  <si>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</si>
  <si>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</si>
  <si>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</si>
  <si>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</si>
  <si>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</si>
  <si>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</si>
  <si>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</si>
  <si>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</si>
  <si>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</si>
  <si>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</si>
  <si>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</si>
  <si>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</si>
  <si>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</si>
  <si>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</si>
  <si>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</si>
  <si>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</si>
  <si>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</si>
  <si>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</si>
  <si>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</si>
  <si>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</si>
  <si>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</si>
  <si>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</si>
  <si>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</si>
  <si>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</si>
  <si>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</si>
  <si>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</si>
  <si>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</si>
  <si>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</si>
  <si>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</si>
  <si>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</si>
  <si>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</si>
  <si>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</si>
  <si>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</si>
  <si>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</si>
  <si>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</si>
  <si>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</si>
  <si>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</si>
  <si>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</si>
  <si>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</si>
  <si>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</si>
  <si>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</si>
  <si>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</si>
  <si>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</si>
  <si>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</si>
  <si>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</si>
  <si>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</si>
  <si>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</si>
  <si>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</si>
  <si>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</si>
  <si>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</si>
  <si>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</si>
  <si>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</si>
  <si>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</si>
  <si>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</si>
  <si>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</si>
  <si>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</si>
  <si>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</si>
  <si>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</si>
  <si>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</si>
  <si>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</si>
  <si>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</si>
  <si>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</si>
  <si>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</si>
  <si>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</si>
  <si>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</si>
  <si>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</si>
  <si>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</si>
  <si>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</si>
  <si>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</si>
  <si>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</si>
  <si>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</si>
  <si>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</si>
  <si>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</si>
  <si>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</si>
  <si>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</si>
  <si>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</si>
  <si>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</si>
  <si>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</si>
  <si>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</si>
  <si>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</si>
  <si>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</si>
  <si>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</si>
  <si>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</si>
  <si>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</si>
  <si>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</si>
  <si>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</si>
  <si>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</si>
  <si>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</si>
  <si>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</si>
  <si>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</si>
  <si>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</si>
  <si>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</si>
  <si>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</si>
  <si>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</si>
  <si>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</si>
  <si>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</si>
  <si>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</si>
  <si>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</si>
  <si>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</si>
  <si>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</si>
  <si>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</si>
  <si>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</si>
  <si>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</si>
  <si>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</si>
  <si>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</si>
  <si>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</si>
  <si>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</si>
  <si>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</si>
  <si>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</si>
  <si>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</si>
  <si>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</si>
  <si>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</si>
  <si>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</si>
  <si>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</si>
  <si>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</si>
  <si>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</si>
  <si>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</si>
  <si>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</si>
  <si>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</si>
  <si>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</si>
  <si>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</si>
  <si>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</si>
  <si>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</si>
  <si>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</si>
  <si>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</si>
  <si>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</si>
  <si>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</si>
  <si>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</si>
  <si>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</si>
  <si>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</si>
  <si>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</si>
  <si>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</si>
  <si>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</si>
  <si>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</si>
  <si>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</si>
  <si>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</si>
  <si>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</si>
  <si>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</si>
  <si>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</si>
  <si>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</si>
  <si>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</si>
  <si>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</si>
  <si>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</si>
  <si>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</si>
  <si>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</si>
  <si>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</si>
  <si>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</si>
  <si>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</si>
  <si>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</si>
  <si>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</si>
  <si>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</si>
  <si>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</si>
  <si>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</si>
  <si>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</si>
  <si>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</si>
  <si>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</si>
  <si>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</si>
  <si>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</si>
  <si>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</si>
  <si>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</si>
  <si>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</si>
  <si>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</si>
  <si>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</si>
  <si>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</si>
  <si>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</si>
  <si>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</si>
  <si>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</si>
  <si>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</si>
  <si>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</si>
  <si>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</si>
  <si>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</si>
  <si>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</si>
  <si>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</si>
  <si>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</si>
  <si>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</si>
  <si>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</si>
  <si>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</si>
  <si>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</si>
  <si>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</si>
  <si>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</si>
  <si>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</si>
  <si>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</si>
  <si>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</si>
  <si>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</si>
  <si>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</si>
  <si>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</si>
  <si>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</si>
  <si>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</si>
  <si>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</si>
  <si>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</si>
  <si>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</si>
  <si>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</si>
  <si>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</si>
  <si>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</si>
  <si>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</si>
  <si>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</si>
  <si>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</si>
  <si>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</si>
  <si>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</si>
  <si>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</si>
  <si>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</si>
  <si>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</si>
  <si>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</si>
  <si>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</si>
  <si>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</si>
  <si>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</si>
  <si>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</si>
  <si>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</si>
  <si>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</si>
  <si>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</si>
  <si>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</si>
  <si>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</si>
  <si>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</si>
  <si>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</si>
  <si>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</si>
  <si>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</si>
  <si>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</si>
  <si>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</si>
  <si>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</si>
  <si>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</si>
  <si>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</si>
  <si>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</si>
  <si>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</si>
  <si>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</si>
  <si>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</si>
  <si>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</si>
  <si>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</si>
  <si>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</si>
  <si>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</si>
  <si>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</si>
  <si>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</si>
  <si>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</si>
  <si>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</si>
  <si>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</si>
  <si>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</si>
  <si>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</si>
  <si>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</si>
  <si>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</si>
  <si>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</si>
  <si>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</si>
  <si>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</si>
  <si>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</si>
  <si>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</si>
  <si>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</si>
  <si>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</si>
  <si>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</si>
  <si>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</si>
  <si>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</si>
  <si>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</si>
  <si>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</si>
  <si>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</si>
  <si>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</si>
  <si>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</si>
  <si>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</si>
  <si>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</si>
  <si>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</si>
  <si>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</si>
  <si>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</si>
  <si>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</si>
  <si>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</si>
  <si>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</si>
  <si>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</si>
  <si>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</si>
  <si>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</si>
  <si>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</si>
  <si>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</si>
  <si>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</si>
  <si>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</si>
  <si>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</si>
  <si>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</si>
  <si>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</si>
  <si>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</si>
  <si>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</si>
  <si>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</si>
  <si>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</si>
  <si>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</si>
  <si>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</si>
  <si>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</si>
  <si>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</si>
  <si>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</si>
  <si>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</si>
  <si>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</si>
  <si>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</si>
  <si>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</si>
  <si>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</si>
  <si>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</si>
  <si>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</si>
  <si>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</si>
  <si>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</si>
  <si>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</si>
  <si>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</si>
  <si>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</si>
  <si>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</si>
  <si>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</si>
  <si>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</si>
  <si>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</si>
  <si>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</si>
  <si>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</si>
  <si>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</si>
  <si>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</si>
  <si>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</si>
  <si>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</si>
  <si>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</si>
  <si>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</si>
  <si>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</si>
  <si>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</si>
  <si>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</si>
  <si>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</si>
  <si>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</si>
  <si>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</si>
  <si>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</si>
  <si>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</si>
  <si>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</si>
  <si>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</si>
  <si>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</si>
  <si>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</si>
  <si>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</si>
  <si>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</si>
  <si>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</si>
  <si>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</si>
  <si>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</si>
  <si>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</si>
  <si>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</si>
  <si>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</si>
  <si>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</si>
  <si>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</si>
  <si>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</si>
  <si>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</si>
  <si>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</si>
  <si>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</si>
  <si>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</si>
  <si>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</si>
  <si>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</si>
  <si>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</si>
  <si>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</si>
  <si>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</si>
  <si>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</si>
  <si>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</si>
  <si>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</si>
  <si>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</si>
  <si>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</si>
  <si>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</si>
  <si>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</si>
  <si>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</si>
  <si>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</si>
  <si>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</si>
  <si>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</si>
  <si>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</si>
  <si>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</si>
  <si>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</si>
  <si>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</si>
  <si>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</si>
  <si>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</si>
  <si>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</si>
  <si>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</si>
  <si>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</si>
  <si>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</si>
  <si>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</si>
  <si>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</si>
  <si>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</si>
  <si>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</si>
  <si>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</si>
  <si>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</si>
  <si>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</si>
  <si>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</si>
  <si>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</si>
  <si>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</si>
  <si>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</si>
  <si>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</si>
  <si>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</si>
  <si>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</si>
  <si>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</si>
  <si>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</si>
  <si>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</si>
  <si>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</si>
  <si>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</si>
  <si>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</si>
  <si>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</si>
  <si>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</si>
  <si>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</si>
  <si>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</si>
  <si>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</si>
  <si>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</si>
  <si>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</si>
  <si>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</si>
  <si>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</si>
  <si>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</si>
  <si>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</si>
  <si>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</si>
  <si>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</si>
  <si>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</si>
  <si>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</si>
  <si>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</si>
  <si>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</si>
  <si>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</si>
  <si>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</si>
  <si>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</si>
  <si>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</si>
  <si>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</si>
  <si>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</si>
  <si>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</si>
  <si>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</si>
  <si>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</si>
  <si>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</si>
  <si>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</si>
  <si>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</si>
  <si>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</si>
  <si>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</si>
  <si>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</si>
  <si>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</si>
  <si>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</si>
  <si>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</si>
  <si>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</si>
  <si>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</si>
  <si>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</si>
  <si>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</si>
  <si>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</si>
  <si>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</si>
  <si>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</si>
  <si>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</si>
  <si>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</si>
  <si>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</si>
  <si>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</si>
  <si>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</si>
  <si>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</si>
  <si>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</si>
  <si>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</si>
  <si>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</si>
  <si>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</si>
  <si>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</si>
  <si>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</si>
  <si>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</si>
  <si>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</si>
  <si>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</si>
  <si>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</si>
  <si>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</si>
  <si>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</si>
  <si>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</si>
  <si>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</si>
  <si>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</si>
  <si>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</si>
  <si>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</si>
  <si>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</si>
  <si>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</si>
  <si>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</si>
  <si>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</si>
  <si>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</si>
  <si>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</si>
  <si>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</si>
  <si>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</si>
  <si>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</si>
  <si>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</si>
  <si>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</si>
  <si>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</si>
  <si>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</si>
  <si>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</si>
  <si>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</si>
  <si>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</si>
  <si>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</si>
  <si>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</si>
  <si>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</si>
  <si>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</si>
  <si>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</si>
  <si>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</si>
  <si>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</si>
  <si>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</si>
  <si>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</si>
  <si>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</si>
  <si>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</si>
  <si>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</si>
  <si>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</si>
  <si>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</si>
  <si>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</si>
  <si>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</si>
  <si>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</si>
  <si>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</si>
  <si>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</si>
  <si>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</si>
  <si>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</si>
  <si>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</si>
  <si>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</si>
  <si>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</si>
  <si>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</si>
  <si>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</si>
  <si>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</si>
  <si>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</si>
  <si>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</si>
  <si>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</si>
  <si>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</si>
  <si>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</si>
  <si>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</si>
  <si>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</si>
  <si>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</si>
  <si>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</si>
  <si>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</si>
  <si>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</si>
  <si>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</si>
  <si>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</si>
  <si>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</si>
  <si>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</si>
  <si>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</si>
  <si>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</si>
  <si>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</si>
  <si>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</si>
  <si>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</si>
  <si>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</si>
  <si>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</si>
  <si>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</si>
  <si>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</si>
  <si>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</si>
  <si>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</si>
  <si>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</si>
  <si>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</si>
  <si>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</si>
  <si>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</si>
  <si>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</si>
  <si>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</si>
  <si>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</si>
  <si>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</si>
  <si>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</si>
  <si>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</si>
  <si>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</si>
  <si>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</si>
  <si>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</si>
  <si>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</si>
  <si>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</si>
  <si>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</si>
  <si>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</si>
  <si>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</si>
  <si>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</si>
  <si>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</si>
  <si>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</si>
  <si>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</si>
  <si>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</si>
  <si>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</si>
  <si>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</si>
  <si>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</si>
  <si>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</si>
  <si>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</si>
  <si>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</si>
  <si>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</si>
  <si>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</si>
  <si>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</si>
  <si>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</si>
  <si>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</si>
  <si>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</si>
  <si>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</si>
  <si>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</si>
  <si>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</si>
  <si>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</si>
  <si>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</si>
  <si>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</si>
  <si>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</si>
  <si>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</si>
  <si>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</si>
  <si>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</si>
  <si>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</si>
  <si>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</si>
  <si>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</si>
  <si>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</si>
  <si>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</si>
  <si>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</si>
  <si>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</si>
  <si>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</si>
  <si>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</si>
  <si>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</si>
  <si>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</si>
  <si>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</si>
  <si>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</si>
  <si>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</si>
  <si>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</si>
  <si>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</si>
  <si>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</si>
  <si>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</si>
  <si>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</si>
  <si>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</si>
  <si>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</si>
  <si>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</si>
  <si>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</si>
  <si>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</si>
  <si>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</si>
  <si>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</si>
  <si>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</si>
  <si>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</si>
  <si>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</si>
  <si>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</si>
  <si>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</si>
  <si>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</si>
  <si>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</si>
  <si>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</si>
  <si>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</si>
  <si>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</si>
  <si>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</si>
  <si>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</si>
  <si>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</si>
  <si>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</si>
  <si>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</si>
  <si>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</si>
  <si>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</si>
  <si>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</si>
  <si>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</si>
  <si>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</si>
  <si>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</si>
  <si>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</si>
  <si>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</si>
  <si>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</si>
  <si>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</si>
  <si>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</si>
  <si>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</si>
  <si>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</si>
  <si>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</si>
  <si>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</si>
  <si>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</si>
  <si>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</si>
  <si>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</si>
  <si>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</si>
  <si>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</si>
  <si>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</si>
  <si>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</si>
  <si>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</si>
  <si>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</si>
  <si>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</si>
  <si>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</si>
  <si>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</si>
  <si>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</si>
  <si>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</si>
  <si>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</si>
  <si>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</si>
  <si>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</si>
  <si>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</si>
  <si>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</si>
  <si>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</si>
  <si>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</si>
  <si>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</si>
  <si>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</si>
  <si>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</si>
  <si>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</si>
  <si>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</si>
  <si>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</si>
  <si>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</si>
  <si>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</si>
  <si>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</si>
  <si>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</si>
  <si>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</si>
  <si>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</si>
  <si>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</si>
  <si>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</si>
  <si>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</si>
  <si>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</si>
  <si>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</si>
  <si>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</si>
  <si>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</si>
  <si>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</si>
  <si>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</si>
  <si>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</si>
  <si>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</si>
  <si>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</si>
  <si>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</si>
  <si>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</si>
  <si>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</si>
  <si>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</si>
  <si>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</si>
  <si>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</si>
  <si>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</si>
  <si>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</si>
  <si>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</si>
  <si>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</si>
  <si>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</si>
  <si>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</si>
  <si>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</si>
  <si>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</si>
  <si>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</si>
  <si>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</si>
  <si>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</si>
  <si>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</si>
  <si>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</si>
  <si>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</si>
  <si>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</si>
  <si>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</si>
  <si>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</si>
  <si>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</si>
  <si>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</si>
  <si>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</si>
  <si>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</si>
  <si>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</si>
  <si>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</si>
  <si>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</si>
  <si>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</si>
  <si>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</si>
  <si>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</si>
  <si>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</si>
  <si>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</si>
  <si>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</si>
  <si>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</si>
  <si>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</si>
  <si>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</si>
  <si>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</si>
  <si>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</si>
  <si>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</si>
  <si>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</si>
  <si>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</si>
  <si>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</si>
  <si>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</si>
  <si>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</si>
  <si>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</si>
  <si>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</si>
  <si>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</si>
  <si>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</si>
  <si>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</si>
  <si>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</si>
  <si>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</si>
  <si>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</si>
  <si>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</si>
  <si>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</si>
  <si>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</si>
  <si>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</si>
  <si>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</si>
  <si>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</si>
  <si>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</si>
  <si>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</si>
  <si>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</si>
  <si>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</si>
  <si>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</si>
  <si>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</si>
  <si>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</si>
  <si>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</si>
  <si>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</si>
  <si>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</si>
  <si>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</si>
  <si>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</si>
  <si>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</si>
  <si>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</si>
  <si>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</si>
  <si>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</si>
  <si>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</si>
  <si>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</si>
  <si>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</si>
  <si>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</si>
  <si>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</si>
  <si>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</si>
  <si>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</si>
  <si>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</si>
  <si>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</si>
  <si>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</si>
  <si>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</si>
  <si>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</si>
  <si>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</si>
  <si>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</si>
  <si>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</si>
  <si>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</si>
  <si>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</si>
  <si>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</si>
  <si>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</si>
  <si>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</si>
  <si>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</si>
  <si>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</si>
  <si>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</si>
  <si>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</si>
  <si>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</si>
  <si>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</si>
  <si>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</si>
  <si>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</si>
  <si>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</si>
  <si>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</si>
  <si>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</si>
  <si>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</si>
  <si>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</si>
  <si>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</si>
  <si>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</si>
  <si>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</si>
  <si>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</si>
  <si>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</si>
  <si>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</si>
  <si>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</si>
  <si>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</si>
  <si>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</si>
  <si>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</si>
  <si>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</si>
  <si>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</si>
  <si>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</si>
  <si>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</si>
  <si>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</si>
  <si>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</si>
  <si>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</si>
  <si>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</si>
  <si>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</si>
  <si>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</si>
  <si>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</si>
  <si>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</si>
  <si>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</si>
  <si>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</si>
  <si>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</si>
  <si>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</si>
  <si>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</si>
  <si>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</si>
  <si>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</si>
  <si>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</si>
  <si>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</si>
  <si>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</si>
  <si>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</si>
  <si>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</si>
  <si>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</si>
  <si>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</si>
  <si>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</si>
  <si>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</si>
  <si>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</si>
  <si>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</si>
  <si>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</si>
  <si>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</si>
  <si>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</si>
  <si>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</si>
  <si>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</si>
  <si>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</si>
  <si>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</si>
  <si>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</si>
  <si>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</si>
  <si>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</si>
  <si>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</si>
  <si>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</si>
  <si>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</si>
  <si>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</si>
  <si>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</si>
  <si>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</si>
  <si>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</si>
  <si>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</si>
  <si>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</si>
  <si>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</si>
  <si>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</si>
  <si>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</si>
  <si>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</si>
  <si>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</si>
  <si>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</si>
  <si>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</si>
  <si>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</si>
  <si>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</si>
  <si>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</si>
  <si>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</si>
  <si>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</si>
  <si>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</si>
  <si>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</si>
  <si>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</si>
  <si>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</si>
  <si>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</si>
  <si>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</si>
  <si>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</si>
  <si>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</si>
  <si>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</si>
  <si>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</si>
  <si>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</si>
  <si>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</si>
  <si>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</si>
  <si>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</si>
  <si>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</si>
  <si>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</si>
  <si>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</si>
  <si>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</si>
  <si>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</si>
  <si>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</si>
  <si>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</si>
  <si>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</si>
  <si>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</si>
  <si>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</si>
  <si>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</si>
  <si>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</si>
  <si>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</si>
  <si>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</si>
  <si>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</si>
  <si>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</si>
  <si>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</si>
  <si>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</si>
  <si>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</si>
  <si>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</si>
  <si>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</si>
  <si>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</si>
  <si>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</si>
  <si>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</si>
  <si>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</si>
  <si>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</si>
  <si>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</si>
  <si>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</si>
  <si>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</si>
  <si>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</si>
  <si>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</si>
  <si>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</si>
  <si>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</si>
  <si>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</si>
  <si>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</si>
  <si>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</si>
  <si>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</si>
  <si>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</si>
  <si>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</si>
  <si>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</si>
  <si>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</si>
  <si>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</si>
  <si>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</si>
  <si>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</si>
  <si>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</si>
  <si>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</si>
  <si>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</si>
  <si>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</si>
  <si>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</si>
  <si>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</si>
  <si>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</si>
  <si>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</si>
  <si>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</si>
  <si>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</si>
  <si>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</si>
  <si>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</si>
  <si>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</si>
  <si>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</si>
  <si>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</si>
  <si>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</si>
  <si>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</si>
  <si>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</si>
  <si>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</si>
  <si>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</si>
  <si>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</si>
  <si>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</si>
  <si>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</si>
  <si>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</si>
  <si>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</si>
  <si>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</si>
  <si>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</si>
  <si>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</si>
  <si>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</si>
  <si>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</si>
  <si>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</si>
  <si>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</si>
  <si>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</si>
  <si>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</si>
  <si>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</si>
  <si>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</si>
  <si>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</si>
  <si>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</si>
  <si>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</si>
  <si>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</si>
  <si>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</si>
  <si>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</si>
  <si>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</si>
  <si>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</si>
  <si>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</si>
  <si>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</si>
  <si>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</si>
  <si>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</si>
  <si>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</si>
  <si>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</si>
  <si>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</si>
  <si>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</si>
  <si>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</si>
  <si>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</si>
  <si>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</si>
  <si>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</si>
  <si>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</si>
  <si>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</si>
  <si>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</si>
  <si>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</si>
  <si>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</si>
  <si>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</si>
  <si>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</si>
  <si>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</si>
  <si>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</si>
  <si>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</si>
  <si>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</si>
  <si>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</si>
  <si>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</si>
  <si>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</si>
  <si>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</si>
  <si>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</si>
  <si>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</si>
  <si>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</si>
  <si>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</si>
  <si>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</si>
  <si>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</si>
  <si>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</si>
  <si>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</si>
  <si>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</si>
  <si>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</si>
  <si>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</si>
  <si>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</si>
  <si>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</si>
  <si>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</si>
  <si>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</si>
  <si>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</si>
  <si>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</si>
  <si>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</si>
  <si>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</si>
  <si>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</si>
  <si>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</si>
  <si>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</si>
  <si>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</si>
  <si>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</si>
  <si>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</si>
  <si>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</si>
  <si>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</si>
  <si>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</si>
  <si>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</si>
  <si>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</si>
  <si>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</si>
  <si>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</si>
  <si>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</si>
  <si>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</si>
  <si>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</si>
  <si>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</si>
  <si>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</si>
  <si>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</si>
  <si>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</si>
  <si>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</si>
  <si>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</si>
  <si>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</si>
  <si>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</si>
  <si>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</si>
  <si>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</si>
  <si>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</si>
  <si>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</si>
  <si>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</si>
  <si>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</si>
  <si>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</si>
  <si>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</si>
  <si>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</si>
  <si>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</si>
  <si>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</si>
  <si>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</si>
  <si>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</si>
  <si>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</si>
  <si>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</si>
  <si>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</si>
  <si>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</si>
  <si>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</si>
  <si>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</si>
  <si>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</si>
  <si>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</si>
  <si>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</si>
  <si>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</si>
  <si>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</si>
  <si>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</si>
  <si>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</si>
  <si>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</si>
  <si>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</si>
  <si>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</si>
  <si>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</si>
  <si>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</si>
  <si>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</si>
  <si>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</si>
  <si>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</si>
  <si>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</si>
  <si>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</si>
  <si>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</si>
  <si>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</si>
  <si>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</si>
  <si>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</si>
  <si>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</si>
  <si>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</si>
  <si>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</si>
  <si>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</si>
  <si>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</si>
  <si>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</si>
  <si>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</si>
  <si>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</si>
  <si>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</si>
  <si>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</si>
  <si>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</si>
  <si>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</si>
  <si>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</si>
  <si>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</si>
  <si>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</si>
  <si>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</si>
  <si>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</si>
  <si>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</si>
  <si>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</si>
  <si>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</si>
  <si>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</si>
  <si>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</si>
  <si>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</si>
  <si>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</si>
  <si>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</si>
  <si>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</si>
  <si>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</si>
  <si>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</si>
  <si>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</si>
  <si>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</si>
  <si>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</si>
  <si>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</si>
  <si>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</si>
  <si>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</si>
  <si>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</si>
  <si>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</si>
  <si>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</si>
  <si>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</si>
  <si>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</si>
  <si>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</si>
  <si>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</si>
  <si>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</si>
  <si>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</si>
  <si>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</si>
  <si>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</si>
  <si>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</si>
  <si>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</si>
  <si>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</si>
  <si>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</si>
  <si>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</si>
  <si>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</si>
  <si>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</si>
  <si>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</si>
  <si>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</si>
  <si>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</si>
  <si>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</si>
  <si>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</si>
  <si>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</si>
  <si>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</si>
  <si>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</si>
  <si>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</si>
  <si>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</si>
  <si>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</si>
  <si>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</si>
  <si>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</si>
  <si>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</si>
  <si>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</si>
  <si>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</si>
  <si>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</si>
  <si>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</si>
  <si>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</si>
  <si>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</si>
  <si>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</si>
  <si>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</si>
  <si>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</si>
  <si>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</si>
  <si>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</si>
  <si>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</si>
  <si>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</si>
  <si>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</si>
  <si>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</si>
  <si>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</si>
  <si>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</si>
  <si>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</si>
  <si>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</si>
  <si>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</si>
  <si>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</si>
  <si>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</si>
  <si>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</si>
  <si>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</si>
  <si>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</si>
  <si>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</si>
  <si>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</si>
  <si>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</si>
  <si>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</si>
  <si>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</si>
  <si>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</si>
  <si>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</si>
  <si>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</si>
  <si>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</si>
  <si>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</si>
  <si>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</si>
  <si>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</si>
  <si>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</si>
  <si>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</si>
  <si>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</si>
  <si>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</si>
  <si>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</si>
  <si>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</si>
  <si>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</si>
  <si>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</si>
  <si>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</si>
  <si>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</si>
  <si>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</si>
  <si>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</si>
  <si>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</si>
  <si>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</si>
  <si>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</si>
  <si>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</si>
  <si>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</si>
  <si>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</si>
  <si>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</si>
  <si>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</si>
  <si>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</si>
  <si>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</si>
  <si>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</si>
  <si>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</si>
  <si>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</si>
  <si>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</si>
  <si>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</si>
  <si>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</si>
  <si>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</si>
  <si>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</si>
  <si>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</si>
  <si>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</si>
  <si>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</si>
  <si>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</si>
  <si>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</si>
  <si>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</si>
  <si>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</si>
  <si>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</si>
  <si>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</si>
  <si>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</si>
  <si>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</si>
  <si>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</si>
  <si>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</si>
  <si>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</si>
  <si>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</si>
  <si>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</si>
  <si>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</si>
  <si>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</si>
  <si>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</si>
  <si>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</si>
  <si>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</si>
  <si>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</si>
  <si>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</si>
  <si>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</si>
  <si>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</si>
  <si>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</si>
  <si>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</si>
  <si>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</si>
  <si>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</si>
  <si>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</si>
  <si>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</si>
  <si>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</si>
  <si>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</si>
  <si>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</si>
  <si>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</si>
  <si>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</si>
  <si>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</si>
  <si>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</si>
  <si>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</si>
  <si>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</si>
  <si>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</si>
  <si>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</si>
  <si>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</si>
  <si>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</si>
  <si>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</si>
  <si>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</si>
  <si>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</si>
  <si>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</si>
  <si>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</si>
  <si>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</si>
  <si>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</si>
  <si>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</si>
  <si>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</si>
  <si>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</si>
  <si>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</si>
  <si>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</si>
  <si>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</si>
  <si>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</si>
  <si>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</si>
  <si>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</si>
  <si>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</si>
  <si>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</si>
  <si>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</si>
  <si>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</si>
  <si>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</si>
  <si>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</si>
  <si>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</si>
  <si>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</si>
  <si>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</si>
  <si>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</si>
  <si>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</si>
  <si>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</si>
  <si>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</si>
  <si>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</si>
  <si>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</si>
  <si>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</si>
  <si>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</si>
  <si>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</si>
  <si>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</si>
  <si>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</si>
  <si>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</si>
  <si>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</si>
  <si>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</si>
  <si>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</si>
  <si>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</si>
  <si>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</si>
  <si>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</si>
  <si>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</si>
  <si>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</si>
  <si>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</si>
  <si>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</si>
  <si>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</si>
  <si>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</si>
  <si>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</si>
  <si>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</si>
  <si>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</si>
  <si>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</si>
  <si>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</si>
  <si>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</si>
  <si>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</si>
  <si>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</si>
  <si>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</si>
  <si>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</si>
  <si>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</si>
  <si>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</si>
  <si>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</si>
  <si>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</si>
  <si>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</si>
  <si>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</si>
  <si>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</si>
  <si>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</si>
  <si>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</si>
  <si>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</si>
  <si>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</si>
  <si>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</si>
  <si>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</si>
  <si>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</si>
  <si>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</si>
  <si>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</si>
  <si>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</si>
  <si>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</si>
  <si>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</si>
  <si>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</si>
  <si>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</si>
  <si>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</si>
  <si>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</si>
  <si>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</si>
  <si>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</si>
  <si>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</si>
  <si>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</si>
  <si>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</si>
  <si>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</si>
  <si>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</si>
  <si>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</si>
  <si>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</si>
  <si>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</si>
  <si>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</si>
  <si>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</si>
  <si>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</si>
  <si>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</si>
  <si>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</si>
  <si>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</si>
  <si>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</si>
  <si>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</si>
  <si>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</si>
  <si>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</si>
  <si>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</si>
  <si>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</si>
  <si>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</si>
  <si>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</si>
  <si>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</si>
  <si>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</si>
  <si>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</si>
  <si>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</si>
  <si>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</si>
  <si>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</si>
  <si>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</si>
  <si>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</si>
  <si>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</si>
  <si>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</si>
  <si>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</si>
  <si>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</si>
  <si>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</si>
  <si>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</si>
  <si>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</si>
  <si>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</si>
  <si>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</si>
  <si>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</si>
  <si>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</si>
  <si>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</si>
  <si>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</si>
  <si>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</si>
  <si>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</si>
  <si>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</si>
  <si>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</si>
  <si>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</si>
  <si>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</si>
  <si>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</si>
  <si>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</si>
  <si>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</si>
  <si>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</si>
  <si>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</si>
  <si>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</si>
  <si>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</si>
  <si>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</si>
  <si>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</si>
  <si>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</si>
  <si>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</si>
  <si>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</si>
  <si>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</si>
  <si>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</si>
  <si>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</si>
  <si>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</si>
  <si>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</si>
  <si>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</si>
  <si>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</si>
  <si>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</si>
  <si>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</si>
  <si>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</si>
  <si>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</si>
  <si>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</si>
  <si>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</si>
  <si>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</si>
  <si>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</si>
  <si>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</si>
  <si>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</si>
  <si>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</si>
  <si>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</si>
  <si>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</si>
  <si>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</si>
  <si>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</si>
  <si>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</si>
  <si>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</si>
  <si>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</si>
  <si>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</si>
  <si>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</si>
  <si>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</si>
  <si>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</si>
  <si>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</si>
  <si>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</si>
  <si>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</si>
  <si>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</si>
  <si>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</si>
  <si>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</si>
  <si>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</si>
  <si>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</si>
  <si>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</si>
  <si>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</si>
  <si>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</si>
  <si>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</si>
  <si>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</si>
  <si>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</si>
  <si>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</si>
  <si>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</si>
  <si>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</si>
  <si>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</si>
  <si>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</si>
  <si>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</si>
  <si>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</si>
  <si>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</si>
  <si>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</si>
  <si>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</si>
  <si>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</si>
  <si>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</si>
  <si>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</si>
  <si>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</si>
  <si>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</si>
  <si>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</si>
  <si>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</si>
  <si>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</si>
  <si>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</si>
  <si>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</si>
  <si>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</si>
  <si>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</si>
  <si>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</si>
  <si>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</si>
  <si>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</si>
  <si>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</si>
  <si>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</si>
  <si>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</si>
  <si>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</si>
  <si>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</si>
  <si>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</si>
  <si>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</si>
  <si>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</si>
  <si>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</si>
  <si>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</si>
  <si>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</si>
  <si>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</si>
  <si>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</si>
  <si>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</si>
  <si>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</si>
  <si>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</si>
  <si>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</si>
  <si>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</si>
  <si>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</si>
  <si>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</si>
  <si>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</si>
  <si>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</si>
  <si>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</si>
  <si>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</si>
  <si>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</si>
  <si>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</si>
  <si>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</si>
  <si>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</si>
  <si>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</si>
  <si>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</si>
  <si>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</si>
  <si>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</si>
  <si>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</si>
  <si>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</si>
  <si>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</si>
  <si>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</si>
  <si>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</si>
  <si>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</si>
  <si>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</si>
  <si>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</si>
  <si>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</si>
  <si>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</si>
  <si>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</si>
  <si>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</si>
  <si>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</si>
  <si>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</si>
  <si>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</si>
  <si>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</si>
  <si>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</si>
  <si>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</si>
  <si>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</si>
  <si>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</si>
  <si>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</si>
  <si>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</si>
  <si>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</si>
  <si>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</si>
  <si>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</si>
  <si>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</si>
  <si>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</si>
  <si>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</si>
  <si>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</si>
  <si>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</si>
  <si>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</si>
  <si>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</si>
  <si>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</si>
  <si>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</si>
  <si>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</si>
  <si>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</si>
  <si>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</si>
  <si>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</si>
  <si>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</si>
  <si>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</si>
  <si>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</si>
  <si>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</si>
  <si>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</si>
  <si>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</si>
  <si>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</si>
  <si>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</si>
  <si>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</si>
  <si>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</si>
  <si>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</si>
  <si>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</si>
  <si>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</si>
  <si>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</si>
  <si>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</si>
  <si>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</si>
  <si>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</si>
  <si>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</si>
  <si>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</si>
  <si>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</si>
  <si>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</si>
  <si>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</si>
  <si>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</si>
  <si>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</si>
  <si>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</si>
  <si>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</si>
  <si>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</si>
  <si>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</si>
  <si>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</si>
  <si>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</si>
  <si>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</si>
  <si>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</si>
  <si>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</si>
  <si>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</si>
  <si>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</si>
  <si>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</si>
  <si>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</si>
  <si>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</si>
  <si>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</si>
  <si>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</si>
  <si>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</si>
  <si>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</si>
  <si>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</si>
  <si>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</si>
  <si>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</si>
  <si>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</si>
  <si>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</si>
  <si>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</si>
  <si>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</si>
  <si>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</si>
  <si>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</si>
  <si>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</si>
  <si>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</si>
  <si>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</si>
  <si>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</si>
  <si>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</si>
  <si>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</si>
  <si>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</si>
  <si>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</si>
  <si>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</si>
  <si>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</si>
  <si>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</si>
  <si>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</si>
  <si>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</si>
  <si>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</si>
  <si>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</si>
  <si>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</si>
  <si>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</si>
  <si>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</si>
  <si>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</si>
  <si>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</si>
  <si>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</si>
  <si>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</si>
  <si>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</si>
  <si>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</si>
  <si>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</si>
  <si>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</si>
  <si>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</si>
  <si>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</si>
  <si>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</si>
  <si>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</si>
  <si>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</si>
  <si>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</si>
  <si>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</si>
  <si>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</si>
  <si>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</si>
  <si>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</si>
  <si>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</si>
  <si>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</si>
  <si>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</si>
  <si>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</si>
  <si>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</si>
  <si>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</si>
  <si>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</si>
  <si>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</si>
  <si>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</si>
  <si>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</si>
  <si>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</si>
  <si>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</si>
  <si>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</si>
  <si>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</si>
  <si>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</si>
  <si>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</si>
  <si>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</si>
  <si>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</si>
  <si>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</si>
  <si>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</si>
  <si>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</si>
  <si>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</si>
  <si>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</si>
  <si>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</si>
  <si>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</si>
  <si>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</si>
  <si>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</si>
  <si>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</si>
  <si>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</si>
  <si>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</si>
  <si>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</si>
  <si>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</si>
  <si>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</si>
  <si>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</si>
  <si>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</si>
  <si>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</si>
  <si>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</si>
  <si>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</si>
  <si>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</si>
  <si>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</si>
  <si>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</si>
  <si>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</si>
  <si>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</si>
  <si>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</si>
  <si>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</si>
  <si>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</si>
  <si>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</si>
  <si>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</si>
  <si>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</si>
  <si>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</si>
  <si>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</si>
  <si>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</si>
  <si>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</si>
  <si>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</si>
  <si>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</si>
  <si>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</si>
  <si>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</si>
  <si>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</si>
  <si>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</si>
  <si>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</si>
  <si>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</si>
  <si>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</si>
  <si>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</si>
  <si>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</si>
  <si>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</si>
  <si>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</si>
  <si>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</si>
  <si>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</si>
  <si>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</si>
  <si>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</si>
  <si>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</si>
  <si>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</si>
  <si>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</si>
  <si>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</si>
  <si>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</si>
  <si>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</si>
  <si>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</si>
  <si>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</si>
  <si>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</si>
  <si>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</si>
  <si>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</si>
  <si>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</si>
  <si>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</si>
  <si>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</si>
  <si>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</si>
  <si>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</si>
  <si>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</si>
  <si>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</si>
  <si>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</si>
  <si>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</si>
  <si>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</si>
  <si>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</si>
  <si>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</si>
  <si>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</si>
  <si>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</si>
  <si>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</si>
  <si>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</si>
  <si>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</si>
  <si>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</si>
  <si>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</si>
  <si>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</si>
  <si>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</si>
  <si>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</si>
  <si>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</si>
  <si>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</si>
  <si>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</si>
  <si>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</si>
  <si>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</si>
  <si>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</si>
  <si>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</si>
  <si>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</si>
  <si>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</si>
  <si>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</si>
  <si>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</si>
  <si>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</si>
  <si>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</si>
  <si>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</si>
  <si>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</si>
  <si>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</si>
  <si>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</si>
  <si>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</si>
  <si>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</si>
  <si>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</si>
  <si>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</si>
  <si>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</si>
  <si>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</si>
  <si>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</si>
  <si>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</si>
  <si>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</si>
  <si>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</si>
  <si>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</si>
  <si>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</si>
  <si>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</si>
  <si>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</si>
  <si>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</si>
  <si>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</si>
  <si>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</si>
  <si>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</si>
  <si>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</si>
  <si>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</si>
  <si>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</si>
  <si>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</si>
  <si>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</si>
  <si>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</si>
  <si>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</si>
  <si>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</si>
  <si>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</si>
  <si>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</si>
  <si>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</si>
  <si>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</si>
  <si>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</si>
  <si>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</si>
  <si>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</si>
  <si>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</si>
  <si>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</si>
  <si>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</si>
  <si>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</si>
  <si>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</si>
  <si>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</si>
  <si>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</si>
  <si>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</si>
  <si>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</si>
  <si>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</si>
  <si>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</si>
  <si>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</si>
  <si>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</si>
  <si>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</si>
  <si>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</si>
  <si>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</si>
  <si>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</si>
  <si>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</si>
  <si>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</si>
  <si>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</si>
  <si>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</si>
  <si>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</si>
  <si>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</si>
  <si>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</si>
  <si>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</si>
  <si>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</si>
  <si>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</si>
  <si>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</si>
  <si>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</si>
  <si>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</si>
  <si>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</si>
  <si>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</si>
  <si>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</si>
  <si>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</si>
  <si>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</si>
  <si>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</si>
  <si>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</si>
  <si>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</si>
  <si>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</si>
  <si>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</si>
  <si>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</si>
  <si>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</si>
  <si>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</si>
  <si>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</si>
  <si>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</si>
  <si>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</si>
  <si>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</si>
  <si>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</si>
  <si>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</si>
  <si>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</si>
  <si>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</si>
  <si>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</si>
  <si>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</si>
  <si>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</si>
  <si>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</si>
  <si>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</si>
  <si>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</si>
  <si>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</si>
  <si>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</si>
  <si>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</si>
  <si>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</si>
  <si>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</si>
  <si>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</si>
  <si>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</si>
  <si>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</si>
  <si>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</si>
  <si>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</si>
  <si>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</si>
  <si>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</si>
  <si>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</si>
  <si>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</si>
  <si>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</si>
  <si>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</si>
  <si>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</si>
  <si>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</si>
  <si>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</si>
  <si>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</si>
  <si>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</si>
  <si>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</si>
  <si>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</si>
  <si>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</si>
  <si>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</si>
  <si>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</si>
  <si>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</si>
  <si>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</si>
  <si>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</si>
  <si>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</si>
  <si>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</si>
  <si>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</si>
  <si>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</si>
  <si>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</si>
  <si>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</si>
  <si>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</si>
  <si>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</si>
  <si>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</si>
  <si>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</si>
  <si>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</si>
  <si>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</si>
  <si>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</si>
  <si>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</si>
  <si>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</si>
  <si>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</si>
  <si>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</si>
  <si>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</si>
  <si>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</si>
  <si>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</si>
  <si>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</si>
  <si>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</si>
  <si>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</si>
  <si>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</si>
  <si>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</si>
  <si>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</si>
  <si>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</si>
  <si>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</si>
  <si>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</si>
  <si>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</si>
  <si>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</si>
  <si>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</si>
  <si>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</si>
  <si>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</si>
  <si>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</si>
  <si>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</si>
  <si>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</si>
  <si>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</si>
  <si>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</si>
  <si>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</si>
  <si>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</si>
  <si>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</si>
  <si>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</si>
  <si>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</si>
  <si>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</si>
  <si>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</si>
  <si>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</si>
  <si>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</si>
  <si>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</si>
  <si>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</si>
  <si>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</si>
  <si>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</si>
  <si>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</si>
  <si>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</si>
  <si>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</si>
  <si>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</si>
  <si>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</si>
  <si>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</si>
  <si>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</si>
  <si>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</si>
  <si>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</si>
  <si>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</si>
  <si>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</si>
  <si>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</si>
  <si>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</si>
  <si>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</si>
  <si>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</si>
  <si>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</si>
  <si>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</si>
  <si>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</si>
  <si>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</si>
  <si>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</si>
  <si>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</si>
  <si>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</si>
  <si>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</si>
  <si>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</si>
  <si>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</si>
  <si>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</si>
  <si>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</si>
  <si>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</si>
  <si>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</si>
  <si>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</si>
  <si>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</si>
  <si>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</si>
  <si>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</si>
  <si>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</si>
  <si>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</si>
  <si>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</si>
  <si>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</si>
  <si>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</si>
  <si>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</si>
  <si>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</si>
  <si>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</si>
  <si>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</si>
  <si>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</si>
  <si>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</si>
  <si>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</si>
  <si>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</si>
  <si>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</si>
  <si>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</si>
  <si>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</si>
  <si>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</si>
  <si>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</si>
  <si>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</si>
  <si>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</si>
  <si>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</si>
  <si>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</si>
  <si>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</si>
  <si>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</si>
  <si>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</si>
  <si>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</si>
  <si>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</si>
  <si>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</si>
  <si>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</si>
  <si>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</si>
  <si>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</si>
  <si>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</si>
  <si>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</si>
  <si>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</si>
  <si>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</si>
  <si>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</si>
  <si>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</si>
  <si>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</si>
  <si>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</si>
  <si>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</si>
  <si>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</si>
  <si>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</si>
  <si>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</si>
  <si>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</si>
  <si>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</si>
  <si>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</si>
  <si>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</si>
  <si>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</si>
  <si>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</si>
  <si>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</si>
  <si>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</si>
  <si>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</si>
  <si>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</si>
  <si>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</si>
  <si>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</si>
  <si>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</si>
  <si>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</si>
  <si>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</si>
  <si>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</si>
  <si>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</si>
  <si>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</si>
  <si>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</si>
  <si>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</si>
  <si>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</si>
  <si>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</si>
  <si>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</si>
  <si>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</si>
  <si>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</si>
  <si>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</si>
  <si>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</si>
  <si>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</si>
  <si>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</si>
  <si>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</si>
  <si>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</si>
  <si>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</si>
  <si>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</si>
  <si>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</si>
  <si>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</si>
  <si>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</si>
  <si>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</si>
  <si>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</si>
  <si>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</si>
  <si>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</si>
  <si>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</si>
  <si>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</si>
  <si>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</si>
  <si>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</si>
  <si>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</si>
  <si>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</si>
  <si>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</si>
  <si>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</si>
  <si>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</si>
  <si>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</si>
  <si>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</si>
  <si>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</si>
  <si>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</si>
  <si>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</si>
  <si>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</si>
  <si>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</si>
  <si>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</si>
  <si>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</si>
  <si>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</si>
  <si>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</si>
  <si>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</si>
  <si>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</si>
  <si>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</si>
  <si>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</si>
  <si>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</si>
  <si>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</si>
  <si>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</si>
  <si>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</si>
  <si>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</si>
  <si>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</si>
  <si>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</si>
  <si>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</si>
  <si>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</si>
  <si>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</si>
  <si>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</si>
  <si>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</si>
  <si>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</si>
  <si>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</si>
  <si>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</si>
  <si>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</si>
  <si>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</si>
  <si>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</si>
  <si>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</si>
  <si>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</si>
  <si>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</si>
  <si>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</si>
  <si>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</si>
  <si>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</si>
  <si>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</si>
  <si>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</si>
  <si>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</si>
  <si>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</si>
  <si>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</si>
  <si>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</si>
  <si>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</si>
  <si>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</si>
  <si>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</si>
  <si>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</si>
  <si>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</si>
  <si>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</si>
  <si>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</si>
  <si>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</si>
  <si>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</si>
  <si>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</si>
  <si>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</si>
  <si>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</si>
  <si>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</si>
  <si>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</si>
  <si>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</si>
  <si>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</si>
  <si>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</si>
  <si>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</si>
  <si>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</si>
  <si>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</si>
  <si>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</si>
  <si>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</si>
  <si>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</si>
  <si>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</si>
  <si>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</si>
  <si>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</si>
  <si>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</si>
  <si>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</si>
  <si>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</si>
  <si>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</si>
  <si>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</si>
  <si>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</si>
  <si>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</si>
  <si>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</si>
  <si>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</si>
  <si>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</si>
  <si>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</si>
  <si>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</si>
  <si>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</si>
  <si>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</si>
  <si>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</si>
  <si>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</si>
  <si>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</si>
  <si>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</si>
  <si>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</si>
  <si>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</si>
  <si>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</si>
  <si>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</si>
  <si>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</si>
  <si>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</si>
  <si>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</si>
  <si>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</si>
  <si>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</si>
  <si>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</si>
  <si>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</si>
  <si>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</si>
  <si>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</si>
  <si>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</si>
  <si>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</si>
  <si>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</si>
  <si>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</si>
  <si>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</si>
  <si>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</si>
  <si>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</si>
  <si>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</si>
  <si>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</si>
  <si>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</si>
  <si>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</si>
  <si>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</si>
  <si>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</si>
  <si>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</si>
  <si>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</si>
  <si>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</si>
  <si>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</si>
  <si>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</si>
  <si>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</si>
  <si>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</si>
  <si>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</si>
  <si>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</si>
  <si>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</si>
  <si>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</si>
  <si>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</si>
  <si>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</si>
  <si>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</si>
  <si>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</si>
  <si>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</si>
  <si>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</si>
  <si>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</si>
  <si>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</si>
  <si>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</si>
  <si>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</si>
  <si>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</si>
  <si>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</si>
  <si>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</si>
  <si>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</si>
  <si>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</si>
  <si>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</si>
  <si>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</si>
  <si>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</si>
  <si>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</si>
  <si>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</si>
  <si>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</si>
  <si>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</si>
  <si>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</si>
  <si>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</si>
  <si>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</si>
  <si>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</si>
  <si>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</si>
  <si>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</si>
  <si>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</si>
  <si>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</si>
  <si>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</si>
  <si>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</si>
  <si>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</si>
  <si>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</si>
  <si>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</si>
  <si>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</si>
  <si>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</si>
  <si>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</si>
  <si>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</si>
  <si>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</si>
  <si>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</si>
  <si>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</si>
  <si>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</si>
  <si>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</si>
  <si>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</si>
  <si>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</si>
  <si>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</si>
  <si>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</si>
  <si>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</si>
  <si>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</si>
  <si>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</si>
  <si>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</si>
  <si>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</si>
  <si>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</si>
  <si>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</si>
  <si>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</si>
  <si>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</si>
  <si>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</si>
  <si>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</si>
  <si>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</si>
  <si>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</si>
  <si>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</si>
  <si>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</si>
  <si>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</si>
  <si>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</si>
  <si>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</si>
  <si>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</si>
  <si>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</si>
  <si>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</si>
  <si>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</si>
  <si>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</si>
  <si>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</si>
  <si>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</si>
  <si>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</si>
  <si>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</si>
  <si>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</si>
  <si>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</si>
  <si>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</si>
  <si>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</si>
  <si>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</si>
  <si>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</si>
  <si>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</si>
  <si>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</si>
  <si>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</si>
  <si>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</si>
  <si>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</si>
  <si>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</si>
  <si>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</si>
  <si>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</si>
  <si>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</si>
  <si>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</si>
  <si>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</si>
  <si>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</si>
  <si>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</si>
  <si>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</si>
  <si>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</si>
  <si>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</si>
  <si>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</si>
  <si>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</si>
  <si>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</si>
  <si>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</si>
  <si>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</si>
  <si>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</si>
  <si>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</si>
  <si>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</si>
  <si>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</si>
  <si>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</si>
  <si>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</si>
  <si>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</si>
  <si>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</si>
  <si>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</si>
  <si>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</si>
  <si>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</si>
  <si>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</si>
  <si>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</si>
  <si>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</si>
  <si>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</si>
  <si>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</si>
  <si>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</si>
  <si>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</si>
  <si>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</si>
  <si>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</si>
  <si>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</si>
  <si>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</si>
  <si>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</si>
  <si>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</si>
  <si>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</si>
  <si>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</si>
  <si>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</si>
  <si>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</si>
  <si>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</si>
  <si>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</si>
  <si>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ACTINYG</t>
  </si>
  <si>
    <t>ESTADO DE POZOS - DICIEMBRE 2023</t>
  </si>
  <si>
    <t>*ULT_EST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</si>
</sst>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3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1" fillId="6" borderId="3" xfId="0" applyFont="1" applyFill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6" fillId="0" borderId="3" xfId="0" pivotButton="1" applyFont="1" applyBorder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6" fillId="0" borderId="3" xfId="0" applyNumberFormat="1" applyFont="1" applyBorder="1"/>
    <xf numFmtId="0" fontId="7" fillId="0" borderId="5" xfId="0" applyNumberFormat="1" applyFont="1" applyBorder="1"/>
    <xf numFmtId="0" fontId="7" fillId="0" borderId="5" xfId="0" applyNumberFormat="1" applyFont="1" applyFill="1" applyBorder="1"/>
    <xf numFmtId="0" fontId="7" fillId="0" borderId="4" xfId="0" applyNumberFormat="1" applyFont="1" applyFill="1" applyBorder="1"/>
    <xf numFmtId="0" fontId="7" fillId="4" borderId="5" xfId="0" applyNumberFormat="1" applyFont="1" applyFill="1" applyBorder="1"/>
    <xf numFmtId="0" fontId="7" fillId="4" borderId="6" xfId="0" applyNumberFormat="1" applyFont="1" applyFill="1" applyBorder="1"/>
    <xf numFmtId="0" fontId="7" fillId="5" borderId="5" xfId="0" applyNumberFormat="1" applyFont="1" applyFill="1" applyBorder="1"/>
  </cellXfs>
  <cellStyles count="1">
    <cellStyle name="Normal" xfId="0" builtinId="0"/>
  </cellStyles>
  <dxfs count="54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David Prado Nole" refreshedDate="45300.392076157405" createdVersion="5" refreshedVersion="5" minRefreshableVersion="3" recordCount="5820" xr:uid="{00000000-000A-0000-FFFF-FFFF01000000}">
  <cacheSource type="worksheet">
    <worksheetSource ref="B2:G5822" sheet="Diciembre 2023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INACTBM"/>
        <s v="BCP"/>
        <s v="ATAINY"/>
        <s v="INACTINYA"/>
        <s v="ACTINYA"/>
        <s v="APA_CNPC"/>
        <s v="INACTPETS"/>
        <s v="INACTGAS"/>
        <s v="ATAGAS"/>
        <s v="BO"/>
        <s v="INACTPL"/>
        <s v="INACTBCP"/>
        <s v="APA_PB"/>
        <s v="PL"/>
        <s v="GL"/>
        <s v="INACTBO"/>
        <s v="INACTINYG"/>
        <s v="INACTGL"/>
        <s v="" u="1"/>
        <s v="ACTINYG" u="1"/>
        <s v="CM" u="1"/>
        <s v="Formula1" f="1"/>
        <s v="SURG" u="1"/>
      </sharedItems>
    </cacheField>
    <cacheField name="*BATERIA" numFmtId="0">
      <sharedItems/>
    </cacheField>
    <cacheField name="*ULT_EST Octu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David Prado Nole" refreshedDate="45331.354649884262" createdVersion="8" refreshedVersion="8" minRefreshableVersion="3" recordCount="5820" xr:uid="{685193A1-FA38-401A-A920-399DFDB0DABF}">
  <cacheSource type="worksheet">
    <worksheetSource ref="B2:G5822" sheet="En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BCP"/>
        <s v="INACTINYA"/>
        <s v="ACTINYA"/>
        <s v="INACTPETS"/>
        <s v="INACTGAS"/>
        <s v="ATAINY"/>
        <s v="ATAGAS"/>
        <s v="BO"/>
        <s v="INACTPL"/>
        <s v="INACTBCP"/>
        <s v="APA_PB"/>
        <s v="PL"/>
        <s v="GL"/>
        <s v="INACTBO"/>
        <s v="INACTINYG"/>
        <s v="INACTGL"/>
        <s v="" u="1"/>
        <s v="ACTINYG" u="1"/>
        <s v="CM" u="1"/>
        <s v="Formula1" f="1"/>
        <s v="SURG" u="1"/>
      </sharedItems>
    </cacheField>
    <cacheField name="*BATERIA" numFmtId="0">
      <sharedItems/>
    </cacheField>
    <cacheField name="*ULT_EST Nov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TA"/>
    <s v="CT"/>
    <x v="2"/>
    <s v="ATA"/>
    <s v="ATAPET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TA"/>
    <s v="CT"/>
    <x v="2"/>
    <s v="ATA"/>
    <s v="ATAPET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8"/>
    <s v="CA 19"/>
    <s v="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8"/>
    <s v="CA 17"/>
    <s v="BM"/>
  </r>
  <r>
    <s v="AA84"/>
    <s v="BCP"/>
    <s v="CP"/>
    <x v="9"/>
    <s v="CA 22"/>
    <s v="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9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8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TA"/>
    <s v="CT"/>
    <x v="10"/>
    <s v="ATA"/>
    <s v="ATAINY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1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8"/>
    <s v="CA 22"/>
    <s v="INACTBM"/>
  </r>
  <r>
    <s v="AA128"/>
    <s v="BM"/>
    <s v="BM"/>
    <x v="1"/>
    <s v="CA 22"/>
    <s v="BM"/>
  </r>
  <r>
    <s v="AA129"/>
    <s v="INYA"/>
    <s v="IAS"/>
    <x v="12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8"/>
    <s v="CA 23"/>
    <s v="INACTBM"/>
  </r>
  <r>
    <s v="AA134"/>
    <s v="ATA"/>
    <s v="CT"/>
    <x v="2"/>
    <s v="ATA"/>
    <s v="ATAPET"/>
  </r>
  <r>
    <s v="AA135"/>
    <s v="APA"/>
    <s v="A"/>
    <x v="13"/>
    <s v="ABAND."/>
    <s v="APA_CNPC"/>
  </r>
  <r>
    <s v="AA136"/>
    <s v="PETF"/>
    <s v="SUABCSG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13"/>
    <s v="ABAND."/>
    <s v="APA_CNPC"/>
  </r>
  <r>
    <s v="AA1560"/>
    <s v="DPA"/>
    <s v="SECO"/>
    <x v="0"/>
    <s v="ABAND."/>
    <s v="DPAPET"/>
  </r>
  <r>
    <s v="AA1560A"/>
    <s v="ATA"/>
    <s v="CT"/>
    <x v="2"/>
    <s v="ATA"/>
    <s v="ATAPET"/>
  </r>
  <r>
    <s v="AA1561"/>
    <s v="CM"/>
    <s v="CM"/>
    <x v="8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8"/>
    <s v="CA 23"/>
    <s v="INACTBM"/>
  </r>
  <r>
    <s v="AA1579"/>
    <s v="APA"/>
    <s v="A"/>
    <x v="5"/>
    <s v="ABAND."/>
    <s v="APA_PC"/>
  </r>
  <r>
    <s v="AA1585"/>
    <s v="APA"/>
    <s v="A"/>
    <x v="13"/>
    <s v="ABAND."/>
    <s v="APA_CNPC"/>
  </r>
  <r>
    <s v="AA1592"/>
    <s v="CM"/>
    <s v="CM"/>
    <x v="8"/>
    <s v="CA 23"/>
    <s v="INACTBM"/>
  </r>
  <r>
    <s v="AA1595"/>
    <s v="ATA"/>
    <s v="CT"/>
    <x v="2"/>
    <s v="ATA"/>
    <s v="ATAPET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BM"/>
    <s v="BM"/>
    <x v="1"/>
    <s v="CA 23"/>
    <s v="BM"/>
  </r>
  <r>
    <s v="AA1638"/>
    <s v="APA"/>
    <s v="A"/>
    <x v="5"/>
    <s v="ABAND."/>
    <s v="APA_PC"/>
  </r>
  <r>
    <s v="AA1639"/>
    <s v="APA"/>
    <s v="A"/>
    <x v="13"/>
    <s v="ABAND."/>
    <s v="APA_CNPC"/>
  </r>
  <r>
    <s v="AA1641"/>
    <s v="ATA"/>
    <s v="CT"/>
    <x v="2"/>
    <s v="ATA"/>
    <s v="ATAPET"/>
  </r>
  <r>
    <s v="AA1642"/>
    <s v="APA"/>
    <s v="A"/>
    <x v="13"/>
    <s v="ABAND."/>
    <s v="APA_CNPC"/>
  </r>
  <r>
    <s v="AA1643"/>
    <s v="CM"/>
    <s v="CM"/>
    <x v="11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BM"/>
    <s v="BM"/>
    <x v="1"/>
    <s v="CA 23"/>
    <s v="BM"/>
  </r>
  <r>
    <s v="AA1699"/>
    <s v="CM"/>
    <s v="CM"/>
    <x v="11"/>
    <s v="INY"/>
    <s v="ACTINYA"/>
  </r>
  <r>
    <s v="AA1716"/>
    <s v="CM"/>
    <s v="CM"/>
    <x v="8"/>
    <s v="CA 23"/>
    <s v="INACTBM"/>
  </r>
  <r>
    <s v="AA1721"/>
    <s v="CM"/>
    <s v="CM"/>
    <x v="8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13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13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8"/>
    <s v="CA 23"/>
    <s v="INACTBM"/>
  </r>
  <r>
    <s v="AA1768"/>
    <s v="ATA"/>
    <s v="CT"/>
    <x v="2"/>
    <s v="ATA"/>
    <s v="ATAPET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TA"/>
    <s v="CT"/>
    <x v="2"/>
    <s v="ATA"/>
    <s v="ATAPET"/>
  </r>
  <r>
    <s v="AA1776"/>
    <s v="ATA"/>
    <s v="CT"/>
    <x v="2"/>
    <s v="ATA"/>
    <s v="ATAPET"/>
  </r>
  <r>
    <s v="AA1778"/>
    <s v="ATA"/>
    <s v="CT"/>
    <x v="2"/>
    <s v="ATA"/>
    <s v="ATAPET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8"/>
    <s v="CA 22"/>
    <s v="INACTBM"/>
  </r>
  <r>
    <s v="AA1796"/>
    <s v="APA"/>
    <s v="A"/>
    <x v="13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TA"/>
    <s v="CT"/>
    <x v="2"/>
    <s v="ATA"/>
    <s v="ATAPET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13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TA"/>
    <s v="CT"/>
    <x v="2"/>
    <s v="ATA"/>
    <s v="ATAPET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8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CM"/>
    <s v="CM"/>
    <x v="8"/>
    <s v="CA 22"/>
    <s v="INACTBM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8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8"/>
    <s v="CA 23"/>
    <s v="INACTBM"/>
  </r>
  <r>
    <s v="AA1894"/>
    <s v="APA"/>
    <s v="A"/>
    <x v="13"/>
    <s v="ABAND."/>
    <s v="APA_CNPC"/>
  </r>
  <r>
    <s v="AA1896"/>
    <s v="ATA"/>
    <s v="CT"/>
    <x v="2"/>
    <s v="ATA"/>
    <s v="ATAPET"/>
  </r>
  <r>
    <s v="AA1897"/>
    <s v="APA"/>
    <s v="A"/>
    <x v="5"/>
    <s v="ABAND."/>
    <s v="APA_PC"/>
  </r>
  <r>
    <s v="AA1898"/>
    <s v="APA"/>
    <s v="A"/>
    <x v="13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13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2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TA"/>
    <s v="CT"/>
    <x v="2"/>
    <s v="ATA"/>
    <s v="ATAPET"/>
  </r>
  <r>
    <s v="AA2019"/>
    <s v="CM"/>
    <s v="CM"/>
    <x v="11"/>
    <s v="INY"/>
    <s v="INACTINYA"/>
  </r>
  <r>
    <s v="AA2043"/>
    <s v="ATA"/>
    <s v="CT"/>
    <x v="10"/>
    <s v="ATA"/>
    <s v="ATAINY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TA"/>
    <s v="CT"/>
    <x v="2"/>
    <s v="ATA"/>
    <s v="ATAPET"/>
  </r>
  <r>
    <s v="AA2172"/>
    <s v="CM"/>
    <s v="CM"/>
    <x v="8"/>
    <s v="CA 23"/>
    <s v="INACTBM"/>
  </r>
  <r>
    <s v="AA2173"/>
    <s v="ATA"/>
    <s v="CT"/>
    <x v="2"/>
    <s v="ATA"/>
    <s v="ATAPET"/>
  </r>
  <r>
    <s v="AA2176"/>
    <s v="APA"/>
    <s v="A"/>
    <x v="13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8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TA"/>
    <s v="CT"/>
    <x v="2"/>
    <s v="ATA"/>
    <s v="ATAPET"/>
  </r>
  <r>
    <s v="AA2487"/>
    <s v="ATA"/>
    <s v="CT"/>
    <x v="2"/>
    <s v="ATA"/>
    <s v="ATAPET"/>
  </r>
  <r>
    <s v="AA2497"/>
    <s v="ATA"/>
    <s v="CT"/>
    <x v="16"/>
    <s v="ATA"/>
    <s v="ATAGAS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8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INACTPETS"/>
  </r>
  <r>
    <s v="AA5771"/>
    <s v="CM"/>
    <s v="CM"/>
    <x v="8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BM"/>
    <s v="BM"/>
    <x v="1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BM"/>
    <s v="BM"/>
    <x v="1"/>
    <s v="CA 17"/>
    <s v="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13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2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13"/>
    <s v="ABAND."/>
    <s v="APA_CNPC"/>
  </r>
  <r>
    <s v="AA5953"/>
    <s v="APA"/>
    <s v="A"/>
    <x v="5"/>
    <s v="ABAND."/>
    <s v="APA_PC"/>
  </r>
  <r>
    <s v="AA5968"/>
    <s v="CM"/>
    <s v="CM"/>
    <x v="8"/>
    <s v="CA 23"/>
    <s v="INACTBM"/>
  </r>
  <r>
    <s v="AA5971"/>
    <s v="CM"/>
    <s v="CM"/>
    <x v="7"/>
    <s v="SWAB"/>
    <s v="INACTPETF"/>
  </r>
  <r>
    <s v="AA5973"/>
    <s v="ATA"/>
    <s v="CT"/>
    <x v="10"/>
    <s v="ATA"/>
    <s v="ATAINY"/>
  </r>
  <r>
    <s v="AA5974"/>
    <s v="APA"/>
    <s v="A"/>
    <x v="13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TA"/>
    <s v="CT"/>
    <x v="10"/>
    <s v="ATA"/>
    <s v="ATAINY"/>
  </r>
  <r>
    <s v="AA6003"/>
    <s v="INYA"/>
    <s v="IAS"/>
    <x v="12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9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9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TA"/>
    <s v="CT"/>
    <x v="2"/>
    <s v="ATA"/>
    <s v="ATAPET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8"/>
    <s v="CA 17"/>
    <s v="INACTBM"/>
  </r>
  <r>
    <s v="AA6041"/>
    <s v="CM"/>
    <s v="CM"/>
    <x v="8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BM"/>
    <s v="BM"/>
    <x v="1"/>
    <s v="CA 21"/>
    <s v="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PETF"/>
    <s v="SUABCSG"/>
    <x v="4"/>
    <s v="SWAB"/>
    <s v="INACTPETF"/>
  </r>
  <r>
    <s v="AA6107"/>
    <s v="CM"/>
    <s v="CM"/>
    <x v="8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2"/>
    <s v="INY"/>
    <s v="ACTINYA"/>
  </r>
  <r>
    <s v="AA6117"/>
    <s v="PETF"/>
    <s v="SUABCSG"/>
    <x v="4"/>
    <s v="SWAB"/>
    <s v="ACTPETF"/>
  </r>
  <r>
    <s v="AA6121"/>
    <s v="INYA"/>
    <s v="IAS"/>
    <x v="12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2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1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0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BM"/>
    <s v="BM"/>
    <x v="1"/>
    <s v="CA 20"/>
    <s v="BM"/>
  </r>
  <r>
    <s v="AA6328"/>
    <s v="BM"/>
    <s v="BM"/>
    <x v="1"/>
    <s v="CA 21"/>
    <s v="BM"/>
  </r>
  <r>
    <s v="AA6331"/>
    <s v="INYA"/>
    <s v="IAS"/>
    <x v="12"/>
    <s v="INY"/>
    <s v="ACTINYA"/>
  </r>
  <r>
    <s v="AA6338"/>
    <s v="CM"/>
    <s v="CM"/>
    <x v="7"/>
    <s v="SWAB"/>
    <s v="INACTPETF"/>
  </r>
  <r>
    <s v="AA6342"/>
    <s v="PETS"/>
    <s v="SUABTBG"/>
    <x v="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ACTPETS"/>
  </r>
  <r>
    <s v="AA6354"/>
    <s v="BM"/>
    <s v="BM"/>
    <x v="1"/>
    <s v="CA 20"/>
    <s v="BM"/>
  </r>
  <r>
    <s v="AA6359"/>
    <s v="CM"/>
    <s v="CM"/>
    <x v="14"/>
    <s v="SWAB"/>
    <s v="INACTPETS"/>
  </r>
  <r>
    <s v="AA6363"/>
    <s v="BM"/>
    <s v="BM"/>
    <x v="1"/>
    <s v="CA 20"/>
    <s v="BM"/>
  </r>
  <r>
    <s v="AA6367"/>
    <s v="INYA"/>
    <s v="IAS"/>
    <x v="12"/>
    <s v="INY"/>
    <s v="ACTINYA"/>
  </r>
  <r>
    <s v="AA6368"/>
    <s v="BM"/>
    <s v="BM"/>
    <x v="1"/>
    <s v="CA 20"/>
    <s v="BM"/>
  </r>
  <r>
    <s v="AA6369"/>
    <s v="CM"/>
    <s v="CM"/>
    <x v="8"/>
    <s v="CA 20"/>
    <s v="INACTBM"/>
  </r>
  <r>
    <s v="AA6371"/>
    <s v="PETS"/>
    <s v="SUABTBG"/>
    <x v="3"/>
    <s v="SWAB"/>
    <s v="ACTPETS"/>
  </r>
  <r>
    <s v="AA6372"/>
    <s v="CM"/>
    <s v="CM"/>
    <x v="14"/>
    <s v="SWAB"/>
    <s v="INACTPETS"/>
  </r>
  <r>
    <s v="AA6373"/>
    <s v="ATA"/>
    <s v="CT"/>
    <x v="2"/>
    <s v="ATA"/>
    <s v="ATAPET"/>
  </r>
  <r>
    <s v="AA6376"/>
    <s v="INYA"/>
    <s v="IAS"/>
    <x v="12"/>
    <s v="INY"/>
    <s v="ACTINYA"/>
  </r>
  <r>
    <s v="AA6377"/>
    <s v="ATA"/>
    <s v="CT"/>
    <x v="16"/>
    <s v="ATA"/>
    <s v="ATAGAS"/>
  </r>
  <r>
    <s v="AA6378"/>
    <s v="BM"/>
    <s v="BM"/>
    <x v="1"/>
    <s v="CA 21"/>
    <s v="BM"/>
  </r>
  <r>
    <s v="AA6379"/>
    <s v="CM"/>
    <s v="CM"/>
    <x v="11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TA"/>
    <s v="CT"/>
    <x v="2"/>
    <s v="ATA"/>
    <s v="ATAPET"/>
  </r>
  <r>
    <s v="AA6397"/>
    <s v="APA"/>
    <s v="A"/>
    <x v="13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2"/>
    <s v="INY"/>
    <s v="ACTINYA"/>
  </r>
  <r>
    <s v="AA6461"/>
    <s v="CM"/>
    <s v="CM"/>
    <x v="11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8"/>
    <s v="CA 21"/>
    <s v="INACTBM"/>
  </r>
  <r>
    <s v="AA6573"/>
    <s v="APA"/>
    <s v="A"/>
    <x v="13"/>
    <s v="ABAND."/>
    <s v="ATAPET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1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2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8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8"/>
    <s v="CA 17"/>
    <s v="INACTBM"/>
  </r>
  <r>
    <s v="AA6726"/>
    <s v="ATA"/>
    <s v="CT"/>
    <x v="2"/>
    <s v="ATA"/>
    <s v="ATAPET"/>
  </r>
  <r>
    <s v="AA6729"/>
    <s v="CM"/>
    <s v="CM"/>
    <x v="8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1"/>
    <s v="INY"/>
    <s v="INACTINYA"/>
  </r>
  <r>
    <s v="AA6761"/>
    <s v="BM"/>
    <s v="BM"/>
    <x v="1"/>
    <s v="CA 20"/>
    <s v="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8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8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8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BM"/>
    <s v="BM"/>
    <x v="1"/>
    <s v="CA 21"/>
    <s v="BM"/>
  </r>
  <r>
    <s v="AA6967"/>
    <s v="BM"/>
    <s v="BM"/>
    <x v="1"/>
    <s v="CA 16"/>
    <s v="BM"/>
  </r>
  <r>
    <s v="AA6968"/>
    <s v="BM"/>
    <s v="BM"/>
    <x v="1"/>
    <s v="CA 16"/>
    <s v="BM"/>
  </r>
  <r>
    <s v="AA6979"/>
    <s v="CM"/>
    <s v="CM"/>
    <x v="7"/>
    <s v="SWAB"/>
    <s v="INACTPETF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BM"/>
    <s v="BM"/>
    <x v="1"/>
    <s v="CA 16"/>
    <s v="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8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8"/>
    <s v="CA 21"/>
    <s v="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8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8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TA"/>
    <s v="CT"/>
    <x v="2"/>
    <s v="ATA"/>
    <s v="ATAPET"/>
  </r>
  <r>
    <s v="AA8069"/>
    <s v="APA"/>
    <s v="A"/>
    <x v="13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8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8"/>
    <s v="CA 23"/>
    <s v="INACTBM"/>
  </r>
  <r>
    <s v="AA8122"/>
    <s v="BCP"/>
    <s v="CP"/>
    <x v="9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9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BM"/>
    <s v="BM"/>
    <x v="1"/>
    <s v="CA 21"/>
    <s v="BM"/>
  </r>
  <r>
    <s v="AA8308D"/>
    <s v="BM"/>
    <s v="BM"/>
    <x v="1"/>
    <s v="CA 23"/>
    <s v="BM"/>
  </r>
  <r>
    <s v="AA8309D"/>
    <s v="CM"/>
    <s v="CM"/>
    <x v="8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INYA"/>
    <s v="IAS"/>
    <x v="12"/>
    <s v="INY"/>
    <s v="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9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9"/>
    <s v="CA 22"/>
    <s v="INACTBCP"/>
  </r>
  <r>
    <s v="AA9124"/>
    <s v="APA"/>
    <s v="A"/>
    <x v="5"/>
    <s v="ABAND."/>
    <s v="APA_PC"/>
  </r>
  <r>
    <s v="AA9126"/>
    <s v="CM"/>
    <s v="CM"/>
    <x v="11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13"/>
    <s v="ABAND."/>
    <s v="APA_CNPC"/>
  </r>
  <r>
    <s v="AA9131"/>
    <s v="CM"/>
    <s v="CM"/>
    <x v="8"/>
    <s v="CA 23"/>
    <s v="INACTBM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13"/>
    <s v="ABAND."/>
    <s v="APA_CNPC"/>
  </r>
  <r>
    <s v="AA9153"/>
    <s v="ATA"/>
    <s v="CT"/>
    <x v="2"/>
    <s v="ATA"/>
    <s v="ATAPET"/>
  </r>
  <r>
    <s v="AA9154"/>
    <s v="CM"/>
    <s v="CM"/>
    <x v="7"/>
    <s v="SWAB"/>
    <s v="INACTPETF"/>
  </r>
  <r>
    <s v="AA9156"/>
    <s v="APA"/>
    <s v="A"/>
    <x v="13"/>
    <s v="ABAND."/>
    <s v="APA_CNPC"/>
  </r>
  <r>
    <s v="AA9157"/>
    <s v="APA"/>
    <s v="A"/>
    <x v="5"/>
    <s v="ABAND."/>
    <s v="APA_PC"/>
  </r>
  <r>
    <s v="AA9158"/>
    <s v="INYA"/>
    <s v="IAS"/>
    <x v="12"/>
    <s v="INY"/>
    <s v="ACTINYA"/>
  </r>
  <r>
    <s v="AA9159"/>
    <s v="BM"/>
    <s v="BM"/>
    <x v="1"/>
    <s v="CA 22"/>
    <s v="BM"/>
  </r>
  <r>
    <s v="AA9161"/>
    <s v="BCP"/>
    <s v="CP"/>
    <x v="9"/>
    <s v="CA 22"/>
    <s v="BCP"/>
  </r>
  <r>
    <s v="AA9162"/>
    <s v="CM"/>
    <s v="CM"/>
    <x v="11"/>
    <s v="INY"/>
    <s v="INACTINYA"/>
  </r>
  <r>
    <s v="AA9163"/>
    <s v="CM"/>
    <s v="CM"/>
    <x v="8"/>
    <s v="CA 22"/>
    <s v="INACTBM"/>
  </r>
  <r>
    <s v="AA9164"/>
    <s v="CM"/>
    <s v="CM"/>
    <x v="8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8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8"/>
    <s v="CA 23"/>
    <s v="INACTBM"/>
  </r>
  <r>
    <s v="AA9184"/>
    <s v="ATA"/>
    <s v="CT"/>
    <x v="2"/>
    <s v="ATA"/>
    <s v="ATAPET"/>
  </r>
  <r>
    <s v="AA9186"/>
    <s v="ATA"/>
    <s v="CT"/>
    <x v="2"/>
    <s v="ATA"/>
    <s v="ATAPET"/>
  </r>
  <r>
    <s v="AA9189"/>
    <s v="APA"/>
    <s v="A"/>
    <x v="13"/>
    <s v="ABAND."/>
    <s v="APA_CNPC"/>
  </r>
  <r>
    <s v="AA9191"/>
    <s v="APA"/>
    <s v="A"/>
    <x v="13"/>
    <s v="ABAND."/>
    <s v="APA_CNPC"/>
  </r>
  <r>
    <s v="AA9192"/>
    <s v="CM"/>
    <s v="CM"/>
    <x v="8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13"/>
    <s v="ABAND."/>
    <s v="APA_CNPC"/>
  </r>
  <r>
    <s v="AA9207"/>
    <s v="ATA"/>
    <s v="CT"/>
    <x v="2"/>
    <s v="ATA"/>
    <s v="ATAPET"/>
  </r>
  <r>
    <s v="AA9208"/>
    <s v="ATA"/>
    <s v="CT"/>
    <x v="2"/>
    <s v="ATA"/>
    <s v="ATAPET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13"/>
    <s v="ABAND."/>
    <s v="APA_CNPC"/>
  </r>
  <r>
    <s v="AA9338"/>
    <s v="APA"/>
    <s v="A"/>
    <x v="13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1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13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8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9"/>
    <s v="CA 23"/>
    <s v="BCP"/>
  </r>
  <r>
    <s v="AA9357"/>
    <s v="BCP"/>
    <s v="CP"/>
    <x v="9"/>
    <s v="CA 22"/>
    <s v="INACT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TA"/>
    <s v="CT"/>
    <x v="2"/>
    <s v="ATA"/>
    <s v="ATAPET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PETF"/>
    <s v="SUABCSG"/>
    <x v="4"/>
    <s v="SWAB"/>
    <s v="ACTPETF"/>
  </r>
  <r>
    <s v="AA9368"/>
    <s v="ATA"/>
    <s v="CT"/>
    <x v="10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CM"/>
    <s v="CM"/>
    <x v="8"/>
    <s v="CA 23"/>
    <s v="INACTBM"/>
  </r>
  <r>
    <s v="AA9374"/>
    <s v="CM"/>
    <s v="CM"/>
    <x v="8"/>
    <s v="CA 23"/>
    <s v="INACTBM"/>
  </r>
  <r>
    <s v="AA9376"/>
    <s v="ATA"/>
    <s v="CT"/>
    <x v="2"/>
    <s v="ATA"/>
    <s v="ATAPET"/>
  </r>
  <r>
    <s v="AA9379"/>
    <s v="CM"/>
    <s v="CM"/>
    <x v="7"/>
    <s v="SWAB"/>
    <s v="INACTPETF"/>
  </r>
  <r>
    <s v="AA9381"/>
    <s v="CM"/>
    <s v="CM"/>
    <x v="8"/>
    <s v="CA 22"/>
    <s v="INACTBM"/>
  </r>
  <r>
    <s v="AA9382"/>
    <s v="CM"/>
    <s v="CM"/>
    <x v="8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TA"/>
    <s v="CT"/>
    <x v="10"/>
    <s v="ATA"/>
    <s v="ATAINY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13"/>
    <s v="ABAND."/>
    <s v="APA_CNPC"/>
  </r>
  <r>
    <s v="AA9419"/>
    <s v="ATA"/>
    <s v="CT"/>
    <x v="2"/>
    <s v="ATA"/>
    <s v="ATAPET"/>
  </r>
  <r>
    <s v="AA9501"/>
    <s v="PETF"/>
    <s v="SUABCSG"/>
    <x v="4"/>
    <s v="SWAB"/>
    <s v="ACTPETF"/>
  </r>
  <r>
    <s v="AA9502"/>
    <s v="APA"/>
    <s v="A"/>
    <x v="13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2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8"/>
    <s v="CA 22"/>
    <s v="INACTBM"/>
  </r>
  <r>
    <s v="AA9973"/>
    <s v="CM"/>
    <s v="CM"/>
    <x v="11"/>
    <s v="INY"/>
    <s v="INACTINYA"/>
  </r>
  <r>
    <s v="AA9974"/>
    <s v="APA"/>
    <s v="A"/>
    <x v="5"/>
    <s v="ABAND."/>
    <s v="APA_PC"/>
  </r>
  <r>
    <s v="AA9976"/>
    <s v="INYA"/>
    <s v="IAS"/>
    <x v="12"/>
    <s v="INY"/>
    <s v="ACTINYA"/>
  </r>
  <r>
    <s v="AA9977"/>
    <s v="APA"/>
    <s v="A"/>
    <x v="5"/>
    <s v="ABAND."/>
    <s v="APA_PC"/>
  </r>
  <r>
    <s v="AA9978"/>
    <s v="ATA"/>
    <s v="CT"/>
    <x v="2"/>
    <s v="ATA"/>
    <s v="ATAPET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13"/>
    <s v="ABAND."/>
    <s v="APA_CNPC"/>
  </r>
  <r>
    <s v="AA9987"/>
    <s v="BO"/>
    <s v="BO"/>
    <x v="17"/>
    <s v="CA 22"/>
    <s v="BO"/>
  </r>
  <r>
    <s v="AA9988"/>
    <s v="APA"/>
    <s v="A"/>
    <x v="20"/>
    <s v="ABAND."/>
    <s v="APA_PB"/>
  </r>
  <r>
    <s v="AA9989"/>
    <s v="CM"/>
    <s v="CM"/>
    <x v="11"/>
    <s v="INY"/>
    <s v="INACTINYA"/>
  </r>
  <r>
    <s v="AA9991"/>
    <s v="CM"/>
    <s v="CM"/>
    <x v="11"/>
    <s v="INY"/>
    <s v="INACTINYA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PETF"/>
    <s v="SUABCSG"/>
    <x v="4"/>
    <s v="SWAB"/>
    <s v="ACTPETF"/>
  </r>
  <r>
    <s v="AA9998"/>
    <s v="BM"/>
    <s v="BM"/>
    <x v="1"/>
    <s v="CA 22"/>
    <s v="BM"/>
  </r>
  <r>
    <s v="AA9999"/>
    <s v="APA"/>
    <s v="A"/>
    <x v="13"/>
    <s v="ABAND."/>
    <s v="ATAPET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8"/>
    <s v="CA 23"/>
    <s v="INACTBM"/>
  </r>
  <r>
    <s v="AA10016"/>
    <s v="BM"/>
    <s v="BM"/>
    <x v="1"/>
    <s v="CA 22"/>
    <s v="BM"/>
  </r>
  <r>
    <s v="AA10017"/>
    <s v="CM"/>
    <s v="CM"/>
    <x v="8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1"/>
    <s v="INY"/>
    <s v="INACTINYA"/>
  </r>
  <r>
    <s v="AA10209"/>
    <s v="INYA"/>
    <s v="IAS"/>
    <x v="12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BM"/>
    <s v="BM"/>
    <x v="1"/>
    <s v="CA 17"/>
    <s v="BM"/>
  </r>
  <r>
    <s v="AA11057D"/>
    <s v="CM"/>
    <s v="CM"/>
    <x v="8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BM"/>
    <s v="BM"/>
    <x v="1"/>
    <s v="CA 21"/>
    <s v="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8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8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8"/>
    <s v="CA 22"/>
    <s v="INACTBM"/>
  </r>
  <r>
    <s v="AA11168"/>
    <s v="BM"/>
    <s v="BM"/>
    <x v="1"/>
    <s v="CA 23"/>
    <s v="BM"/>
  </r>
  <r>
    <s v="AA11172D"/>
    <s v="CM"/>
    <s v="CM"/>
    <x v="8"/>
    <s v="CA 23"/>
    <s v="INACTBM"/>
  </r>
  <r>
    <s v="AA11177D"/>
    <s v="BM"/>
    <s v="BM"/>
    <x v="1"/>
    <s v="CA 19"/>
    <s v="BM"/>
  </r>
  <r>
    <s v="AA11201D"/>
    <s v="CM"/>
    <s v="CM"/>
    <x v="8"/>
    <s v="CA 17"/>
    <s v="INACTBM"/>
  </r>
  <r>
    <s v="AA11202D"/>
    <s v="BM"/>
    <s v="BM"/>
    <x v="1"/>
    <s v="CA 17"/>
    <s v="BM"/>
  </r>
  <r>
    <s v="AA11212D"/>
    <s v="CM"/>
    <s v="CM"/>
    <x v="8"/>
    <s v="CA 17"/>
    <s v="INACTBM"/>
  </r>
  <r>
    <s v="AA11214D"/>
    <s v="CM"/>
    <s v="CM"/>
    <x v="8"/>
    <s v="CA 19"/>
    <s v="INACTBM"/>
  </r>
  <r>
    <s v="AA11222D"/>
    <s v="CM"/>
    <s v="CM"/>
    <x v="8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BM"/>
    <s v="BM"/>
    <x v="1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8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8"/>
    <s v="CA 22"/>
    <s v="INACTBM"/>
  </r>
  <r>
    <s v="AA11396D"/>
    <s v="BM"/>
    <s v="BM"/>
    <x v="1"/>
    <s v="CA 16"/>
    <s v="BM"/>
  </r>
  <r>
    <s v="AA11408D"/>
    <s v="CM"/>
    <s v="CM"/>
    <x v="8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BM"/>
    <s v="BM"/>
    <x v="1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8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8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8"/>
    <s v="CA 23"/>
    <s v="INACTBM"/>
  </r>
  <r>
    <s v="AA11514D"/>
    <s v="CM"/>
    <s v="CM"/>
    <x v="8"/>
    <s v="CA 23"/>
    <s v="INACTBM"/>
  </r>
  <r>
    <s v="AA11516D"/>
    <s v="BM"/>
    <s v="BM"/>
    <x v="1"/>
    <s v="CA 23"/>
    <s v="BM"/>
  </r>
  <r>
    <s v="AA11517D"/>
    <s v="CM"/>
    <s v="CM"/>
    <x v="8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8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8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8"/>
    <s v="CA 23"/>
    <s v="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TA"/>
    <s v="CT"/>
    <x v="16"/>
    <s v="ATA"/>
    <s v="ATAGAS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TA"/>
    <s v="CT"/>
    <x v="2"/>
    <s v="ATA"/>
    <s v="ATAPET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PETS"/>
    <s v="SUABTBG"/>
    <x v="3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TA"/>
    <s v="CT"/>
    <x v="2"/>
    <s v="ATA"/>
    <s v="ATAPET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13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8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TA"/>
    <s v="CT"/>
    <x v="2"/>
    <s v="ATA"/>
    <s v="ATAPET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8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13"/>
    <s v="ABAND."/>
    <s v="ATAPET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8"/>
    <s v="TA 24"/>
    <s v="INACTBM"/>
  </r>
  <r>
    <s v="EA363"/>
    <s v="PETS"/>
    <s v="SUABTBG"/>
    <x v="3"/>
    <s v="SWAB"/>
    <s v="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8"/>
    <s v="TA 25"/>
    <s v="INACTBM"/>
  </r>
  <r>
    <s v="EA401"/>
    <s v="CM"/>
    <s v="CM"/>
    <x v="18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8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4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8"/>
    <s v="TA 27"/>
    <s v="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8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8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PETS"/>
    <s v="SUABTBG"/>
    <x v="3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8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8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13"/>
    <s v="ABAND."/>
    <s v="ATAPET"/>
  </r>
  <r>
    <s v="EA676"/>
    <s v="APA"/>
    <s v="A"/>
    <x v="5"/>
    <s v="ABAND."/>
    <s v="APA_PC"/>
  </r>
  <r>
    <s v="EA677"/>
    <s v="PETS"/>
    <s v="SUABTBG"/>
    <x v="3"/>
    <s v="SWAB"/>
    <s v="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8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8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TA"/>
    <s v="CT"/>
    <x v="2"/>
    <s v="ATA"/>
    <s v="ATAPET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TA"/>
    <s v="CT"/>
    <x v="2"/>
    <s v="ATA"/>
    <s v="ATAPET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8"/>
    <s v="CE 10"/>
    <s v="INACTBM"/>
  </r>
  <r>
    <s v="EA790"/>
    <s v="PETS"/>
    <s v="SUABTBG"/>
    <x v="3"/>
    <s v="SWAB"/>
    <s v="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13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8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INACT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BM"/>
    <s v="BM"/>
    <x v="1"/>
    <s v="OR 12"/>
    <s v="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13"/>
    <s v="ABAND."/>
    <s v="ATAPET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CM"/>
    <s v="CM"/>
    <x v="8"/>
    <s v="ZA 01"/>
    <s v="INACTBM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13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CM"/>
    <s v="CM"/>
    <x v="14"/>
    <s v="SWAB"/>
    <s v="IN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BM"/>
    <s v="BM"/>
    <x v="1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13"/>
    <s v="ABAND."/>
    <s v="ATAPET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8"/>
    <s v="ZA 02"/>
    <s v="INACTBM"/>
  </r>
  <r>
    <s v="EA1107"/>
    <s v="APA"/>
    <s v="A"/>
    <x v="13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TA"/>
    <s v="CT"/>
    <x v="2"/>
    <s v="ATA"/>
    <s v="ATAPET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TA"/>
    <s v="CT"/>
    <x v="2"/>
    <s v="ATA"/>
    <s v="ATAPET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13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8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TA"/>
    <s v="CT"/>
    <x v="2"/>
    <s v="ATA"/>
    <s v="ATAPET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2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8"/>
    <s v="OR 12"/>
    <s v="BM"/>
  </r>
  <r>
    <s v="EA1257"/>
    <s v="ATA"/>
    <s v="CT"/>
    <x v="2"/>
    <s v="ATA"/>
    <s v="ATAPET"/>
  </r>
  <r>
    <s v="EA1258"/>
    <s v="APA"/>
    <s v="A"/>
    <x v="13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CM"/>
    <s v="CM"/>
    <x v="14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PETF"/>
    <s v="SUABCSG"/>
    <x v="4"/>
    <s v="SWAB"/>
    <s v="INACTPETF"/>
  </r>
  <r>
    <s v="EA1283"/>
    <s v="DPA"/>
    <s v="SECO"/>
    <x v="0"/>
    <s v="ABAND."/>
    <s v="DPAPET"/>
  </r>
  <r>
    <s v="EA1284"/>
    <s v="BM"/>
    <s v="BM"/>
    <x v="1"/>
    <s v="BA 35"/>
    <s v="BM"/>
  </r>
  <r>
    <s v="EA1285"/>
    <s v="ATA"/>
    <s v="CT"/>
    <x v="2"/>
    <s v="ATA"/>
    <s v="ATAPET"/>
  </r>
  <r>
    <s v="EA1286"/>
    <s v="PETS"/>
    <s v="SUABTBG"/>
    <x v="3"/>
    <s v="SWAB"/>
    <s v="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PETF"/>
    <s v="SUABCSG"/>
    <x v="4"/>
    <s v="SWAB"/>
    <s v="ACTPETF"/>
  </r>
  <r>
    <s v="EA1293"/>
    <s v="PETS"/>
    <s v="SUABTBG"/>
    <x v="3"/>
    <s v="SWAB"/>
    <s v="ACTPETS"/>
  </r>
  <r>
    <s v="EA1294"/>
    <s v="CM"/>
    <s v="CM"/>
    <x v="11"/>
    <s v="INY"/>
    <s v="INACTINYA"/>
  </r>
  <r>
    <s v="EA1295"/>
    <s v="APA"/>
    <s v="A"/>
    <x v="13"/>
    <s v="ABAND."/>
    <s v="APA_CNPC"/>
  </r>
  <r>
    <s v="EA1296"/>
    <s v="APA"/>
    <s v="A"/>
    <x v="5"/>
    <s v="ABAND."/>
    <s v="APA_PC"/>
  </r>
  <r>
    <s v="EA1298"/>
    <s v="APA"/>
    <s v="A"/>
    <x v="13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PETF"/>
    <s v="SUABCSG"/>
    <x v="4"/>
    <s v="SWAB"/>
    <s v="IN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13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8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13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13"/>
    <s v="ABAND."/>
    <s v="ATAPET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TA"/>
    <s v="CT"/>
    <x v="2"/>
    <s v="ATA"/>
    <s v="ATAPET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TA"/>
    <s v="CT"/>
    <x v="2"/>
    <s v="ATA"/>
    <s v="ATAPET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8"/>
    <s v="PN 33"/>
    <s v="INACTBM"/>
  </r>
  <r>
    <s v="EA1502"/>
    <s v="ATA"/>
    <s v="CT"/>
    <x v="10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TA"/>
    <s v="CT"/>
    <x v="2"/>
    <s v="ATA"/>
    <s v="ATAPET"/>
  </r>
  <r>
    <s v="EA1522"/>
    <s v="BM"/>
    <s v="BM"/>
    <x v="1"/>
    <s v="BA 34"/>
    <s v="BM"/>
  </r>
  <r>
    <s v="EA1526"/>
    <s v="APA"/>
    <s v="A"/>
    <x v="13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8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BM"/>
    <s v="BM"/>
    <x v="1"/>
    <s v="CE 10"/>
    <s v="BM"/>
  </r>
  <r>
    <s v="EA1538"/>
    <s v="BM"/>
    <s v="BM"/>
    <x v="1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BM"/>
    <s v="BM"/>
    <x v="1"/>
    <s v="TA 28"/>
    <s v="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8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8"/>
    <s v="TA 29"/>
    <s v="INACTBM"/>
  </r>
  <r>
    <s v="EA1571"/>
    <s v="BM"/>
    <s v="BM"/>
    <x v="1"/>
    <s v="LA 08"/>
    <s v="BM"/>
  </r>
  <r>
    <s v="EA1572"/>
    <s v="CM"/>
    <s v="CM"/>
    <x v="14"/>
    <s v="SWAB"/>
    <s v="ACTPETS"/>
  </r>
  <r>
    <s v="EA1573"/>
    <s v="CM"/>
    <s v="CM"/>
    <x v="8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BM"/>
    <s v="BM"/>
    <x v="1"/>
    <s v="TA 25"/>
    <s v="BM"/>
  </r>
  <r>
    <s v="EA1588"/>
    <s v="BM"/>
    <s v="BM"/>
    <x v="1"/>
    <s v="TA 25"/>
    <s v="BM"/>
  </r>
  <r>
    <s v="EA1589"/>
    <s v="CM"/>
    <s v="CM"/>
    <x v="14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INACTPETF"/>
  </r>
  <r>
    <s v="EA1611"/>
    <s v="CM"/>
    <s v="CM"/>
    <x v="14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8"/>
    <s v="PN 30"/>
    <s v="INACTBM"/>
  </r>
  <r>
    <s v="EA1618"/>
    <s v="BM"/>
    <s v="BM"/>
    <x v="1"/>
    <s v="PN 33"/>
    <s v="BM"/>
  </r>
  <r>
    <s v="EA1619"/>
    <s v="CM"/>
    <s v="CM"/>
    <x v="11"/>
    <s v="INY"/>
    <s v="INACTINYA"/>
  </r>
  <r>
    <s v="EA1620"/>
    <s v="CM"/>
    <s v="CM"/>
    <x v="8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8"/>
    <s v="TA 24"/>
    <s v="INACTBM"/>
  </r>
  <r>
    <s v="EA1626"/>
    <s v="BM"/>
    <s v="BM"/>
    <x v="1"/>
    <s v="PN 33"/>
    <s v="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BM"/>
    <s v="BM"/>
    <x v="1"/>
    <s v="PN 33"/>
    <s v="BM"/>
  </r>
  <r>
    <s v="EA1640"/>
    <s v="APA"/>
    <s v="A"/>
    <x v="5"/>
    <s v="ABAND."/>
    <s v="APA_PC"/>
  </r>
  <r>
    <s v="EA1646"/>
    <s v="BM"/>
    <s v="BM"/>
    <x v="1"/>
    <s v="BA 34"/>
    <s v="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8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8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TA"/>
    <s v="CT"/>
    <x v="2"/>
    <s v="ATA"/>
    <s v="ATAPET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BM"/>
  </r>
  <r>
    <s v="EA1715"/>
    <s v="ATA"/>
    <s v="CT"/>
    <x v="2"/>
    <s v="ATA"/>
    <s v="ATAPET"/>
  </r>
  <r>
    <s v="EA1717"/>
    <s v="PETS"/>
    <s v="SUABTBG"/>
    <x v="3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8"/>
    <s v="PN 31"/>
    <s v="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8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8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IN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8"/>
    <s v="PN 31"/>
    <s v="INACTBM"/>
  </r>
  <r>
    <s v="EA1784"/>
    <s v="APA"/>
    <s v="A"/>
    <x v="13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8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8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CM"/>
    <s v="CM"/>
    <x v="14"/>
    <s v="SWAB"/>
    <s v="INACTPETS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TA"/>
    <s v="CT"/>
    <x v="2"/>
    <s v="ATA"/>
    <s v="ATAPET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BM"/>
  </r>
  <r>
    <s v="EA1861"/>
    <s v="BM"/>
    <s v="BM"/>
    <x v="1"/>
    <s v="OR 11"/>
    <s v="BM"/>
  </r>
  <r>
    <s v="EA1865"/>
    <s v="BM"/>
    <s v="BM"/>
    <x v="1"/>
    <s v="TA 28"/>
    <s v="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2"/>
    <s v="PN 30"/>
    <s v="GL"/>
  </r>
  <r>
    <s v="EA1875"/>
    <s v="INYA"/>
    <s v="IAS"/>
    <x v="12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8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BM"/>
    <s v="BM"/>
    <x v="1"/>
    <s v="OR 12"/>
    <s v="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BM"/>
    <s v="BM"/>
    <x v="1"/>
    <s v="TA 25"/>
    <s v="BM"/>
  </r>
  <r>
    <s v="EA1917"/>
    <s v="CM"/>
    <s v="CM"/>
    <x v="8"/>
    <s v="PN 33"/>
    <s v="INACTBM"/>
  </r>
  <r>
    <s v="EA1918"/>
    <s v="PETF"/>
    <s v="SUABCSG"/>
    <x v="4"/>
    <s v="SWAB"/>
    <s v="ACTPETF"/>
  </r>
  <r>
    <s v="EA1919"/>
    <s v="APA"/>
    <s v="A"/>
    <x v="13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13"/>
    <s v="ABAND."/>
    <s v="APA_CNPC"/>
  </r>
  <r>
    <s v="EA1935"/>
    <s v="APA"/>
    <s v="A"/>
    <x v="5"/>
    <s v="ABAND."/>
    <s v="APA_PC"/>
  </r>
  <r>
    <s v="EA1939"/>
    <s v="CM"/>
    <s v="CM"/>
    <x v="18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0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13"/>
    <s v="ABAND."/>
    <s v="APA_CNPC"/>
  </r>
  <r>
    <s v="EA1964"/>
    <s v="CM"/>
    <s v="CM"/>
    <x v="7"/>
    <s v="SWAB"/>
    <s v="INACTPETF"/>
  </r>
  <r>
    <s v="EA1966"/>
    <s v="BM"/>
    <s v="BM"/>
    <x v="1"/>
    <s v="OR 12"/>
    <s v="INACT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TA"/>
    <s v="CT"/>
    <x v="2"/>
    <s v="ATA"/>
    <s v="ATAPET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8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8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BM"/>
    <s v="BM"/>
    <x v="1"/>
    <s v="TA 24"/>
    <s v="BM"/>
  </r>
  <r>
    <s v="EA2063"/>
    <s v="CM"/>
    <s v="CM"/>
    <x v="8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8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1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8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8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1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13"/>
    <s v="ABAND."/>
    <s v="ATAPET"/>
  </r>
  <r>
    <s v="EA2137"/>
    <s v="BM"/>
    <s v="BM"/>
    <x v="1"/>
    <s v="BA 35"/>
    <s v="BM"/>
  </r>
  <r>
    <s v="EA2138"/>
    <s v="INYA"/>
    <s v="IAS"/>
    <x v="12"/>
    <s v="INY"/>
    <s v="ACTINYA"/>
  </r>
  <r>
    <s v="EA2139"/>
    <s v="BM"/>
    <s v="BM"/>
    <x v="1"/>
    <s v="BA 35"/>
    <s v="INACTBM"/>
  </r>
  <r>
    <s v="EA2142"/>
    <s v="ATA"/>
    <s v="CT"/>
    <x v="2"/>
    <s v="ATA"/>
    <s v="ATAPET"/>
  </r>
  <r>
    <s v="EA2143"/>
    <s v="CM"/>
    <s v="CM"/>
    <x v="11"/>
    <s v="INY"/>
    <s v="INACTINYA"/>
  </r>
  <r>
    <s v="EA2144P"/>
    <s v="BM"/>
    <s v="BM"/>
    <x v="1"/>
    <s v="TA 29"/>
    <s v="BM"/>
  </r>
  <r>
    <s v="EA2146"/>
    <s v="INYA"/>
    <s v="IAS"/>
    <x v="12"/>
    <s v="INY"/>
    <s v="ACTINYA"/>
  </r>
  <r>
    <s v="EA2147"/>
    <s v="CM"/>
    <s v="CM"/>
    <x v="11"/>
    <s v="INY"/>
    <s v="INACTINYA"/>
  </r>
  <r>
    <s v="EA2148"/>
    <s v="CM"/>
    <s v="CM"/>
    <x v="11"/>
    <s v="INY"/>
    <s v="INACTINYA"/>
  </r>
  <r>
    <s v="EA2149"/>
    <s v="BM"/>
    <s v="BM"/>
    <x v="1"/>
    <s v="BA 35"/>
    <s v="BM"/>
  </r>
  <r>
    <s v="EA2151"/>
    <s v="CM"/>
    <s v="CM"/>
    <x v="11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BM"/>
  </r>
  <r>
    <s v="EA2187"/>
    <s v="CM"/>
    <s v="CM"/>
    <x v="8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0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2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3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PL"/>
    <s v="PL"/>
    <x v="21"/>
    <s v="PN 30"/>
    <s v="PL"/>
  </r>
  <r>
    <s v="EA2233P"/>
    <s v="ATA"/>
    <s v="CT"/>
    <x v="2"/>
    <s v="ATA"/>
    <s v="ATAPET"/>
  </r>
  <r>
    <s v="EA2237"/>
    <s v="CM"/>
    <s v="CM"/>
    <x v="8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8"/>
    <s v="OR 11"/>
    <s v="INACTBM"/>
  </r>
  <r>
    <s v="EA2242"/>
    <s v="CM"/>
    <s v="CM"/>
    <x v="8"/>
    <s v="OR 11"/>
    <s v="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13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2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13"/>
    <s v="ABAND."/>
    <s v="APA_CNPC"/>
  </r>
  <r>
    <s v="EA2286"/>
    <s v="BM"/>
    <s v="BM"/>
    <x v="1"/>
    <s v="ZA 01"/>
    <s v="BM"/>
  </r>
  <r>
    <s v="EA2287"/>
    <s v="INYA"/>
    <s v="IAS"/>
    <x v="12"/>
    <s v="INY"/>
    <s v="ACTINYA"/>
  </r>
  <r>
    <s v="EA2292"/>
    <s v="ATA"/>
    <s v="CT"/>
    <x v="2"/>
    <s v="ATA"/>
    <s v="ATAPET"/>
  </r>
  <r>
    <s v="EA2293"/>
    <s v="CM"/>
    <s v="CM"/>
    <x v="8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13"/>
    <s v="ABAND."/>
    <s v="APA_CNPC"/>
  </r>
  <r>
    <s v="EA2299"/>
    <s v="ATA"/>
    <s v="CT"/>
    <x v="2"/>
    <s v="ATA"/>
    <s v="ATAPET"/>
  </r>
  <r>
    <s v="EA2302"/>
    <s v="CM"/>
    <s v="CM"/>
    <x v="8"/>
    <s v="ZA 01"/>
    <s v="BM"/>
  </r>
  <r>
    <s v="EA2303E"/>
    <s v="INYA"/>
    <s v="IAS"/>
    <x v="12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BM"/>
    <s v="BM"/>
    <x v="1"/>
    <s v="LA 06"/>
    <s v="BM"/>
  </r>
  <r>
    <s v="EA2312"/>
    <s v="BM"/>
    <s v="BM"/>
    <x v="1"/>
    <s v="LA 06"/>
    <s v="BM"/>
  </r>
  <r>
    <s v="EA2319"/>
    <s v="CM"/>
    <s v="CM"/>
    <x v="8"/>
    <s v="BA 35"/>
    <s v="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PETS"/>
    <s v="SUABTBG"/>
    <x v="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2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2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8"/>
    <s v="ZA 02"/>
    <s v="INACTBM"/>
  </r>
  <r>
    <s v="EA2361"/>
    <s v="APA"/>
    <s v="A"/>
    <x v="13"/>
    <s v="ABAND."/>
    <s v="APA_CNPC"/>
  </r>
  <r>
    <s v="EA2362"/>
    <s v="CM"/>
    <s v="CM"/>
    <x v="14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8"/>
    <s v="TA 25"/>
    <s v="INACTBM"/>
  </r>
  <r>
    <s v="EA2377"/>
    <s v="DPA"/>
    <s v="SECO"/>
    <x v="0"/>
    <s v="ABAND."/>
    <s v="DPAPET"/>
  </r>
  <r>
    <s v="EA2378E"/>
    <s v="BM"/>
    <s v="BM"/>
    <x v="1"/>
    <s v="LA 06"/>
    <s v="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8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BM"/>
    <s v="BM"/>
    <x v="1"/>
    <s v="LA 08"/>
    <s v="BM"/>
  </r>
  <r>
    <s v="EA2394"/>
    <s v="BM"/>
    <s v="BM"/>
    <x v="1"/>
    <s v="TA 25"/>
    <s v="BM"/>
  </r>
  <r>
    <s v="EA2396"/>
    <s v="CM"/>
    <s v="CM"/>
    <x v="14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CM"/>
    <s v="CM"/>
    <x v="7"/>
    <s v="SWAB"/>
    <s v="IN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BCP"/>
    <s v="CP"/>
    <x v="9"/>
    <s v="LA 06"/>
    <s v="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0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TA"/>
    <s v="CT"/>
    <x v="2"/>
    <s v="ATA"/>
    <s v="ATAPET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8"/>
    <s v="TA 25"/>
    <s v="INACTBM"/>
  </r>
  <r>
    <s v="EA2478"/>
    <s v="CM"/>
    <s v="CM"/>
    <x v="8"/>
    <s v="PN 33"/>
    <s v="INACT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8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8"/>
    <s v="PN 31"/>
    <s v="INACTBM"/>
  </r>
  <r>
    <s v="EA2504"/>
    <s v="CM"/>
    <s v="CM"/>
    <x v="8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BM"/>
    <s v="BM"/>
    <x v="1"/>
    <s v="OR 11"/>
    <s v="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13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4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0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8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BM"/>
    <s v="BM"/>
    <x v="1"/>
    <s v="PN 31"/>
    <s v="BM"/>
  </r>
  <r>
    <s v="EA5637"/>
    <s v="PETS"/>
    <s v="SUABTBG"/>
    <x v="3"/>
    <s v="SWAB"/>
    <s v="ACTPETS"/>
  </r>
  <r>
    <s v="EA5638"/>
    <s v="DPA"/>
    <s v="SECO"/>
    <x v="0"/>
    <s v="ABAND."/>
    <s v="DPAPET"/>
  </r>
  <r>
    <s v="EA5639"/>
    <s v="BM"/>
    <s v="BM"/>
    <x v="1"/>
    <s v="OR 11"/>
    <s v="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8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8"/>
    <s v="PN 32"/>
    <s v="INACTBM"/>
  </r>
  <r>
    <s v="EA5653D"/>
    <s v="BM"/>
    <s v="BM"/>
    <x v="1"/>
    <s v="PN 32"/>
    <s v="BM"/>
  </r>
  <r>
    <s v="EA5655"/>
    <s v="BM"/>
    <s v="BM"/>
    <x v="1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13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BM"/>
    <s v="BM"/>
    <x v="1"/>
    <s v="OR 11"/>
    <s v="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BM"/>
    <s v="BM"/>
    <x v="1"/>
    <s v="BA 34"/>
    <s v="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13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BM"/>
    <s v="BM"/>
    <x v="1"/>
    <s v="OR 11"/>
    <s v="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BM"/>
    <s v="BM"/>
    <x v="1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8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8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BM"/>
    <s v="BM"/>
    <x v="1"/>
    <s v="TA 28"/>
    <s v="BM"/>
  </r>
  <r>
    <s v="EA5819"/>
    <s v="PETF"/>
    <s v="SUABCSG"/>
    <x v="4"/>
    <s v="SWAB"/>
    <s v="ACTPETF"/>
  </r>
  <r>
    <s v="EA5821"/>
    <s v="CM"/>
    <s v="CM"/>
    <x v="8"/>
    <s v="BA 34"/>
    <s v="INACTBM"/>
  </r>
  <r>
    <s v="EA5822"/>
    <s v="CM"/>
    <s v="CM"/>
    <x v="8"/>
    <s v="LA 09"/>
    <s v="INACTBM"/>
  </r>
  <r>
    <s v="EA5824"/>
    <s v="APA"/>
    <s v="A"/>
    <x v="13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13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2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8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PETS"/>
    <s v="SUABTBG"/>
    <x v="3"/>
    <s v="SWAB"/>
    <s v="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PETS"/>
    <s v="SUABTBG"/>
    <x v="3"/>
    <s v="SWAB"/>
    <s v="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8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13"/>
    <s v="ABAND."/>
    <s v="APA_CNPC"/>
  </r>
  <r>
    <s v="EA5925"/>
    <s v="APA"/>
    <s v="A"/>
    <x v="5"/>
    <s v="ABAND."/>
    <s v="APA_PC"/>
  </r>
  <r>
    <s v="EA5927"/>
    <s v="CM"/>
    <s v="CM"/>
    <x v="8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0"/>
    <s v="ATA"/>
    <s v="ATAINY"/>
  </r>
  <r>
    <s v="EA5941"/>
    <s v="CM"/>
    <s v="CM"/>
    <x v="8"/>
    <s v="OR 11"/>
    <s v="INACTBM"/>
  </r>
  <r>
    <s v="EA5943"/>
    <s v="CM"/>
    <s v="CM"/>
    <x v="8"/>
    <s v="TA 28"/>
    <s v="INACTBM"/>
  </r>
  <r>
    <s v="EA5947"/>
    <s v="APA"/>
    <s v="A"/>
    <x v="5"/>
    <s v="ABAND."/>
    <s v="APA_PC"/>
  </r>
  <r>
    <s v="EA5948"/>
    <s v="PL"/>
    <s v="PL"/>
    <x v="21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INACTPETF"/>
  </r>
  <r>
    <s v="EA5978"/>
    <s v="CM"/>
    <s v="CM"/>
    <x v="8"/>
    <s v="BA 34"/>
    <s v="INACTBM"/>
  </r>
  <r>
    <s v="EA5981D"/>
    <s v="ATA"/>
    <s v="CT"/>
    <x v="2"/>
    <s v="ATA"/>
    <s v="ATAPET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8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TA"/>
    <s v="CT"/>
    <x v="2"/>
    <s v="ATA"/>
    <s v="ATAPET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PETS"/>
    <s v="SUABTBG"/>
    <x v="3"/>
    <s v="SWAB"/>
    <s v="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CM"/>
    <s v="CM"/>
    <x v="25"/>
    <s v="PN 30"/>
    <s v="INACTGL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INACT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CM"/>
    <s v="CM"/>
    <x v="14"/>
    <s v="SWAB"/>
    <s v="IN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BM"/>
    <s v="BM"/>
    <x v="1"/>
    <s v="OR 11"/>
    <s v="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CM"/>
    <s v="CM"/>
    <x v="14"/>
    <s v="SWAB"/>
    <s v="IN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TA"/>
    <s v="CT"/>
    <x v="2"/>
    <s v="ATA"/>
    <s v="ATAPET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BM"/>
    <s v="BM"/>
    <x v="1"/>
    <s v="ZA 04"/>
    <s v="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BM"/>
    <s v="BM"/>
    <x v="1"/>
    <s v="LA 06"/>
    <s v="BM"/>
  </r>
  <r>
    <s v="EA6264"/>
    <s v="CM"/>
    <s v="CM"/>
    <x v="8"/>
    <s v="ZA 02"/>
    <s v="INACTBM"/>
  </r>
  <r>
    <s v="EA6267"/>
    <s v="BM"/>
    <s v="BM"/>
    <x v="1"/>
    <s v="ZA 02"/>
    <s v="BM"/>
  </r>
  <r>
    <s v="EA6268"/>
    <s v="CM"/>
    <s v="CM"/>
    <x v="8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PETS"/>
    <s v="SUABTBG"/>
    <x v="3"/>
    <s v="SWAB"/>
    <s v="ACTPETS"/>
  </r>
  <r>
    <s v="EA6278"/>
    <s v="CM"/>
    <s v="CM"/>
    <x v="14"/>
    <s v="SWAB"/>
    <s v="INACTPETS"/>
  </r>
  <r>
    <s v="EA6279"/>
    <s v="CM"/>
    <s v="CM"/>
    <x v="7"/>
    <s v="SWAB"/>
    <s v="INACTPETF"/>
  </r>
  <r>
    <s v="EA6286D"/>
    <s v="PETS"/>
    <s v="SUABTBG"/>
    <x v="3"/>
    <s v="SWAB"/>
    <s v="IN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8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BM"/>
    <s v="BM"/>
    <x v="1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8"/>
    <s v="PN 33"/>
    <s v="INACTBM"/>
  </r>
  <r>
    <s v="EA6341"/>
    <s v="PETF"/>
    <s v="SUABCSG"/>
    <x v="4"/>
    <s v="SWAB"/>
    <s v="ACTPETF"/>
  </r>
  <r>
    <s v="EA6351"/>
    <s v="CM"/>
    <s v="CM"/>
    <x v="8"/>
    <s v="TA 24"/>
    <s v="BM"/>
  </r>
  <r>
    <s v="EA6352"/>
    <s v="BM"/>
    <s v="BM"/>
    <x v="1"/>
    <s v="TA 24"/>
    <s v="BM"/>
  </r>
  <r>
    <s v="EA6353"/>
    <s v="CM"/>
    <s v="CM"/>
    <x v="8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BM"/>
    <s v="BM"/>
    <x v="1"/>
    <s v="TA 25"/>
    <s v="BM"/>
  </r>
  <r>
    <s v="EA6449"/>
    <s v="CM"/>
    <s v="CM"/>
    <x v="8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CM"/>
    <s v="CM"/>
    <x v="18"/>
    <s v="PN 30"/>
    <s v="INACTPL"/>
  </r>
  <r>
    <s v="EA6524"/>
    <s v="DPA"/>
    <s v="SECO"/>
    <x v="0"/>
    <s v="ABAND."/>
    <s v="DPAPET"/>
  </r>
  <r>
    <s v="EA6526"/>
    <s v="CM"/>
    <s v="CM"/>
    <x v="18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TA"/>
    <s v="CT"/>
    <x v="2"/>
    <s v="ATA"/>
    <s v="ATAPET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CM"/>
    <s v="CM"/>
    <x v="8"/>
    <s v="PN 33"/>
    <s v="INACT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BM"/>
    <s v="BM"/>
    <x v="1"/>
    <s v="TA 24"/>
    <s v="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1"/>
    <s v="INY"/>
    <s v="INACTINYA"/>
  </r>
  <r>
    <s v="EA6601"/>
    <s v="BM"/>
    <s v="BM"/>
    <x v="1"/>
    <s v="PN 32"/>
    <s v="BM"/>
  </r>
  <r>
    <s v="EA6602"/>
    <s v="BM"/>
    <s v="BM"/>
    <x v="1"/>
    <s v="PN 32"/>
    <s v="BM"/>
  </r>
  <r>
    <s v="EA6604"/>
    <s v="CM"/>
    <s v="CM"/>
    <x v="8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8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BM"/>
    <s v="BM"/>
    <x v="1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BM"/>
    <s v="BM"/>
    <x v="1"/>
    <s v="TA 25"/>
    <s v="BM"/>
  </r>
  <r>
    <s v="EA6731"/>
    <s v="APA"/>
    <s v="A"/>
    <x v="13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8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ACTPETF"/>
  </r>
  <r>
    <s v="EA6787"/>
    <s v="CM"/>
    <s v="CM"/>
    <x v="8"/>
    <s v="BA 34"/>
    <s v="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8"/>
    <s v="BA 34"/>
    <s v="BM"/>
  </r>
  <r>
    <s v="EA6823"/>
    <s v="CM"/>
    <s v="CM"/>
    <x v="8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BM"/>
    <s v="BM"/>
    <x v="1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CM"/>
    <s v="CM"/>
    <x v="14"/>
    <s v="SWAB"/>
    <s v="INACTPETS"/>
  </r>
  <r>
    <s v="EA6854"/>
    <s v="CM"/>
    <s v="CM"/>
    <x v="14"/>
    <s v="SWAB"/>
    <s v="IN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8"/>
    <s v="OR 11"/>
    <s v="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BM"/>
    <s v="BM"/>
    <x v="1"/>
    <s v="OR 11"/>
    <s v="BM"/>
  </r>
  <r>
    <s v="EA6931"/>
    <s v="BM"/>
    <s v="BM"/>
    <x v="1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PETF"/>
    <s v="SUABCSG"/>
    <x v="4"/>
    <s v="SWAB"/>
    <s v="INACTPETF"/>
  </r>
  <r>
    <s v="EA7018"/>
    <s v="PETF"/>
    <s v="SUABCSG"/>
    <x v="4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8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0"/>
    <s v="ATA"/>
    <s v="ATAINY"/>
  </r>
  <r>
    <s v="EA7047"/>
    <s v="CM"/>
    <s v="CM"/>
    <x v="11"/>
    <s v="INY"/>
    <s v="IN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8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1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13"/>
    <s v="ABAND."/>
    <s v="ATAPET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CM"/>
    <s v="CM"/>
    <x v="8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BM"/>
    <s v="BM"/>
    <x v="1"/>
    <s v="ZA 03"/>
    <s v="BM"/>
  </r>
  <r>
    <s v="EA7107"/>
    <s v="CM"/>
    <s v="CM"/>
    <x v="8"/>
    <s v="ZA 03"/>
    <s v="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1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BM"/>
    <s v="BM"/>
    <x v="1"/>
    <s v="ZA 04"/>
    <s v="BM"/>
  </r>
  <r>
    <s v="EA7119"/>
    <s v="BM"/>
    <s v="BM"/>
    <x v="1"/>
    <s v="LA 06"/>
    <s v="BM"/>
  </r>
  <r>
    <s v="EA7121"/>
    <s v="CM"/>
    <s v="CM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8"/>
    <s v="ZA 02"/>
    <s v="BM"/>
  </r>
  <r>
    <s v="EA7158"/>
    <s v="CM"/>
    <s v="CM"/>
    <x v="14"/>
    <s v="SWAB"/>
    <s v="INACTPETS"/>
  </r>
  <r>
    <s v="EA7159"/>
    <s v="CM"/>
    <s v="CM"/>
    <x v="8"/>
    <s v="OR 12"/>
    <s v="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8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BM"/>
    <s v="BM"/>
    <x v="1"/>
    <s v="TA 27"/>
    <s v="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8"/>
    <s v="TA 25"/>
    <s v="INACTBM"/>
  </r>
  <r>
    <s v="EA7216"/>
    <s v="BM"/>
    <s v="BM"/>
    <x v="1"/>
    <s v="TA 25"/>
    <s v="BM"/>
  </r>
  <r>
    <s v="EA7217"/>
    <s v="CM"/>
    <s v="CM"/>
    <x v="8"/>
    <s v="TA 25"/>
    <s v="INACTBM"/>
  </r>
  <r>
    <s v="EA7218"/>
    <s v="BM"/>
    <s v="BM"/>
    <x v="1"/>
    <s v="TA 25"/>
    <s v="BM"/>
  </r>
  <r>
    <s v="EA7219"/>
    <s v="BM"/>
    <s v="BM"/>
    <x v="1"/>
    <s v="BA 34"/>
    <s v="BM"/>
  </r>
  <r>
    <s v="EA7226"/>
    <s v="BM"/>
    <s v="BM"/>
    <x v="1"/>
    <s v="BA 34"/>
    <s v="BM"/>
  </r>
  <r>
    <s v="EA7227"/>
    <s v="BM"/>
    <s v="BM"/>
    <x v="1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CM"/>
    <s v="CM"/>
    <x v="8"/>
    <s v="PN 31"/>
    <s v="INACTBM"/>
  </r>
  <r>
    <s v="EA7256"/>
    <s v="BM"/>
    <s v="BM"/>
    <x v="1"/>
    <s v="BA 34"/>
    <s v="BM"/>
  </r>
  <r>
    <s v="EA7261"/>
    <s v="PETS"/>
    <s v="SUABTBG"/>
    <x v="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TA"/>
    <s v="CT"/>
    <x v="2"/>
    <s v="ATA"/>
    <s v="ATAPET"/>
  </r>
  <r>
    <s v="EA7301"/>
    <s v="CM"/>
    <s v="CM"/>
    <x v="8"/>
    <s v="BA 34"/>
    <s v="INACTBM"/>
  </r>
  <r>
    <s v="EA7304D"/>
    <s v="BM"/>
    <s v="BM"/>
    <x v="1"/>
    <s v="PN 30"/>
    <s v="BM"/>
  </r>
  <r>
    <s v="EA7306D"/>
    <s v="CM"/>
    <s v="CM"/>
    <x v="18"/>
    <s v="PN 30"/>
    <s v="PL"/>
  </r>
  <r>
    <s v="EA7307D"/>
    <s v="PETS"/>
    <s v="SUABTBG"/>
    <x v="3"/>
    <s v="SWAB"/>
    <s v="ACTPETS"/>
  </r>
  <r>
    <s v="EA7309D"/>
    <s v="APA"/>
    <s v="A"/>
    <x v="13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9"/>
    <s v="TA 25"/>
    <s v="BCP"/>
  </r>
  <r>
    <s v="EA7378"/>
    <s v="ATA"/>
    <s v="CT"/>
    <x v="2"/>
    <s v="ATA"/>
    <s v="ATAPET"/>
  </r>
  <r>
    <s v="EA7382"/>
    <s v="BM"/>
    <s v="BM"/>
    <x v="1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8"/>
    <s v="PN 33"/>
    <s v="INACTBM"/>
  </r>
  <r>
    <s v="EA7416"/>
    <s v="BM"/>
    <s v="BM"/>
    <x v="1"/>
    <s v="PN 33"/>
    <s v="BM"/>
  </r>
  <r>
    <s v="EA7437"/>
    <s v="BM"/>
    <s v="BM"/>
    <x v="1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13"/>
    <s v="ABAND."/>
    <s v="ATAPET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8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0"/>
    <s v="ATA"/>
    <s v="ATAINY"/>
  </r>
  <r>
    <s v="EA7553"/>
    <s v="BM"/>
    <s v="BM"/>
    <x v="1"/>
    <s v="PN 31"/>
    <s v="BM"/>
  </r>
  <r>
    <s v="EA7557D"/>
    <s v="PL"/>
    <s v="PL"/>
    <x v="21"/>
    <s v="PN 30"/>
    <s v="PL"/>
  </r>
  <r>
    <s v="EA7558"/>
    <s v="CM"/>
    <s v="CM"/>
    <x v="18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BM"/>
    <s v="BM"/>
    <x v="1"/>
    <s v="LA 07"/>
    <s v="BM"/>
  </r>
  <r>
    <s v="EA7571"/>
    <s v="BM"/>
    <s v="BM"/>
    <x v="1"/>
    <s v="TA 27"/>
    <s v="BM"/>
  </r>
  <r>
    <s v="EA7586"/>
    <s v="APA"/>
    <s v="A"/>
    <x v="13"/>
    <s v="ABAND."/>
    <s v="APA_CNPC"/>
  </r>
  <r>
    <s v="EA7588"/>
    <s v="APA"/>
    <s v="A"/>
    <x v="13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8"/>
    <s v="BA 34"/>
    <s v="INACTBM"/>
  </r>
  <r>
    <s v="EA7779"/>
    <s v="PETF"/>
    <s v="SUABCSG"/>
    <x v="4"/>
    <s v="SWAB"/>
    <s v="ACTPETF"/>
  </r>
  <r>
    <s v="EA7791"/>
    <s v="BM"/>
    <s v="BM"/>
    <x v="1"/>
    <s v="OR 11"/>
    <s v="BM"/>
  </r>
  <r>
    <s v="EA7849"/>
    <s v="APA"/>
    <s v="A"/>
    <x v="13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BM"/>
    <s v="BM"/>
    <x v="1"/>
    <s v="TA 25"/>
    <s v="BM"/>
  </r>
  <r>
    <s v="EA7871"/>
    <s v="BM"/>
    <s v="BM"/>
    <x v="1"/>
    <s v="BA 34"/>
    <s v="BM"/>
  </r>
  <r>
    <s v="EA7876"/>
    <s v="APA"/>
    <s v="A"/>
    <x v="13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8"/>
    <s v="PN 30"/>
    <s v="INACTPL"/>
  </r>
  <r>
    <s v="EA7899"/>
    <s v="CM"/>
    <s v="CM"/>
    <x v="18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13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ACTPETS"/>
  </r>
  <r>
    <s v="EA7933"/>
    <s v="CM"/>
    <s v="CM"/>
    <x v="18"/>
    <s v="PN 30"/>
    <s v="INACTPL"/>
  </r>
  <r>
    <s v="EA7934"/>
    <s v="BM"/>
    <s v="BM"/>
    <x v="1"/>
    <s v="TA 29"/>
    <s v="BM"/>
  </r>
  <r>
    <s v="EA7936"/>
    <s v="CM"/>
    <s v="CM"/>
    <x v="8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8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8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4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2"/>
    <s v="INY"/>
    <s v="ACTINYA"/>
  </r>
  <r>
    <s v="EA8007"/>
    <s v="INYA"/>
    <s v="IAS"/>
    <x v="12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2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13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BM"/>
    <s v="BM"/>
    <x v="1"/>
    <s v="TA 28"/>
    <s v="BM"/>
  </r>
  <r>
    <s v="EA8049"/>
    <s v="INYA"/>
    <s v="IAS"/>
    <x v="12"/>
    <s v="INY"/>
    <s v="ACTINYA"/>
  </r>
  <r>
    <s v="EA8052"/>
    <s v="CM"/>
    <s v="CM"/>
    <x v="8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BM"/>
    <s v="BM"/>
    <x v="1"/>
    <s v="PN 32"/>
    <s v="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8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8"/>
    <s v="ZA 01"/>
    <s v="INACTBM"/>
  </r>
  <r>
    <s v="EA8094"/>
    <s v="CM"/>
    <s v="CM"/>
    <x v="11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BM"/>
    <s v="BM"/>
    <x v="1"/>
    <s v="BA 35"/>
    <s v="BM"/>
  </r>
  <r>
    <s v="EA8112D"/>
    <s v="CM"/>
    <s v="CM"/>
    <x v="11"/>
    <s v="INY"/>
    <s v="INACTINYA"/>
  </r>
  <r>
    <s v="EA8113D"/>
    <s v="CM"/>
    <s v="CM"/>
    <x v="8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8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BM"/>
    <s v="BM"/>
    <x v="1"/>
    <s v="PN 30"/>
    <s v="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BM"/>
    <s v="BM"/>
    <x v="1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BM"/>
    <s v="BM"/>
    <x v="1"/>
    <s v="TA 25"/>
    <s v="BM"/>
  </r>
  <r>
    <s v="EA8211"/>
    <s v="BM"/>
    <s v="BM"/>
    <x v="1"/>
    <s v="TA 24"/>
    <s v="BM"/>
  </r>
  <r>
    <s v="EA8212"/>
    <s v="CM"/>
    <s v="CM"/>
    <x v="8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BM"/>
    <s v="BM"/>
    <x v="1"/>
    <s v="TA 25"/>
    <s v="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8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INACT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BM"/>
    <s v="BM"/>
    <x v="1"/>
    <s v="PN 32"/>
    <s v="BM"/>
  </r>
  <r>
    <s v="EA8259"/>
    <s v="BM"/>
    <s v="BM"/>
    <x v="1"/>
    <s v="PN 32"/>
    <s v="BM"/>
  </r>
  <r>
    <s v="EA8263"/>
    <s v="PETS"/>
    <s v="SUABTBG"/>
    <x v="3"/>
    <s v="SWAB"/>
    <s v="IN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BM"/>
    <s v="BM"/>
    <x v="1"/>
    <s v="TA 24"/>
    <s v="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BM"/>
    <s v="BM"/>
    <x v="1"/>
    <s v="CE 10"/>
    <s v="BM"/>
  </r>
  <r>
    <s v="EA8288"/>
    <s v="PETS"/>
    <s v="SUABTBG"/>
    <x v="3"/>
    <s v="SWAB"/>
    <s v="ACTPETS"/>
  </r>
  <r>
    <s v="EA8291"/>
    <s v="CM"/>
    <s v="CM"/>
    <x v="8"/>
    <s v="TA 27"/>
    <s v="BM"/>
  </r>
  <r>
    <s v="EA8293"/>
    <s v="BM"/>
    <s v="BM"/>
    <x v="1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2"/>
    <s v="INY"/>
    <s v="ACTINYA"/>
  </r>
  <r>
    <s v="EA8303"/>
    <s v="BM"/>
    <s v="BM"/>
    <x v="1"/>
    <s v="LA 08"/>
    <s v="BM"/>
  </r>
  <r>
    <s v="EA8304"/>
    <s v="INYA"/>
    <s v="IAS"/>
    <x v="12"/>
    <s v="INY"/>
    <s v="ACTINYA"/>
  </r>
  <r>
    <s v="EA8312"/>
    <s v="CM"/>
    <s v="CM"/>
    <x v="8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BM"/>
    <s v="BM"/>
    <x v="1"/>
    <s v="CE 10"/>
    <s v="BM"/>
  </r>
  <r>
    <s v="EA8318"/>
    <s v="BM"/>
    <s v="BM"/>
    <x v="1"/>
    <s v="ZA 02"/>
    <s v="BM"/>
  </r>
  <r>
    <s v="EA8319"/>
    <s v="INYA"/>
    <s v="IAS"/>
    <x v="12"/>
    <s v="INY"/>
    <s v="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BM"/>
    <s v="BM"/>
    <x v="1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8"/>
    <s v="BA 35"/>
    <s v="BM"/>
  </r>
  <r>
    <s v="EA8378"/>
    <s v="BM"/>
    <s v="BM"/>
    <x v="1"/>
    <s v="ZA 01"/>
    <s v="BM"/>
  </r>
  <r>
    <s v="EA8382"/>
    <s v="CM"/>
    <s v="CM"/>
    <x v="8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8"/>
    <s v="PN 31"/>
    <s v="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8"/>
    <s v="BA 34"/>
    <s v="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8"/>
    <s v="BA 34"/>
    <s v="INACTBM"/>
  </r>
  <r>
    <s v="EA8419"/>
    <s v="BM"/>
    <s v="BM"/>
    <x v="1"/>
    <s v="BA 34"/>
    <s v="BM"/>
  </r>
  <r>
    <s v="EA8421"/>
    <s v="CM"/>
    <s v="CM"/>
    <x v="8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BM"/>
    <s v="BM"/>
    <x v="1"/>
    <s v="BA 35"/>
    <s v="BM"/>
  </r>
  <r>
    <s v="EA8428"/>
    <s v="CM"/>
    <s v="CM"/>
    <x v="8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8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BM"/>
    <s v="BM"/>
    <x v="1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8"/>
    <s v="PN 33"/>
    <s v="INACTBM"/>
  </r>
  <r>
    <s v="EA8461"/>
    <s v="BM"/>
    <s v="BM"/>
    <x v="1"/>
    <s v="PN 33"/>
    <s v="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BM"/>
    <s v="BM"/>
    <x v="1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BM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8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8"/>
    <s v="BA 34"/>
    <s v="INACTBM"/>
  </r>
  <r>
    <s v="EA8507"/>
    <s v="BM"/>
    <s v="BM"/>
    <x v="1"/>
    <s v="BA 34"/>
    <s v="BM"/>
  </r>
  <r>
    <s v="EA8508"/>
    <s v="CM"/>
    <s v="CM"/>
    <x v="8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BM"/>
    <s v="BM"/>
    <x v="1"/>
    <s v="PN 31"/>
    <s v="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INYA"/>
    <s v="IAS"/>
    <x v="12"/>
    <s v="INY"/>
    <s v="ACTINYA"/>
  </r>
  <r>
    <s v="EA8523"/>
    <s v="CM"/>
    <s v="CM"/>
    <x v="8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8"/>
    <s v="BA 34"/>
    <s v="INACTBM"/>
  </r>
  <r>
    <s v="EA8533"/>
    <s v="BM"/>
    <s v="BM"/>
    <x v="1"/>
    <s v="BA 35"/>
    <s v="BM"/>
  </r>
  <r>
    <s v="EA8534"/>
    <s v="BM"/>
    <s v="BM"/>
    <x v="1"/>
    <s v="BA 35"/>
    <s v="BM"/>
  </r>
  <r>
    <s v="EA8536"/>
    <s v="BM"/>
    <s v="BM"/>
    <x v="1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BM"/>
    <s v="BM"/>
    <x v="1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BM"/>
    <s v="BM"/>
    <x v="1"/>
    <s v="TA 27"/>
    <s v="BM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BM"/>
    <s v="BM"/>
    <x v="1"/>
    <s v="BA 35"/>
    <s v="BM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BM"/>
    <s v="BM"/>
    <x v="1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BM"/>
    <s v="BM"/>
    <x v="1"/>
    <s v="BA 35"/>
    <s v="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BM"/>
    <s v="BM"/>
    <x v="1"/>
    <s v="BA 34"/>
    <s v="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CM"/>
    <s v="CM"/>
    <x v="8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8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8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BM"/>
    <s v="BM"/>
    <x v="1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8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BM"/>
  </r>
  <r>
    <s v="EA8624"/>
    <s v="BM"/>
    <s v="BM"/>
    <x v="1"/>
    <s v="BA 35"/>
    <s v="BM"/>
  </r>
  <r>
    <s v="EA8626"/>
    <s v="BM"/>
    <s v="BM"/>
    <x v="1"/>
    <s v="PN 32"/>
    <s v="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BM"/>
    <s v="BM"/>
    <x v="1"/>
    <s v="BA 34"/>
    <s v="BM"/>
  </r>
  <r>
    <s v="EA8638"/>
    <s v="CM"/>
    <s v="CM"/>
    <x v="8"/>
    <s v="BA 34"/>
    <s v="INACTBM"/>
  </r>
  <r>
    <s v="EA8639D"/>
    <s v="BM"/>
    <s v="BM"/>
    <x v="1"/>
    <s v="PN 32"/>
    <s v="BM"/>
  </r>
  <r>
    <s v="EA8641"/>
    <s v="BM"/>
    <s v="BM"/>
    <x v="1"/>
    <s v="PN 32"/>
    <s v="INACT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CM"/>
    <s v="CM"/>
    <x v="8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BM"/>
    <s v="BM"/>
    <x v="1"/>
    <s v="PN 32"/>
    <s v="BM"/>
  </r>
  <r>
    <s v="EA8668"/>
    <s v="BM"/>
    <s v="BM"/>
    <x v="1"/>
    <s v="PN 30"/>
    <s v="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8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BM"/>
    <s v="BM"/>
    <x v="1"/>
    <s v="BA 34"/>
    <s v="BM"/>
  </r>
  <r>
    <s v="EA8701"/>
    <s v="BM"/>
    <s v="BM"/>
    <x v="1"/>
    <s v="BA 34"/>
    <s v="BM"/>
  </r>
  <r>
    <s v="EA8703"/>
    <s v="BM"/>
    <s v="BM"/>
    <x v="1"/>
    <s v="OR 11"/>
    <s v="BM"/>
  </r>
  <r>
    <s v="EA8704"/>
    <s v="BM"/>
    <s v="BM"/>
    <x v="1"/>
    <s v="TA 25"/>
    <s v="BM"/>
  </r>
  <r>
    <s v="EA8706"/>
    <s v="CM"/>
    <s v="CM"/>
    <x v="8"/>
    <s v="BA 34"/>
    <s v="INACTBM"/>
  </r>
  <r>
    <s v="EA8707"/>
    <s v="BM"/>
    <s v="BM"/>
    <x v="1"/>
    <s v="BA 34"/>
    <s v="BM"/>
  </r>
  <r>
    <s v="EA8709"/>
    <s v="BM"/>
    <s v="BM"/>
    <x v="1"/>
    <s v="CE 10"/>
    <s v="BM"/>
  </r>
  <r>
    <s v="EA8713"/>
    <s v="CM"/>
    <s v="CM"/>
    <x v="8"/>
    <s v="OR 11"/>
    <s v="INACTBM"/>
  </r>
  <r>
    <s v="EA8714"/>
    <s v="BM"/>
    <s v="BM"/>
    <x v="1"/>
    <s v="BA 34"/>
    <s v="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8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8"/>
    <s v="BA 34"/>
    <s v="INACTBM"/>
  </r>
  <r>
    <s v="EA8734"/>
    <s v="CM"/>
    <s v="CM"/>
    <x v="8"/>
    <s v="BA 34"/>
    <s v="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8"/>
    <s v="TA 29"/>
    <s v="INACTBM"/>
  </r>
  <r>
    <s v="EA8756"/>
    <s v="BM"/>
    <s v="BM"/>
    <x v="1"/>
    <s v="PN 30"/>
    <s v="BM"/>
  </r>
  <r>
    <s v="EA8758"/>
    <s v="BM"/>
    <s v="BM"/>
    <x v="1"/>
    <s v="BA 35"/>
    <s v="BM"/>
  </r>
  <r>
    <s v="EA8759"/>
    <s v="BM"/>
    <s v="BM"/>
    <x v="1"/>
    <s v="PN 31"/>
    <s v="BM"/>
  </r>
  <r>
    <s v="EA8761"/>
    <s v="CM"/>
    <s v="CM"/>
    <x v="8"/>
    <s v="BA 35"/>
    <s v="INACTBM"/>
  </r>
  <r>
    <s v="EA8762"/>
    <s v="BM"/>
    <s v="BM"/>
    <x v="1"/>
    <s v="PN 31"/>
    <s v="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BM"/>
    <s v="BM"/>
    <x v="1"/>
    <s v="BA 35"/>
    <s v="BM"/>
  </r>
  <r>
    <s v="EA8772D"/>
    <s v="BM"/>
    <s v="BM"/>
    <x v="1"/>
    <s v="TA 25"/>
    <s v="BM"/>
  </r>
  <r>
    <s v="EA8773"/>
    <s v="CM"/>
    <s v="CM"/>
    <x v="8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BM"/>
    <s v="BM"/>
    <x v="1"/>
    <s v="BA 35"/>
    <s v="BM"/>
  </r>
  <r>
    <s v="EA8783"/>
    <s v="BM"/>
    <s v="BM"/>
    <x v="1"/>
    <s v="BA 35"/>
    <s v="BM"/>
  </r>
  <r>
    <s v="EA8784"/>
    <s v="CM"/>
    <s v="CM"/>
    <x v="8"/>
    <s v="BA 35"/>
    <s v="INACTBM"/>
  </r>
  <r>
    <s v="EA8786"/>
    <s v="CM"/>
    <s v="CM"/>
    <x v="8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8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BM"/>
    <s v="BM"/>
    <x v="1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BM"/>
    <s v="BM"/>
    <x v="1"/>
    <s v="BA 34"/>
    <s v="BM"/>
  </r>
  <r>
    <s v="EA8809"/>
    <s v="BM"/>
    <s v="BM"/>
    <x v="1"/>
    <s v="CE 10"/>
    <s v="BM"/>
  </r>
  <r>
    <s v="EA8811"/>
    <s v="BM"/>
    <s v="BM"/>
    <x v="1"/>
    <s v="TA 25"/>
    <s v="BM"/>
  </r>
  <r>
    <s v="EA8812"/>
    <s v="CM"/>
    <s v="CM"/>
    <x v="8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BM"/>
    <s v="BM"/>
    <x v="1"/>
    <s v="TA 27"/>
    <s v="BM"/>
  </r>
  <r>
    <s v="EA8826D"/>
    <s v="BM"/>
    <s v="BM"/>
    <x v="1"/>
    <s v="PN 31"/>
    <s v="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8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8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BM"/>
    <s v="BM"/>
    <x v="1"/>
    <s v="BA 34"/>
    <s v="BM"/>
  </r>
  <r>
    <s v="EA8866"/>
    <s v="BM"/>
    <s v="BM"/>
    <x v="1"/>
    <s v="BA 35"/>
    <s v="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INACTBM"/>
  </r>
  <r>
    <s v="EA8883"/>
    <s v="BM"/>
    <s v="BM"/>
    <x v="1"/>
    <s v="BA 35"/>
    <s v="BM"/>
  </r>
  <r>
    <s v="EA8884"/>
    <s v="BM"/>
    <s v="BM"/>
    <x v="1"/>
    <s v="BA 35"/>
    <s v="BM"/>
  </r>
  <r>
    <s v="EA8886"/>
    <s v="BM"/>
    <s v="BM"/>
    <x v="1"/>
    <s v="BA 35"/>
    <s v="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BM"/>
    <s v="BM"/>
    <x v="1"/>
    <s v="PN 31"/>
    <s v="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INACT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8"/>
    <s v="BA 34"/>
    <s v="INACTBM"/>
  </r>
  <r>
    <s v="EA8941"/>
    <s v="BM"/>
    <s v="BM"/>
    <x v="1"/>
    <s v="BA 35"/>
    <s v="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8"/>
    <s v="PN 30"/>
    <s v="INACTBM"/>
  </r>
  <r>
    <s v="EA8947D"/>
    <s v="CM"/>
    <s v="CM"/>
    <x v="8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BM"/>
    <s v="BM"/>
    <x v="1"/>
    <s v="TA 27"/>
    <s v="BM"/>
  </r>
  <r>
    <s v="EA8961D"/>
    <s v="CM"/>
    <s v="CM"/>
    <x v="8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8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BM"/>
    <s v="BM"/>
    <x v="1"/>
    <s v="PN 32"/>
    <s v="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BM"/>
    <s v="BM"/>
    <x v="1"/>
    <s v="PN 30"/>
    <s v="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13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13"/>
    <s v="ABAND."/>
    <s v="APA_CNPC"/>
  </r>
  <r>
    <s v="EA9011"/>
    <s v="BO"/>
    <s v="BO"/>
    <x v="17"/>
    <s v="CE 10"/>
    <s v="BO"/>
  </r>
  <r>
    <s v="EA9012"/>
    <s v="INYA"/>
    <s v="IAS"/>
    <x v="12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8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1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9"/>
    <s v="CE 10"/>
    <s v="INACTBCP"/>
  </r>
  <r>
    <s v="EA9037"/>
    <s v="ATA"/>
    <s v="CT"/>
    <x v="10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1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BM"/>
    <s v="BM"/>
    <x v="1"/>
    <s v="CE 10"/>
    <s v="BM"/>
  </r>
  <r>
    <s v="EA9071"/>
    <s v="APA"/>
    <s v="A"/>
    <x v="5"/>
    <s v="ABAND."/>
    <s v="APA_PC"/>
  </r>
  <r>
    <s v="EA9072"/>
    <s v="ATA"/>
    <s v="CT"/>
    <x v="2"/>
    <s v="ATA"/>
    <s v="ATAPET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13"/>
    <s v="ABAND."/>
    <s v="ATAINY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TA"/>
    <s v="CT"/>
    <x v="2"/>
    <s v="ATA"/>
    <s v="ATAPET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8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13"/>
    <s v="ABAND."/>
    <s v="ATAPET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TA"/>
    <s v="CT"/>
    <x v="2"/>
    <s v="ATA"/>
    <s v="ATAPET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1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13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8"/>
    <s v="CE 10"/>
    <s v="INACTBM"/>
  </r>
  <r>
    <s v="EA9277"/>
    <s v="APA"/>
    <s v="A"/>
    <x v="13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TA"/>
    <s v="CT"/>
    <x v="2"/>
    <s v="ATA"/>
    <s v="ATAPET"/>
  </r>
  <r>
    <s v="EA9284"/>
    <s v="BM"/>
    <s v="BM"/>
    <x v="1"/>
    <s v="ZA 02"/>
    <s v="BM"/>
  </r>
  <r>
    <s v="EA9286"/>
    <s v="APA"/>
    <s v="A"/>
    <x v="13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TA"/>
    <s v="CT"/>
    <x v="2"/>
    <s v="ATA"/>
    <s v="ATAPET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13"/>
    <s v="ABAND."/>
    <s v="APA_CNPC"/>
  </r>
  <r>
    <s v="EA9408"/>
    <s v="INYA"/>
    <s v="IAS"/>
    <x v="12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8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2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13"/>
    <s v="ABAND."/>
    <s v="APA_CNPC"/>
  </r>
  <r>
    <s v="EA9451"/>
    <s v="ATA"/>
    <s v="CT"/>
    <x v="2"/>
    <s v="ATA"/>
    <s v="ATAPET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13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8"/>
    <s v="LA 08"/>
    <s v="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13"/>
    <s v="ABAND."/>
    <s v="ATAPET"/>
  </r>
  <r>
    <s v="EA9482"/>
    <s v="ATA"/>
    <s v="CT"/>
    <x v="2"/>
    <s v="ATA"/>
    <s v="ATAPET"/>
  </r>
  <r>
    <s v="EA9483"/>
    <s v="PETS"/>
    <s v="SUABTBG"/>
    <x v="3"/>
    <s v="SWAB"/>
    <s v="ACTPETS"/>
  </r>
  <r>
    <s v="EA9484"/>
    <s v="CM"/>
    <s v="CM"/>
    <x v="8"/>
    <s v="LA 08"/>
    <s v="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13"/>
    <s v="ABAND."/>
    <s v="ATAPET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2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TA"/>
    <s v="CT"/>
    <x v="2"/>
    <s v="ATA"/>
    <s v="ATAPET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BM"/>
    <s v="BM"/>
    <x v="1"/>
    <s v="ZA 01"/>
    <s v="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13"/>
    <s v="ABAND."/>
    <s v="ATAPET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13"/>
    <s v="ABAND."/>
    <s v="ATAPET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1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8"/>
    <s v="ZA 01"/>
    <s v="INACTBM"/>
  </r>
  <r>
    <s v="EA9572"/>
    <s v="APA"/>
    <s v="A"/>
    <x v="13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CM"/>
    <s v="CM"/>
    <x v="14"/>
    <s v="SWAB"/>
    <s v="INACTPETS"/>
  </r>
  <r>
    <s v="EA9598"/>
    <s v="ATA"/>
    <s v="CT"/>
    <x v="2"/>
    <s v="ATA"/>
    <s v="ATAPET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13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INACTPETF"/>
  </r>
  <r>
    <s v="EA9609"/>
    <s v="APA"/>
    <s v="A"/>
    <x v="13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8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BM"/>
    <s v="BM"/>
    <x v="1"/>
    <s v="OR 11"/>
    <s v="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8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13"/>
    <s v="ABAND."/>
    <s v="ATAPET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13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IN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CM"/>
    <s v="CM"/>
    <x v="7"/>
    <s v="SWAB"/>
    <s v="INACTPETF"/>
  </r>
  <r>
    <s v="EA9786"/>
    <s v="CM"/>
    <s v="CM"/>
    <x v="7"/>
    <s v="SWAB"/>
    <s v="IN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2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2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PETF"/>
    <s v="SUABCSG"/>
    <x v="4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13"/>
    <s v="ABAND."/>
    <s v="ATAPET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BM"/>
    <s v="BM"/>
    <x v="1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INYA"/>
    <s v="IAS"/>
    <x v="12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13"/>
    <s v="ABAND."/>
    <s v="APA_CNPC"/>
  </r>
  <r>
    <s v="EA9972"/>
    <s v="CM"/>
    <s v="CM"/>
    <x v="7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8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13"/>
    <s v="ABAND."/>
    <s v="APA_CNPC"/>
  </r>
  <r>
    <s v="EA10029"/>
    <s v="CM"/>
    <s v="CM"/>
    <x v="14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2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INYA"/>
    <s v="IAS"/>
    <x v="12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1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INYA"/>
    <s v="IAS"/>
    <x v="12"/>
    <s v="INY"/>
    <s v="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13"/>
    <s v="ABAND."/>
    <s v="APA_CNPC"/>
  </r>
  <r>
    <s v="EA10224"/>
    <s v="CM"/>
    <s v="CM"/>
    <x v="8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1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2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4"/>
    <s v="SWAB"/>
    <s v="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BM"/>
    <s v="BM"/>
    <x v="1"/>
    <s v="ZA 01"/>
    <s v="BM"/>
  </r>
  <r>
    <s v="EA10523"/>
    <s v="INYA"/>
    <s v="IAS"/>
    <x v="12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TA"/>
    <s v="CT"/>
    <x v="2"/>
    <s v="ATA"/>
    <s v="ATAPET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BM"/>
    <s v="BM"/>
    <x v="1"/>
    <s v="TA 24"/>
    <s v="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BM"/>
    <s v="BM"/>
    <x v="1"/>
    <s v="TA 27"/>
    <s v="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8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8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BM"/>
    <s v="BM"/>
    <x v="1"/>
    <s v="TA 27"/>
    <s v="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8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8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BM"/>
    <s v="BM"/>
    <x v="1"/>
    <s v="OR 11"/>
    <s v="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8"/>
    <s v="OR 11"/>
    <s v="INACTBM"/>
  </r>
  <r>
    <s v="EA11067"/>
    <s v="BM"/>
    <s v="BM"/>
    <x v="1"/>
    <s v="BA 34"/>
    <s v="BM"/>
  </r>
  <r>
    <s v="EA11069"/>
    <s v="BM"/>
    <s v="BM"/>
    <x v="1"/>
    <s v="OR 11"/>
    <s v="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8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BM"/>
    <s v="BM"/>
    <x v="1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BM"/>
    <s v="BM"/>
    <x v="1"/>
    <s v="OR 11"/>
    <s v="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BM"/>
    <s v="BM"/>
    <x v="1"/>
    <s v="TA 25"/>
    <s v="BM"/>
  </r>
  <r>
    <s v="EA11106"/>
    <s v="CM"/>
    <s v="CM"/>
    <x v="8"/>
    <s v="PN 33"/>
    <s v="INACTBM"/>
  </r>
  <r>
    <s v="EA11107"/>
    <s v="BM"/>
    <s v="BM"/>
    <x v="1"/>
    <s v="PN 33"/>
    <s v="BM"/>
  </r>
  <r>
    <s v="EA11108D"/>
    <s v="CM"/>
    <s v="CM"/>
    <x v="8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BM"/>
    <s v="BM"/>
    <x v="1"/>
    <s v="OR 11"/>
    <s v="BM"/>
  </r>
  <r>
    <s v="EA11128"/>
    <s v="CM"/>
    <s v="CM"/>
    <x v="14"/>
    <s v="SWAB"/>
    <s v="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BM"/>
    <s v="BM"/>
    <x v="1"/>
    <s v="TA 24"/>
    <s v="BM"/>
  </r>
  <r>
    <s v="EA11134D"/>
    <s v="BM"/>
    <s v="BM"/>
    <x v="1"/>
    <s v="TA 24"/>
    <s v="BM"/>
  </r>
  <r>
    <s v="EA11136"/>
    <s v="BM"/>
    <s v="BM"/>
    <x v="1"/>
    <s v="OR 11"/>
    <s v="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8"/>
    <s v="OR 11"/>
    <s v="INACTBM"/>
  </r>
  <r>
    <s v="EA11152D"/>
    <s v="PETS"/>
    <s v="SUABTBG"/>
    <x v="3"/>
    <s v="SWAB"/>
    <s v="ACTPETS"/>
  </r>
  <r>
    <s v="EA11156"/>
    <s v="BM"/>
    <s v="BM"/>
    <x v="1"/>
    <s v="PN 31"/>
    <s v="BM"/>
  </r>
  <r>
    <s v="EA11157"/>
    <s v="BM"/>
    <s v="BM"/>
    <x v="1"/>
    <s v="TA 24"/>
    <s v="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BM"/>
    <s v="BM"/>
    <x v="1"/>
    <s v="BA 34"/>
    <s v="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8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BM"/>
    <s v="BM"/>
    <x v="1"/>
    <s v="BA 35"/>
    <s v="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BM"/>
    <s v="BM"/>
    <x v="1"/>
    <s v="TA 24"/>
    <s v="BM"/>
  </r>
  <r>
    <s v="EA11254D"/>
    <s v="CM"/>
    <s v="CM"/>
    <x v="8"/>
    <s v="TA 24"/>
    <s v="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8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8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BM"/>
    <s v="BM"/>
    <x v="1"/>
    <s v="BA 34"/>
    <s v="BM"/>
  </r>
  <r>
    <s v="EA11299D"/>
    <s v="BM"/>
    <s v="BM"/>
    <x v="1"/>
    <s v="TA 25"/>
    <s v="BM"/>
  </r>
  <r>
    <s v="EA11301D"/>
    <s v="CM"/>
    <s v="CM"/>
    <x v="8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BM"/>
    <s v="BM"/>
    <x v="1"/>
    <s v="TA 25"/>
    <s v="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2"/>
    <s v="INY"/>
    <s v="ACTINYA"/>
  </r>
  <r>
    <s v="EA11368"/>
    <s v="INYA"/>
    <s v="IAS"/>
    <x v="12"/>
    <s v="INY"/>
    <s v="ACTINYA"/>
  </r>
  <r>
    <s v="EA11369"/>
    <s v="BM"/>
    <s v="BM"/>
    <x v="1"/>
    <s v="LA 08"/>
    <s v="BM"/>
  </r>
  <r>
    <s v="EA11371"/>
    <s v="CM"/>
    <s v="CM"/>
    <x v="8"/>
    <s v="LA 06"/>
    <s v="INACTBM"/>
  </r>
  <r>
    <s v="EA11372"/>
    <s v="CM"/>
    <s v="CM"/>
    <x v="11"/>
    <s v="INY"/>
    <s v="INACTINYA"/>
  </r>
  <r>
    <s v="EA11377D"/>
    <s v="CM"/>
    <s v="CM"/>
    <x v="8"/>
    <s v="CE 10"/>
    <s v="BM"/>
  </r>
  <r>
    <s v="EA11378"/>
    <s v="BM"/>
    <s v="BM"/>
    <x v="1"/>
    <s v="TA 28"/>
    <s v="BM"/>
  </r>
  <r>
    <s v="EA11387D"/>
    <s v="BM"/>
    <s v="BM"/>
    <x v="1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8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CM"/>
    <s v="CM"/>
    <x v="8"/>
    <s v="BA 35"/>
    <s v="BM"/>
  </r>
  <r>
    <s v="EA11592D"/>
    <s v="BM"/>
    <s v="BM"/>
    <x v="1"/>
    <s v="TA 29"/>
    <s v="BM"/>
  </r>
  <r>
    <s v="EA11593D"/>
    <s v="CM"/>
    <s v="CM"/>
    <x v="8"/>
    <s v="TA 27"/>
    <s v="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8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8"/>
    <s v="BA 35"/>
    <s v="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8"/>
    <s v="CA 17"/>
    <s v="INACTBM"/>
  </r>
  <r>
    <s v="EA11611D"/>
    <s v="CM"/>
    <s v="CM"/>
    <x v="8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8"/>
    <s v="PN 30"/>
    <s v="INACTBM"/>
  </r>
  <r>
    <s v="EA11616D"/>
    <s v="CM"/>
    <s v="CM"/>
    <x v="8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8"/>
    <s v="LA 06"/>
    <s v="INACTBM"/>
  </r>
  <r>
    <s v="EA11624D"/>
    <s v="BM"/>
    <s v="BM"/>
    <x v="1"/>
    <s v="CE 10"/>
    <s v="BM"/>
  </r>
  <r>
    <s v="EA11626D"/>
    <s v="CM"/>
    <s v="CM"/>
    <x v="8"/>
    <s v="OR 11"/>
    <s v="INACTBM"/>
  </r>
  <r>
    <s v="EA11627D"/>
    <s v="CM"/>
    <s v="CM"/>
    <x v="8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8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8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BM"/>
  </r>
  <r>
    <s v="EA11667D"/>
    <s v="BM"/>
    <s v="BM"/>
    <x v="1"/>
    <s v="PN 32"/>
    <s v="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BM"/>
    <s v="BM"/>
    <x v="1"/>
    <s v="OR 12"/>
    <s v="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BM"/>
    <s v="BM"/>
    <x v="1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BM"/>
    <s v="BM"/>
    <x v="1"/>
    <s v="TA 24"/>
    <s v="BM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BM"/>
    <s v="BM"/>
    <x v="1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8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8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BM"/>
    <s v="BM"/>
    <x v="1"/>
    <s v="TA 24"/>
    <s v="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BM"/>
    <s v="BM"/>
    <x v="1"/>
    <s v="TA 28"/>
    <s v="BM"/>
  </r>
  <r>
    <s v="EA11879D"/>
    <s v="BM"/>
    <s v="BM"/>
    <x v="1"/>
    <s v="CE 10"/>
    <s v="BM"/>
  </r>
  <r>
    <s v="EA11881D"/>
    <s v="BM"/>
    <s v="BM"/>
    <x v="1"/>
    <s v="ZA 01"/>
    <s v="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BM"/>
    <s v="BM"/>
    <x v="1"/>
    <s v="TA 28"/>
    <s v="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8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BM"/>
    <s v="BM"/>
    <x v="1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BM"/>
    <s v="BM"/>
    <x v="1"/>
    <s v="PN 31"/>
    <s v="BM"/>
  </r>
  <r>
    <s v="EA11984D"/>
    <s v="CM"/>
    <s v="CM"/>
    <x v="8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ACTPETS"/>
  </r>
  <r>
    <s v="PB35"/>
    <s v="PETS"/>
    <s v="SUABTBG"/>
    <x v="3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PETS"/>
    <s v="SUABTBG"/>
    <x v="3"/>
    <s v="SWAB"/>
    <s v="ACTPETS"/>
  </r>
  <r>
    <s v="PB170"/>
    <s v="APA"/>
    <s v="A"/>
    <x v="5"/>
    <s v="ABAND."/>
    <s v="APA_PC"/>
  </r>
  <r>
    <s v="PB171"/>
    <s v="ATA"/>
    <s v="CT"/>
    <x v="2"/>
    <s v="ATA"/>
    <s v="ATAPET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CM"/>
    <s v="CM"/>
    <x v="14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8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CM"/>
    <s v="CM"/>
    <x v="14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TA"/>
    <s v="CT"/>
    <x v="2"/>
    <s v="ATA"/>
    <s v="ATAPET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13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BM"/>
    <s v="BM"/>
    <x v="1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8"/>
    <s v="OR 12"/>
    <s v="INACTBM"/>
  </r>
  <r>
    <s v="PB269"/>
    <s v="CM"/>
    <s v="CM"/>
    <x v="7"/>
    <s v="SWAB"/>
    <s v="IN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7"/>
    <s v="SWAB"/>
    <s v="INACTPETF"/>
  </r>
  <r>
    <s v="PB277"/>
    <s v="PETS"/>
    <s v="SUABTBG"/>
    <x v="3"/>
    <s v="SWAB"/>
    <s v="IN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13"/>
    <s v="ABAND."/>
    <s v="ATAPET"/>
  </r>
  <r>
    <s v="PB282"/>
    <s v="CM"/>
    <s v="CM"/>
    <x v="8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TA"/>
    <s v="CT"/>
    <x v="2"/>
    <s v="ATA"/>
    <s v="ATAPET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TA"/>
    <s v="CT"/>
    <x v="16"/>
    <s v="ATA"/>
    <s v="ATAGAS"/>
  </r>
  <r>
    <s v="PE43"/>
    <s v="ATA"/>
    <s v="CT"/>
    <x v="2"/>
    <s v="ATA"/>
    <s v="ATAPET"/>
  </r>
  <r>
    <s v="PE50"/>
    <s v="BM"/>
    <s v="BM"/>
    <x v="1"/>
    <s v="CA 20"/>
    <s v="BM"/>
  </r>
  <r>
    <s v="PE53"/>
    <s v="ATA"/>
    <s v="CT"/>
    <x v="16"/>
    <s v="ATA"/>
    <s v="ATAGAS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TA"/>
    <s v="CT"/>
    <x v="2"/>
    <s v="ATA"/>
    <s v="ATAPET"/>
  </r>
  <r>
    <s v="PE161"/>
    <s v="BM"/>
    <s v="BM"/>
    <x v="1"/>
    <s v="CA 20"/>
    <s v="BM"/>
  </r>
  <r>
    <s v="PE162"/>
    <s v="CM"/>
    <s v="CM"/>
    <x v="24"/>
    <s v="INY"/>
    <s v="ACTINYG"/>
  </r>
  <r>
    <s v="PE163"/>
    <s v="ATA"/>
    <s v="CT"/>
    <x v="2"/>
    <s v="ATA"/>
    <s v="ATAPET"/>
  </r>
  <r>
    <s v="PE164"/>
    <s v="CM"/>
    <s v="CM"/>
    <x v="24"/>
    <s v="INY"/>
    <s v="ACTINYG"/>
  </r>
  <r>
    <s v="PE165"/>
    <s v="CM"/>
    <s v="CM"/>
    <x v="24"/>
    <s v="INY"/>
    <s v="ACTINYG"/>
  </r>
  <r>
    <s v="PE166"/>
    <s v="PETS"/>
    <s v="SUABTBG"/>
    <x v="3"/>
    <s v="SWAB"/>
    <s v="ACTPETS"/>
  </r>
  <r>
    <s v="PE167"/>
    <s v="ATA"/>
    <s v="CT"/>
    <x v="16"/>
    <s v="ATA"/>
    <s v="ATAGAS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TA"/>
    <s v="CT"/>
    <x v="2"/>
    <s v="ATA"/>
    <s v="ATAPET"/>
  </r>
  <r>
    <s v="PE171"/>
    <s v="CM"/>
    <s v="CM"/>
    <x v="14"/>
    <s v="SWAB"/>
    <s v="INACTPETS"/>
  </r>
  <r>
    <s v="PE172"/>
    <s v="ATA"/>
    <s v="CT"/>
    <x v="2"/>
    <s v="ATA"/>
    <s v="ATAPET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BM"/>
    <s v="BM"/>
    <x v="1"/>
    <s v="LA 09"/>
    <s v="BM"/>
  </r>
  <r>
    <s v="PT3"/>
    <s v="CM"/>
    <s v="CM"/>
    <x v="14"/>
    <s v="SWAB"/>
    <s v="ACTPETS"/>
  </r>
  <r>
    <s v="PT4"/>
    <s v="ATA"/>
    <s v="CT"/>
    <x v="2"/>
    <s v="ATA"/>
    <s v="ATAPET"/>
  </r>
  <r>
    <s v="PT5"/>
    <s v="CM"/>
    <s v="CM"/>
    <x v="8"/>
    <s v="LA 09"/>
    <s v="INACTBM"/>
  </r>
  <r>
    <s v="PT6"/>
    <s v="DPA"/>
    <s v="SECO"/>
    <x v="0"/>
    <s v="ABAND."/>
    <s v="DPAPET"/>
  </r>
  <r>
    <s v="PT7"/>
    <s v="CM"/>
    <s v="CM"/>
    <x v="8"/>
    <s v="LA 09"/>
    <s v="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TA"/>
    <s v="CT"/>
    <x v="2"/>
    <s v="ATA"/>
    <s v="ATAPET"/>
  </r>
  <r>
    <s v="PT17"/>
    <s v="ATA"/>
    <s v="CT"/>
    <x v="2"/>
    <s v="ATA"/>
    <s v="ATAPET"/>
  </r>
  <r>
    <s v="PT18"/>
    <s v="APA"/>
    <s v="A"/>
    <x v="13"/>
    <s v="ABAND."/>
    <s v="ATAPET"/>
  </r>
  <r>
    <s v="PT19"/>
    <s v="ATA"/>
    <s v="CT"/>
    <x v="2"/>
    <s v="ATA"/>
    <s v="ATAPET"/>
  </r>
  <r>
    <s v="PT20"/>
    <s v="APA"/>
    <s v="A"/>
    <x v="13"/>
    <s v="ABAND."/>
    <s v="ATAPET"/>
  </r>
  <r>
    <s v="PT21"/>
    <s v="APA"/>
    <s v="A"/>
    <x v="13"/>
    <s v="ABAND."/>
    <s v="ATAPET"/>
  </r>
  <r>
    <s v="PT22"/>
    <s v="APA"/>
    <s v="A"/>
    <x v="13"/>
    <s v="ABAND."/>
    <s v="ATAPET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13"/>
    <s v="ABAND."/>
    <s v="ATAPET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13"/>
    <s v="ABAND."/>
    <s v="ATAPET"/>
  </r>
  <r>
    <s v="PTE-10"/>
    <s v="ATA"/>
    <s v="CT"/>
    <x v="2"/>
    <s v="ATA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TAPET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TAPET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BCP"/>
    <s v="CP"/>
    <x v="10"/>
    <s v="CA 22"/>
    <s v="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0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TAINY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1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2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TA"/>
    <s v="CT"/>
    <x v="2"/>
    <s v="ATA"/>
    <s v="ATAPET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TAPET"/>
  </r>
  <r>
    <s v="AA1598"/>
    <s v="CM"/>
    <s v="CM"/>
    <x v="7"/>
    <s v="SWAB"/>
    <s v="INACTPETF"/>
  </r>
  <r>
    <s v="AA1599"/>
    <s v="CM"/>
    <s v="CM"/>
    <x v="13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3"/>
    <s v="SWAB"/>
    <s v="INACTPETS"/>
  </r>
  <r>
    <s v="AA1634"/>
    <s v="BM"/>
    <s v="BM"/>
    <x v="1"/>
    <s v="CA 23"/>
    <s v="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TA"/>
    <s v="CT"/>
    <x v="2"/>
    <s v="ATA"/>
    <s v="ATAPET"/>
  </r>
  <r>
    <s v="AA1642"/>
    <s v="APA"/>
    <s v="A"/>
    <x v="8"/>
    <s v="ABAND."/>
    <s v="APA_CNPC"/>
  </r>
  <r>
    <s v="AA1643"/>
    <s v="CM"/>
    <s v="CM"/>
    <x v="11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BM"/>
    <s v="BM"/>
    <x v="1"/>
    <s v="CA 23"/>
    <s v="BM"/>
  </r>
  <r>
    <s v="AA1699"/>
    <s v="INYA"/>
    <s v="IAS"/>
    <x v="12"/>
    <s v="INY"/>
    <s v="IN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TA"/>
    <s v="CT"/>
    <x v="2"/>
    <s v="ATA"/>
    <s v="ATAPET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TA"/>
    <s v="CT"/>
    <x v="2"/>
    <s v="ATA"/>
    <s v="ATAPET"/>
  </r>
  <r>
    <s v="AA1776"/>
    <s v="ATA"/>
    <s v="CT"/>
    <x v="2"/>
    <s v="ATA"/>
    <s v="ATAPET"/>
  </r>
  <r>
    <s v="AA1778"/>
    <s v="APA"/>
    <s v="A"/>
    <x v="8"/>
    <s v="ABAND."/>
    <s v="ATAPET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TA"/>
    <s v="CT"/>
    <x v="2"/>
    <s v="ATA"/>
    <s v="ATAPET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TA"/>
    <s v="CT"/>
    <x v="2"/>
    <s v="ATA"/>
    <s v="ATAPET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CM"/>
    <s v="CM"/>
    <x v="9"/>
    <s v="CA 22"/>
    <s v="INACTBM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TAPET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2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TA"/>
    <s v="CT"/>
    <x v="2"/>
    <s v="ATA"/>
    <s v="ATAPET"/>
  </r>
  <r>
    <s v="AA2019"/>
    <s v="CM"/>
    <s v="CM"/>
    <x v="11"/>
    <s v="INY"/>
    <s v="INACTINYA"/>
  </r>
  <r>
    <s v="AA2043"/>
    <s v="ATA"/>
    <s v="CT"/>
    <x v="15"/>
    <s v="ATA"/>
    <s v="ATAINY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TAPET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TA"/>
    <s v="CT"/>
    <x v="2"/>
    <s v="ATA"/>
    <s v="ATAPET"/>
  </r>
  <r>
    <s v="AA2487"/>
    <s v="APA"/>
    <s v="A"/>
    <x v="8"/>
    <s v="ABAND."/>
    <s v="ATAPET"/>
  </r>
  <r>
    <s v="AA2497"/>
    <s v="ATA"/>
    <s v="CT"/>
    <x v="16"/>
    <s v="ATA"/>
    <s v="ATAGAS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5"/>
    <s v="ABAND."/>
    <s v="APA_PC"/>
  </r>
  <r>
    <s v="AA5716"/>
    <s v="CM"/>
    <s v="CM"/>
    <x v="1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BM"/>
    <s v="BM"/>
    <x v="1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BM"/>
    <s v="BM"/>
    <x v="1"/>
    <s v="CA 17"/>
    <s v="BM"/>
  </r>
  <r>
    <s v="AA5870"/>
    <s v="CM"/>
    <s v="CM"/>
    <x v="13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2"/>
    <s v="INY"/>
    <s v="ACTINYA"/>
  </r>
  <r>
    <s v="AA5926"/>
    <s v="PETF"/>
    <s v="SUABCSG"/>
    <x v="4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TAINY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CM"/>
    <s v="CM"/>
    <x v="7"/>
    <s v="SWAB"/>
    <s v="ACTPETF"/>
  </r>
  <r>
    <s v="AA6000"/>
    <s v="APA"/>
    <s v="A"/>
    <x v="8"/>
    <s v="ABAND."/>
    <s v="ATAINY"/>
  </r>
  <r>
    <s v="AA6003"/>
    <s v="INYA"/>
    <s v="IAS"/>
    <x v="12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0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0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TA"/>
    <s v="CT"/>
    <x v="2"/>
    <s v="ATA"/>
    <s v="ATAPET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BM"/>
    <s v="BM"/>
    <x v="1"/>
    <s v="CA 21"/>
    <s v="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2"/>
    <s v="INY"/>
    <s v="ACTINYA"/>
  </r>
  <r>
    <s v="AA6117"/>
    <s v="PETF"/>
    <s v="SUABCSG"/>
    <x v="4"/>
    <s v="SWAB"/>
    <s v="ACTPETF"/>
  </r>
  <r>
    <s v="AA6121"/>
    <s v="INYA"/>
    <s v="IAS"/>
    <x v="12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2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1"/>
    <s v="INY"/>
    <s v="INACTINYA"/>
  </r>
  <r>
    <s v="AA6192"/>
    <s v="CM"/>
    <s v="CM"/>
    <x v="13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5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BM"/>
    <s v="BM"/>
    <x v="1"/>
    <s v="CA 20"/>
    <s v="BM"/>
  </r>
  <r>
    <s v="AA6328"/>
    <s v="BM"/>
    <s v="BM"/>
    <x v="1"/>
    <s v="CA 21"/>
    <s v="BM"/>
  </r>
  <r>
    <s v="AA6331"/>
    <s v="INYA"/>
    <s v="IAS"/>
    <x v="12"/>
    <s v="INY"/>
    <s v="ACTINYA"/>
  </r>
  <r>
    <s v="AA6338"/>
    <s v="CM"/>
    <s v="CM"/>
    <x v="7"/>
    <s v="SWAB"/>
    <s v="INACTPETF"/>
  </r>
  <r>
    <s v="AA6342"/>
    <s v="CM"/>
    <s v="CM"/>
    <x v="13"/>
    <s v="SWAB"/>
    <s v="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PETS"/>
    <s v="SUABTBG"/>
    <x v="3"/>
    <s v="SWAB"/>
    <s v="INACTPETS"/>
  </r>
  <r>
    <s v="AA6363"/>
    <s v="BM"/>
    <s v="BM"/>
    <x v="1"/>
    <s v="CA 20"/>
    <s v="BM"/>
  </r>
  <r>
    <s v="AA6367"/>
    <s v="INYA"/>
    <s v="IAS"/>
    <x v="12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3"/>
    <s v="SWAB"/>
    <s v="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INYA"/>
    <s v="IAS"/>
    <x v="12"/>
    <s v="INY"/>
    <s v="ACTINYA"/>
  </r>
  <r>
    <s v="AA6377"/>
    <s v="ATA"/>
    <s v="CT"/>
    <x v="16"/>
    <s v="ATA"/>
    <s v="ATAGAS"/>
  </r>
  <r>
    <s v="AA6378"/>
    <s v="BM"/>
    <s v="BM"/>
    <x v="1"/>
    <s v="CA 21"/>
    <s v="BM"/>
  </r>
  <r>
    <s v="AA6379"/>
    <s v="CM"/>
    <s v="CM"/>
    <x v="11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TA"/>
    <s v="CT"/>
    <x v="2"/>
    <s v="ATA"/>
    <s v="ATAPET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2"/>
    <s v="INY"/>
    <s v="ACTINYA"/>
  </r>
  <r>
    <s v="AA6461"/>
    <s v="CM"/>
    <s v="CM"/>
    <x v="11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1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2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1"/>
    <s v="INY"/>
    <s v="INACTINYA"/>
  </r>
  <r>
    <s v="AA6761"/>
    <s v="BM"/>
    <s v="BM"/>
    <x v="1"/>
    <s v="CA 20"/>
    <s v="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8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BM"/>
    <s v="BM"/>
    <x v="1"/>
    <s v="CA 21"/>
    <s v="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INACTPETF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BM"/>
    <s v="BM"/>
    <x v="1"/>
    <s v="CA 16"/>
    <s v="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TAPET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0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9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BM"/>
    <s v="BM"/>
    <x v="1"/>
    <s v="CA 21"/>
    <s v="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INYA"/>
    <s v="IAS"/>
    <x v="12"/>
    <s v="INY"/>
    <s v="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0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9"/>
    <s v="CA 22"/>
    <s v="INACTBCP"/>
  </r>
  <r>
    <s v="AA9124"/>
    <s v="APA"/>
    <s v="A"/>
    <x v="5"/>
    <s v="ABAND."/>
    <s v="APA_PC"/>
  </r>
  <r>
    <s v="AA9126"/>
    <s v="CM"/>
    <s v="CM"/>
    <x v="11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INACTBM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TA"/>
    <s v="CT"/>
    <x v="2"/>
    <s v="ATA"/>
    <s v="ATAPET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INYA"/>
    <s v="IAS"/>
    <x v="12"/>
    <s v="INY"/>
    <s v="ACTINYA"/>
  </r>
  <r>
    <s v="AA9159"/>
    <s v="BM"/>
    <s v="BM"/>
    <x v="1"/>
    <s v="CA 22"/>
    <s v="BM"/>
  </r>
  <r>
    <s v="AA9161"/>
    <s v="BCP"/>
    <s v="CP"/>
    <x v="10"/>
    <s v="CA 22"/>
    <s v="BCP"/>
  </r>
  <r>
    <s v="AA9162"/>
    <s v="CM"/>
    <s v="CM"/>
    <x v="11"/>
    <s v="INY"/>
    <s v="INACTINYA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TA"/>
    <s v="CT"/>
    <x v="2"/>
    <s v="ATA"/>
    <s v="ATAPET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TA"/>
    <s v="CT"/>
    <x v="2"/>
    <s v="ATA"/>
    <s v="ATAPET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1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0"/>
    <s v="CA 23"/>
    <s v="BCP"/>
  </r>
  <r>
    <s v="AA9357"/>
    <s v="BCP"/>
    <s v="CP"/>
    <x v="10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TA"/>
    <s v="CT"/>
    <x v="2"/>
    <s v="ATA"/>
    <s v="ATAPET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PETF"/>
    <s v="SUABCSG"/>
    <x v="4"/>
    <s v="SWAB"/>
    <s v="ACTPETF"/>
  </r>
  <r>
    <s v="AA9368"/>
    <s v="ATA"/>
    <s v="CT"/>
    <x v="15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CM"/>
    <s v="CM"/>
    <x v="9"/>
    <s v="CA 23"/>
    <s v="INACTBM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TA"/>
    <s v="CT"/>
    <x v="15"/>
    <s v="ATA"/>
    <s v="ATAINY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TA"/>
    <s v="CT"/>
    <x v="2"/>
    <s v="ATA"/>
    <s v="ATAPET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2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1"/>
    <s v="INY"/>
    <s v="INACTINYA"/>
  </r>
  <r>
    <s v="AA9974"/>
    <s v="APA"/>
    <s v="A"/>
    <x v="5"/>
    <s v="ABAND."/>
    <s v="APA_PC"/>
  </r>
  <r>
    <s v="AA9976"/>
    <s v="INYA"/>
    <s v="IAS"/>
    <x v="12"/>
    <s v="INY"/>
    <s v="ACTINYA"/>
  </r>
  <r>
    <s v="AA9977"/>
    <s v="APA"/>
    <s v="A"/>
    <x v="5"/>
    <s v="ABAND."/>
    <s v="APA_PC"/>
  </r>
  <r>
    <s v="AA9978"/>
    <s v="ATA"/>
    <s v="CT"/>
    <x v="2"/>
    <s v="ATA"/>
    <s v="ATAPET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BO"/>
    <s v="BO"/>
    <x v="17"/>
    <s v="CA 22"/>
    <s v="BO"/>
  </r>
  <r>
    <s v="AA9988"/>
    <s v="APA"/>
    <s v="A"/>
    <x v="20"/>
    <s v="ABAND."/>
    <s v="APA_PB"/>
  </r>
  <r>
    <s v="AA9989"/>
    <s v="CM"/>
    <s v="CM"/>
    <x v="11"/>
    <s v="INY"/>
    <s v="INACTINYA"/>
  </r>
  <r>
    <s v="AA9991"/>
    <s v="CM"/>
    <s v="CM"/>
    <x v="11"/>
    <s v="INY"/>
    <s v="INACTINYA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PETF"/>
    <s v="SUABCSG"/>
    <x v="4"/>
    <s v="SWAB"/>
    <s v="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1"/>
    <s v="INY"/>
    <s v="INACTINYA"/>
  </r>
  <r>
    <s v="AA10209"/>
    <s v="INYA"/>
    <s v="IAS"/>
    <x v="12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BM"/>
    <s v="BM"/>
    <x v="1"/>
    <s v="CA 17"/>
    <s v="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BM"/>
    <s v="BM"/>
    <x v="1"/>
    <s v="CA 21"/>
    <s v="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BM"/>
    <s v="BM"/>
    <x v="1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BM"/>
    <s v="BM"/>
    <x v="1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TA"/>
    <s v="CT"/>
    <x v="16"/>
    <s v="ATA"/>
    <s v="ATAGAS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TA"/>
    <s v="CT"/>
    <x v="2"/>
    <s v="ATA"/>
    <s v="ATAPET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3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3"/>
    <s v="SWAB"/>
    <s v="INACTPETS"/>
  </r>
  <r>
    <s v="EA107"/>
    <s v="APA"/>
    <s v="A"/>
    <x v="5"/>
    <s v="ABAND."/>
    <s v="APA_PC"/>
  </r>
  <r>
    <s v="EA108"/>
    <s v="PETS"/>
    <s v="SUABTBG"/>
    <x v="3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TA"/>
    <s v="CT"/>
    <x v="2"/>
    <s v="ATA"/>
    <s v="ATAPET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3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1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3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TA"/>
    <s v="CT"/>
    <x v="2"/>
    <s v="ATA"/>
    <s v="ATAPET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3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8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3"/>
    <s v="SWAB"/>
    <s v="INACTPETS"/>
  </r>
  <r>
    <s v="EA417"/>
    <s v="CM"/>
    <s v="CM"/>
    <x v="18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3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PETS"/>
    <s v="SUABTBG"/>
    <x v="3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8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3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3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PETS"/>
    <s v="SUABTBG"/>
    <x v="3"/>
    <s v="SWAB"/>
    <s v="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3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PETS"/>
    <s v="SUABTBG"/>
    <x v="3"/>
    <s v="SWAB"/>
    <s v="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3"/>
    <s v="SWAB"/>
    <s v="INACTPETS"/>
  </r>
  <r>
    <s v="EA696"/>
    <s v="CM"/>
    <s v="CM"/>
    <x v="13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3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TA"/>
    <s v="CT"/>
    <x v="2"/>
    <s v="ATA"/>
    <s v="ATAPET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TA"/>
    <s v="CT"/>
    <x v="2"/>
    <s v="ATA"/>
    <s v="ATAPET"/>
  </r>
  <r>
    <s v="EA771"/>
    <s v="CM"/>
    <s v="CM"/>
    <x v="13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PETS"/>
    <s v="SUABTBG"/>
    <x v="3"/>
    <s v="SWAB"/>
    <s v="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3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3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BM"/>
    <s v="BM"/>
    <x v="1"/>
    <s v="OR 12"/>
    <s v="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CM"/>
    <s v="CM"/>
    <x v="9"/>
    <s v="ZA 01"/>
    <s v="INACTBM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CM"/>
    <s v="CM"/>
    <x v="13"/>
    <s v="SWAB"/>
    <s v="IN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BM"/>
    <s v="BM"/>
    <x v="1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TA"/>
    <s v="CT"/>
    <x v="2"/>
    <s v="ATA"/>
    <s v="ATAPET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TA"/>
    <s v="CT"/>
    <x v="2"/>
    <s v="ATA"/>
    <s v="ATAPET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TAPET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2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IN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9"/>
    <s v="BA 35"/>
    <s v="BM"/>
  </r>
  <r>
    <s v="EA1285"/>
    <s v="ATA"/>
    <s v="CT"/>
    <x v="2"/>
    <s v="ATA"/>
    <s v="ATAPET"/>
  </r>
  <r>
    <s v="EA1286"/>
    <s v="PETS"/>
    <s v="SUABTBG"/>
    <x v="3"/>
    <s v="SWAB"/>
    <s v="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PETF"/>
    <s v="SUABCSG"/>
    <x v="4"/>
    <s v="SWAB"/>
    <s v="ACTPETF"/>
  </r>
  <r>
    <s v="EA1293"/>
    <s v="PETS"/>
    <s v="SUABTBG"/>
    <x v="3"/>
    <s v="SWAB"/>
    <s v="ACTPETS"/>
  </r>
  <r>
    <s v="EA1294"/>
    <s v="CM"/>
    <s v="CM"/>
    <x v="11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PETF"/>
    <s v="SUABCSG"/>
    <x v="4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TA"/>
    <s v="CT"/>
    <x v="2"/>
    <s v="ATA"/>
    <s v="ATAPET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TA"/>
    <s v="CT"/>
    <x v="2"/>
    <s v="ATA"/>
    <s v="ATAPET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5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5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TA"/>
    <s v="CT"/>
    <x v="2"/>
    <s v="ATA"/>
    <s v="ATAPET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BM"/>
    <s v="BM"/>
    <x v="1"/>
    <s v="CE 10"/>
    <s v="BM"/>
  </r>
  <r>
    <s v="EA1538"/>
    <s v="BM"/>
    <s v="BM"/>
    <x v="1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8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CM"/>
    <s v="CM"/>
    <x v="13"/>
    <s v="SWAB"/>
    <s v="IN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BM"/>
    <s v="BM"/>
    <x v="1"/>
    <s v="TA 25"/>
    <s v="BM"/>
  </r>
  <r>
    <s v="EA1588"/>
    <s v="BM"/>
    <s v="BM"/>
    <x v="1"/>
    <s v="TA 25"/>
    <s v="BM"/>
  </r>
  <r>
    <s v="EA1589"/>
    <s v="CM"/>
    <s v="CM"/>
    <x v="13"/>
    <s v="SWAB"/>
    <s v="IN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INACTPETF"/>
  </r>
  <r>
    <s v="EA1611"/>
    <s v="CM"/>
    <s v="CM"/>
    <x v="1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1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BM"/>
    <s v="BM"/>
    <x v="1"/>
    <s v="PN 33"/>
    <s v="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3"/>
    <s v="SWAB"/>
    <s v="INACTPETS"/>
  </r>
  <r>
    <s v="EA1636"/>
    <s v="APA"/>
    <s v="A"/>
    <x v="5"/>
    <s v="ABAND."/>
    <s v="APA_PC"/>
  </r>
  <r>
    <s v="EA1637"/>
    <s v="BM"/>
    <s v="BM"/>
    <x v="1"/>
    <s v="PN 33"/>
    <s v="BM"/>
  </r>
  <r>
    <s v="EA1640"/>
    <s v="APA"/>
    <s v="A"/>
    <x v="5"/>
    <s v="ABAND."/>
    <s v="APA_PC"/>
  </r>
  <r>
    <s v="EA1646"/>
    <s v="BM"/>
    <s v="BM"/>
    <x v="1"/>
    <s v="BA 34"/>
    <s v="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8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TAPET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BM"/>
  </r>
  <r>
    <s v="EA1715"/>
    <s v="ATA"/>
    <s v="CT"/>
    <x v="2"/>
    <s v="ATA"/>
    <s v="ATAPET"/>
  </r>
  <r>
    <s v="EA1717"/>
    <s v="CM"/>
    <s v="CM"/>
    <x v="13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CM"/>
    <s v="CM"/>
    <x v="13"/>
    <s v="SWAB"/>
    <s v="INACTPETS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TA"/>
    <s v="CT"/>
    <x v="2"/>
    <s v="ATA"/>
    <s v="ATAPET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BM"/>
  </r>
  <r>
    <s v="EA1861"/>
    <s v="BM"/>
    <s v="BM"/>
    <x v="1"/>
    <s v="OR 11"/>
    <s v="BM"/>
  </r>
  <r>
    <s v="EA1865"/>
    <s v="BM"/>
    <s v="BM"/>
    <x v="1"/>
    <s v="TA 28"/>
    <s v="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2"/>
    <s v="PN 30"/>
    <s v="GL"/>
  </r>
  <r>
    <s v="EA1875"/>
    <s v="INYA"/>
    <s v="IAS"/>
    <x v="12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BM"/>
    <s v="BM"/>
    <x v="1"/>
    <s v="OR 12"/>
    <s v="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BM"/>
  </r>
  <r>
    <s v="EA1917"/>
    <s v="CM"/>
    <s v="CM"/>
    <x v="9"/>
    <s v="PN 33"/>
    <s v="INACTBM"/>
  </r>
  <r>
    <s v="EA1918"/>
    <s v="PETF"/>
    <s v="SUABCSG"/>
    <x v="4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8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5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TA"/>
    <s v="CT"/>
    <x v="2"/>
    <s v="ATA"/>
    <s v="ATAPET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PETS"/>
    <s v="SUABTBG"/>
    <x v="3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BM"/>
    <s v="BM"/>
    <x v="1"/>
    <s v="TA 24"/>
    <s v="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1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8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1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2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1"/>
    <s v="INY"/>
    <s v="INACTINYA"/>
  </r>
  <r>
    <s v="EA2144P"/>
    <s v="BM"/>
    <s v="BM"/>
    <x v="1"/>
    <s v="TA 29"/>
    <s v="BM"/>
  </r>
  <r>
    <s v="EA2146"/>
    <s v="INYA"/>
    <s v="IAS"/>
    <x v="12"/>
    <s v="INY"/>
    <s v="ACTINYA"/>
  </r>
  <r>
    <s v="EA2147"/>
    <s v="CM"/>
    <s v="CM"/>
    <x v="11"/>
    <s v="INY"/>
    <s v="INACTINYA"/>
  </r>
  <r>
    <s v="EA2148"/>
    <s v="CM"/>
    <s v="CM"/>
    <x v="11"/>
    <s v="INY"/>
    <s v="INACTINYA"/>
  </r>
  <r>
    <s v="EA2149"/>
    <s v="BM"/>
    <s v="BM"/>
    <x v="1"/>
    <s v="BA 35"/>
    <s v="BM"/>
  </r>
  <r>
    <s v="EA2151"/>
    <s v="CM"/>
    <s v="CM"/>
    <x v="11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5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2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3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PL"/>
    <s v="PL"/>
    <x v="21"/>
    <s v="PN 30"/>
    <s v="PL"/>
  </r>
  <r>
    <s v="EA2233P"/>
    <s v="ATA"/>
    <s v="CT"/>
    <x v="2"/>
    <s v="ATA"/>
    <s v="ATAPET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CM"/>
    <s v="CM"/>
    <x v="9"/>
    <s v="OR 11"/>
    <s v="INACT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2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2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2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9"/>
    <s v="LA 06"/>
    <s v="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3"/>
    <s v="SWAB"/>
    <s v="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2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2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PETF"/>
    <s v="SUABCSG"/>
    <x v="4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BM"/>
    <s v="BM"/>
    <x v="1"/>
    <s v="LA 06"/>
    <s v="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BM"/>
  </r>
  <r>
    <s v="EA2394"/>
    <s v="BM"/>
    <s v="BM"/>
    <x v="1"/>
    <s v="TA 25"/>
    <s v="BM"/>
  </r>
  <r>
    <s v="EA2396"/>
    <s v="CM"/>
    <s v="CM"/>
    <x v="1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CM"/>
    <s v="CM"/>
    <x v="7"/>
    <s v="SWAB"/>
    <s v="IN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9"/>
    <s v="LA 06"/>
    <s v="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5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TA"/>
    <s v="CT"/>
    <x v="2"/>
    <s v="ATA"/>
    <s v="ATAPET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CM"/>
    <s v="CM"/>
    <x v="9"/>
    <s v="PN 33"/>
    <s v="INACT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CM"/>
    <s v="CM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5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BM"/>
    <s v="BM"/>
    <x v="1"/>
    <s v="PN 31"/>
    <s v="BM"/>
  </r>
  <r>
    <s v="EA5637"/>
    <s v="CM"/>
    <s v="CM"/>
    <x v="13"/>
    <s v="SWAB"/>
    <s v="ACTPETS"/>
  </r>
  <r>
    <s v="EA5638"/>
    <s v="DPA"/>
    <s v="SECO"/>
    <x v="0"/>
    <s v="ABAND."/>
    <s v="DPAPET"/>
  </r>
  <r>
    <s v="EA5639"/>
    <s v="BM"/>
    <s v="BM"/>
    <x v="1"/>
    <s v="OR 11"/>
    <s v="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BM"/>
    <s v="BM"/>
    <x v="1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BM"/>
    <s v="BM"/>
    <x v="1"/>
    <s v="OR 11"/>
    <s v="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BM"/>
    <s v="BM"/>
    <x v="1"/>
    <s v="BA 34"/>
    <s v="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BM"/>
    <s v="BM"/>
    <x v="1"/>
    <s v="OR 11"/>
    <s v="BM"/>
  </r>
  <r>
    <s v="EA5763"/>
    <s v="CM"/>
    <s v="CM"/>
    <x v="9"/>
    <s v="OR 11"/>
    <s v="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BM"/>
    <s v="BM"/>
    <x v="1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BM"/>
    <s v="BM"/>
    <x v="1"/>
    <s v="TA 28"/>
    <s v="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ACTPETF"/>
  </r>
  <r>
    <s v="EA5857"/>
    <s v="INYA"/>
    <s v="IAS"/>
    <x v="12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PETS"/>
    <s v="SUABTBG"/>
    <x v="3"/>
    <s v="SWAB"/>
    <s v="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PETS"/>
    <s v="SUABTBG"/>
    <x v="3"/>
    <s v="SWAB"/>
    <s v="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5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1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TA"/>
    <s v="CT"/>
    <x v="2"/>
    <s v="ATA"/>
    <s v="ATAPET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TAPET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PETS"/>
    <s v="SUABTBG"/>
    <x v="3"/>
    <s v="SWAB"/>
    <s v="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CM"/>
    <s v="CM"/>
    <x v="25"/>
    <s v="PN 30"/>
    <s v="INACTGL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CM"/>
    <s v="CM"/>
    <x v="13"/>
    <s v="SWAB"/>
    <s v="IN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3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BM"/>
    <s v="BM"/>
    <x v="1"/>
    <s v="OR 11"/>
    <s v="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CM"/>
    <s v="CM"/>
    <x v="13"/>
    <s v="SWAB"/>
    <s v="IN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TA"/>
    <s v="CT"/>
    <x v="2"/>
    <s v="ATA"/>
    <s v="ATAPET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BM"/>
    <s v="BM"/>
    <x v="1"/>
    <s v="ZA 04"/>
    <s v="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3"/>
    <s v="SWAB"/>
    <s v="INACTPETS"/>
  </r>
  <r>
    <s v="EA6238"/>
    <s v="CM"/>
    <s v="CM"/>
    <x v="9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BM"/>
    <s v="BM"/>
    <x v="1"/>
    <s v="LA 06"/>
    <s v="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PETS"/>
    <s v="SUABTBG"/>
    <x v="3"/>
    <s v="SWAB"/>
    <s v="ACTPETS"/>
  </r>
  <r>
    <s v="EA6278"/>
    <s v="CM"/>
    <s v="CM"/>
    <x v="13"/>
    <s v="SWAB"/>
    <s v="INACTPETS"/>
  </r>
  <r>
    <s v="EA6279"/>
    <s v="CM"/>
    <s v="CM"/>
    <x v="7"/>
    <s v="SWAB"/>
    <s v="IN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BM"/>
    <s v="BM"/>
    <x v="1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BM"/>
    <s v="BM"/>
    <x v="1"/>
    <s v="TA 25"/>
    <s v="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CM"/>
    <s v="CM"/>
    <x v="18"/>
    <s v="PN 30"/>
    <s v="INACTPL"/>
  </r>
  <r>
    <s v="EA6524"/>
    <s v="DPA"/>
    <s v="SECO"/>
    <x v="0"/>
    <s v="ABAND."/>
    <s v="DPAPET"/>
  </r>
  <r>
    <s v="EA6526"/>
    <s v="CM"/>
    <s v="CM"/>
    <x v="18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TA"/>
    <s v="CT"/>
    <x v="2"/>
    <s v="ATA"/>
    <s v="ATAPET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CM"/>
    <s v="CM"/>
    <x v="9"/>
    <s v="PN 33"/>
    <s v="INACT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1"/>
    <s v="INY"/>
    <s v="INACTINYA"/>
  </r>
  <r>
    <s v="EA6601"/>
    <s v="BM"/>
    <s v="BM"/>
    <x v="1"/>
    <s v="PN 32"/>
    <s v="BM"/>
  </r>
  <r>
    <s v="EA6602"/>
    <s v="BM"/>
    <s v="BM"/>
    <x v="1"/>
    <s v="PN 32"/>
    <s v="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BM"/>
    <s v="BM"/>
    <x v="1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BM"/>
    <s v="BM"/>
    <x v="1"/>
    <s v="TA 25"/>
    <s v="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PETF"/>
    <s v="SUABCSG"/>
    <x v="4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BM"/>
    <s v="BM"/>
    <x v="1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INACTPETS"/>
  </r>
  <r>
    <s v="EA6854"/>
    <s v="CM"/>
    <s v="CM"/>
    <x v="13"/>
    <s v="SWAB"/>
    <s v="IN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BM"/>
    <s v="BM"/>
    <x v="1"/>
    <s v="OR 11"/>
    <s v="BM"/>
  </r>
  <r>
    <s v="EA6931"/>
    <s v="BM"/>
    <s v="BM"/>
    <x v="1"/>
    <s v="TA 24"/>
    <s v="BM"/>
  </r>
  <r>
    <s v="EA7001"/>
    <s v="CM"/>
    <s v="CM"/>
    <x v="14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ACTPETF"/>
  </r>
  <r>
    <s v="EA7018"/>
    <s v="CM"/>
    <s v="CM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5"/>
    <s v="ATA"/>
    <s v="ATAINY"/>
  </r>
  <r>
    <s v="EA7047"/>
    <s v="CM"/>
    <s v="CM"/>
    <x v="11"/>
    <s v="INY"/>
    <s v="IN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1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CM"/>
    <s v="CM"/>
    <x v="9"/>
    <s v="ZA 03"/>
    <s v="INACT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1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BM"/>
  </r>
  <r>
    <s v="EA7119"/>
    <s v="BM"/>
    <s v="BM"/>
    <x v="1"/>
    <s v="LA 06"/>
    <s v="BM"/>
  </r>
  <r>
    <s v="EA7121"/>
    <s v="PETF"/>
    <s v="SUABCSG"/>
    <x v="4"/>
    <s v="SWAB"/>
    <s v="IN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3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CM"/>
    <s v="CM"/>
    <x v="9"/>
    <s v="TA 27"/>
    <s v="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BM"/>
    <s v="BM"/>
    <x v="1"/>
    <s v="BA 34"/>
    <s v="BM"/>
  </r>
  <r>
    <s v="EA7226"/>
    <s v="BM"/>
    <s v="BM"/>
    <x v="1"/>
    <s v="BA 34"/>
    <s v="BM"/>
  </r>
  <r>
    <s v="EA7227"/>
    <s v="BM"/>
    <s v="BM"/>
    <x v="1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CM"/>
    <s v="CM"/>
    <x v="9"/>
    <s v="PN 31"/>
    <s v="INACTBM"/>
  </r>
  <r>
    <s v="EA7256"/>
    <s v="BM"/>
    <s v="BM"/>
    <x v="1"/>
    <s v="BA 34"/>
    <s v="BM"/>
  </r>
  <r>
    <s v="EA7261"/>
    <s v="PETS"/>
    <s v="SUABTBG"/>
    <x v="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TA"/>
    <s v="CT"/>
    <x v="2"/>
    <s v="ATA"/>
    <s v="ATAPET"/>
  </r>
  <r>
    <s v="EA7301"/>
    <s v="CM"/>
    <s v="CM"/>
    <x v="9"/>
    <s v="BA 34"/>
    <s v="INACTBM"/>
  </r>
  <r>
    <s v="EA7304D"/>
    <s v="BM"/>
    <s v="BM"/>
    <x v="1"/>
    <s v="PN 30"/>
    <s v="BM"/>
  </r>
  <r>
    <s v="EA7306D"/>
    <s v="CM"/>
    <s v="CM"/>
    <x v="18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0"/>
    <s v="TA 25"/>
    <s v="BCP"/>
  </r>
  <r>
    <s v="EA7378"/>
    <s v="ATA"/>
    <s v="CT"/>
    <x v="2"/>
    <s v="ATA"/>
    <s v="ATAPET"/>
  </r>
  <r>
    <s v="EA7382"/>
    <s v="BM"/>
    <s v="BM"/>
    <x v="1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BM"/>
    <s v="BM"/>
    <x v="1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5"/>
    <s v="ATA"/>
    <s v="ATAINY"/>
  </r>
  <r>
    <s v="EA7553"/>
    <s v="BM"/>
    <s v="BM"/>
    <x v="1"/>
    <s v="PN 31"/>
    <s v="BM"/>
  </r>
  <r>
    <s v="EA7557D"/>
    <s v="PL"/>
    <s v="PL"/>
    <x v="21"/>
    <s v="PN 30"/>
    <s v="PL"/>
  </r>
  <r>
    <s v="EA7558"/>
    <s v="CM"/>
    <s v="CM"/>
    <x v="18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BM"/>
    <s v="BM"/>
    <x v="1"/>
    <s v="LA 07"/>
    <s v="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BM"/>
    <s v="BM"/>
    <x v="1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BM"/>
    <s v="BM"/>
    <x v="1"/>
    <s v="TA 25"/>
    <s v="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PETS"/>
    <s v="SUABTBG"/>
    <x v="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8"/>
    <s v="PN 30"/>
    <s v="INACTPL"/>
  </r>
  <r>
    <s v="EA7899"/>
    <s v="CM"/>
    <s v="CM"/>
    <x v="18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ACTPETS"/>
  </r>
  <r>
    <s v="EA7933"/>
    <s v="CM"/>
    <s v="CM"/>
    <x v="18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8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2"/>
    <s v="INY"/>
    <s v="ACTINYA"/>
  </r>
  <r>
    <s v="EA8007"/>
    <s v="INYA"/>
    <s v="IAS"/>
    <x v="12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2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BM"/>
    <s v="BM"/>
    <x v="1"/>
    <s v="TA 28"/>
    <s v="BM"/>
  </r>
  <r>
    <s v="EA8049"/>
    <s v="INYA"/>
    <s v="IAS"/>
    <x v="12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1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BM"/>
    <s v="BM"/>
    <x v="1"/>
    <s v="BA 35"/>
    <s v="BM"/>
  </r>
  <r>
    <s v="EA8112D"/>
    <s v="CM"/>
    <s v="CM"/>
    <x v="11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BM"/>
    <s v="BM"/>
    <x v="1"/>
    <s v="PN 30"/>
    <s v="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BM"/>
    <s v="BM"/>
    <x v="1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BM"/>
    <s v="BM"/>
    <x v="1"/>
    <s v="TA 25"/>
    <s v="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BM"/>
    <s v="BM"/>
    <x v="1"/>
    <s v="PN 32"/>
    <s v="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BM"/>
    <s v="BM"/>
    <x v="1"/>
    <s v="CE 10"/>
    <s v="BM"/>
  </r>
  <r>
    <s v="EA8288"/>
    <s v="PETS"/>
    <s v="SUABTBG"/>
    <x v="3"/>
    <s v="SWAB"/>
    <s v="ACTPETS"/>
  </r>
  <r>
    <s v="EA8291"/>
    <s v="CM"/>
    <s v="CM"/>
    <x v="9"/>
    <s v="TA 27"/>
    <s v="INACTBM"/>
  </r>
  <r>
    <s v="EA8293"/>
    <s v="BM"/>
    <s v="BM"/>
    <x v="1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2"/>
    <s v="INY"/>
    <s v="ACTINYA"/>
  </r>
  <r>
    <s v="EA8303"/>
    <s v="BM"/>
    <s v="BM"/>
    <x v="1"/>
    <s v="LA 08"/>
    <s v="BM"/>
  </r>
  <r>
    <s v="EA8304"/>
    <s v="INYA"/>
    <s v="IAS"/>
    <x v="12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BM"/>
    <s v="BM"/>
    <x v="1"/>
    <s v="CE 10"/>
    <s v="BM"/>
  </r>
  <r>
    <s v="EA8318"/>
    <s v="BM"/>
    <s v="BM"/>
    <x v="1"/>
    <s v="ZA 02"/>
    <s v="BM"/>
  </r>
  <r>
    <s v="EA8319"/>
    <s v="CM"/>
    <s v="CM"/>
    <x v="11"/>
    <s v="INY"/>
    <s v="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BM"/>
    <s v="BM"/>
    <x v="1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BM"/>
    <s v="BM"/>
    <x v="1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BM"/>
    <s v="BM"/>
    <x v="1"/>
    <s v="PN 33"/>
    <s v="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BM"/>
    <s v="BM"/>
    <x v="1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BM"/>
    <s v="BM"/>
    <x v="1"/>
    <s v="PN 31"/>
    <s v="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INYA"/>
    <s v="IAS"/>
    <x v="12"/>
    <s v="INY"/>
    <s v="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BM"/>
    <s v="BM"/>
    <x v="1"/>
    <s v="BA 35"/>
    <s v="BM"/>
  </r>
  <r>
    <s v="EA8534"/>
    <s v="BM"/>
    <s v="BM"/>
    <x v="1"/>
    <s v="BA 35"/>
    <s v="BM"/>
  </r>
  <r>
    <s v="EA8536"/>
    <s v="BM"/>
    <s v="BM"/>
    <x v="1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BM"/>
    <s v="BM"/>
    <x v="1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BM"/>
    <s v="BM"/>
    <x v="1"/>
    <s v="TA 27"/>
    <s v="BM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BM"/>
    <s v="BM"/>
    <x v="1"/>
    <s v="BA 35"/>
    <s v="BM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BM"/>
    <s v="BM"/>
    <x v="1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PETS"/>
    <s v="SUABTBG"/>
    <x v="3"/>
    <s v="SWAB"/>
    <s v="INACTPETS"/>
  </r>
  <r>
    <s v="EA8576"/>
    <s v="BM"/>
    <s v="BM"/>
    <x v="1"/>
    <s v="TA 27"/>
    <s v="BM"/>
  </r>
  <r>
    <s v="EA8577"/>
    <s v="BM"/>
    <s v="BM"/>
    <x v="1"/>
    <s v="BA 35"/>
    <s v="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BM"/>
    <s v="BM"/>
    <x v="1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BM"/>
  </r>
  <r>
    <s v="EA8624"/>
    <s v="BM"/>
    <s v="BM"/>
    <x v="1"/>
    <s v="BA 35"/>
    <s v="BM"/>
  </r>
  <r>
    <s v="EA8626"/>
    <s v="BM"/>
    <s v="BM"/>
    <x v="1"/>
    <s v="PN 32"/>
    <s v="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CM"/>
    <s v="CM"/>
    <x v="9"/>
    <s v="PN 33"/>
    <s v="INACT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BM"/>
    <s v="BM"/>
    <x v="1"/>
    <s v="PN 32"/>
    <s v="BM"/>
  </r>
  <r>
    <s v="EA8668"/>
    <s v="BM"/>
    <s v="BM"/>
    <x v="1"/>
    <s v="PN 30"/>
    <s v="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BM"/>
  </r>
  <r>
    <s v="EA8701"/>
    <s v="BM"/>
    <s v="BM"/>
    <x v="1"/>
    <s v="BA 34"/>
    <s v="BM"/>
  </r>
  <r>
    <s v="EA8703"/>
    <s v="BM"/>
    <s v="BM"/>
    <x v="1"/>
    <s v="OR 11"/>
    <s v="BM"/>
  </r>
  <r>
    <s v="EA8704"/>
    <s v="BM"/>
    <s v="BM"/>
    <x v="1"/>
    <s v="TA 25"/>
    <s v="BM"/>
  </r>
  <r>
    <s v="EA8706"/>
    <s v="CM"/>
    <s v="CM"/>
    <x v="9"/>
    <s v="BA 34"/>
    <s v="INACTBM"/>
  </r>
  <r>
    <s v="EA8707"/>
    <s v="BM"/>
    <s v="BM"/>
    <x v="1"/>
    <s v="BA 34"/>
    <s v="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BM"/>
    <s v="BM"/>
    <x v="1"/>
    <s v="BA 34"/>
    <s v="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BM"/>
    <s v="BM"/>
    <x v="1"/>
    <s v="BA 35"/>
    <s v="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BM"/>
    <s v="BM"/>
    <x v="1"/>
    <s v="BA 35"/>
    <s v="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BM"/>
    <s v="BM"/>
    <x v="1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BM"/>
    <s v="BM"/>
    <x v="1"/>
    <s v="BA 34"/>
    <s v="BM"/>
  </r>
  <r>
    <s v="EA8809"/>
    <s v="BM"/>
    <s v="BM"/>
    <x v="1"/>
    <s v="CE 10"/>
    <s v="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BM"/>
    <s v="BM"/>
    <x v="1"/>
    <s v="TA 27"/>
    <s v="BM"/>
  </r>
  <r>
    <s v="EA8826D"/>
    <s v="CM"/>
    <s v="CM"/>
    <x v="9"/>
    <s v="PN 31"/>
    <s v="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BM"/>
    <s v="BM"/>
    <x v="1"/>
    <s v="BA 34"/>
    <s v="BM"/>
  </r>
  <r>
    <s v="EA8866"/>
    <s v="BM"/>
    <s v="BM"/>
    <x v="1"/>
    <s v="BA 35"/>
    <s v="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BM"/>
    <s v="BM"/>
    <x v="1"/>
    <s v="BA 35"/>
    <s v="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BM"/>
    <s v="BM"/>
    <x v="1"/>
    <s v="PN 31"/>
    <s v="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BM"/>
    <s v="BM"/>
    <x v="1"/>
    <s v="TA 27"/>
    <s v="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BM"/>
    <s v="BM"/>
    <x v="1"/>
    <s v="PN 32"/>
    <s v="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BM"/>
    <s v="BM"/>
    <x v="1"/>
    <s v="PN 30"/>
    <s v="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PETF"/>
    <s v="SUABCSG"/>
    <x v="4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2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1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9"/>
    <s v="CE 10"/>
    <s v="INACTBCP"/>
  </r>
  <r>
    <s v="EA9037"/>
    <s v="ATA"/>
    <s v="CT"/>
    <x v="15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1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3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BM"/>
  </r>
  <r>
    <s v="EA9071"/>
    <s v="APA"/>
    <s v="A"/>
    <x v="5"/>
    <s v="ABAND."/>
    <s v="APA_PC"/>
  </r>
  <r>
    <s v="EA9072"/>
    <s v="ATA"/>
    <s v="CT"/>
    <x v="2"/>
    <s v="ATA"/>
    <s v="ATAPET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TAPET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PETF"/>
    <s v="SUABCSG"/>
    <x v="4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TA"/>
    <s v="CT"/>
    <x v="2"/>
    <s v="ATA"/>
    <s v="ATAPET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1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3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TA"/>
    <s v="CT"/>
    <x v="2"/>
    <s v="ATA"/>
    <s v="ATAPET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TA"/>
    <s v="CT"/>
    <x v="2"/>
    <s v="ATA"/>
    <s v="ATAPET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2"/>
    <s v="INY"/>
    <s v="ACTINYA"/>
  </r>
  <r>
    <s v="EA9409"/>
    <s v="CM"/>
    <s v="CM"/>
    <x v="13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2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TA"/>
    <s v="CT"/>
    <x v="2"/>
    <s v="ATA"/>
    <s v="ATAPET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TA"/>
    <s v="CT"/>
    <x v="2"/>
    <s v="ATA"/>
    <s v="ATAPET"/>
  </r>
  <r>
    <s v="EA9483"/>
    <s v="PETS"/>
    <s v="SUABTBG"/>
    <x v="3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3"/>
    <s v="SWAB"/>
    <s v="INACTPETS"/>
  </r>
  <r>
    <s v="EA9492"/>
    <s v="INYA"/>
    <s v="IAS"/>
    <x v="12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TA"/>
    <s v="CT"/>
    <x v="2"/>
    <s v="ATA"/>
    <s v="ATAPET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BM"/>
    <s v="BM"/>
    <x v="1"/>
    <s v="ZA 01"/>
    <s v="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1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CM"/>
    <s v="CM"/>
    <x v="13"/>
    <s v="SWAB"/>
    <s v="INACTPETS"/>
  </r>
  <r>
    <s v="EA9598"/>
    <s v="ATA"/>
    <s v="CT"/>
    <x v="2"/>
    <s v="ATA"/>
    <s v="ATAPET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BM"/>
    <s v="BM"/>
    <x v="1"/>
    <s v="OR 11"/>
    <s v="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3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5"/>
    <s v="ABAND."/>
    <s v="APA_PC"/>
  </r>
  <r>
    <s v="EA9784"/>
    <s v="CM"/>
    <s v="CM"/>
    <x v="7"/>
    <s v="SWAB"/>
    <s v="INACTPETF"/>
  </r>
  <r>
    <s v="EA9786"/>
    <s v="CM"/>
    <s v="CM"/>
    <x v="7"/>
    <s v="SWAB"/>
    <s v="IN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2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2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PETF"/>
    <s v="SUABCSG"/>
    <x v="4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PETF"/>
    <s v="SUABCSG"/>
    <x v="4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CM"/>
    <s v="CM"/>
    <x v="9"/>
    <s v="CE 10"/>
    <s v="BM"/>
  </r>
  <r>
    <s v="EA9888"/>
    <s v="BM"/>
    <s v="BM"/>
    <x v="1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INYA"/>
    <s v="IAS"/>
    <x v="12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IN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2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INYA"/>
    <s v="IAS"/>
    <x v="12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1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INYA"/>
    <s v="IAS"/>
    <x v="12"/>
    <s v="INY"/>
    <s v="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1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2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3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BM"/>
    <s v="BM"/>
    <x v="1"/>
    <s v="ZA 01"/>
    <s v="BM"/>
  </r>
  <r>
    <s v="EA10523"/>
    <s v="INYA"/>
    <s v="IAS"/>
    <x v="12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TA"/>
    <s v="CT"/>
    <x v="2"/>
    <s v="ATA"/>
    <s v="ATAPET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BM"/>
    <s v="BM"/>
    <x v="1"/>
    <s v="TA 24"/>
    <s v="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BM"/>
    <s v="BM"/>
    <x v="1"/>
    <s v="TA 27"/>
    <s v="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BM"/>
    <s v="BM"/>
    <x v="1"/>
    <s v="OR 11"/>
    <s v="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BM"/>
    <s v="BM"/>
    <x v="1"/>
    <s v="OR 11"/>
    <s v="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BM"/>
    <s v="BM"/>
    <x v="1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BM"/>
    <s v="BM"/>
    <x v="1"/>
    <s v="OR 11"/>
    <s v="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BM"/>
    <s v="BM"/>
    <x v="1"/>
    <s v="TA 25"/>
    <s v="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INACT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BM"/>
    <s v="BM"/>
    <x v="1"/>
    <s v="OR 11"/>
    <s v="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BM"/>
    <s v="BM"/>
    <x v="1"/>
    <s v="TA 24"/>
    <s v="BM"/>
  </r>
  <r>
    <s v="EA11134D"/>
    <s v="BM"/>
    <s v="BM"/>
    <x v="1"/>
    <s v="TA 24"/>
    <s v="BM"/>
  </r>
  <r>
    <s v="EA11136"/>
    <s v="CM"/>
    <s v="CM"/>
    <x v="9"/>
    <s v="OR 11"/>
    <s v="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PETS"/>
    <s v="SUABTBG"/>
    <x v="3"/>
    <s v="SWAB"/>
    <s v="ACTPETS"/>
  </r>
  <r>
    <s v="EA11156"/>
    <s v="BM"/>
    <s v="BM"/>
    <x v="1"/>
    <s v="PN 31"/>
    <s v="BM"/>
  </r>
  <r>
    <s v="EA11157"/>
    <s v="BM"/>
    <s v="BM"/>
    <x v="1"/>
    <s v="TA 24"/>
    <s v="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BM"/>
    <s v="BM"/>
    <x v="1"/>
    <s v="BA 34"/>
    <s v="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BM"/>
    <s v="BM"/>
    <x v="1"/>
    <s v="BA 35"/>
    <s v="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BM"/>
    <s v="BM"/>
    <x v="1"/>
    <s v="TA 24"/>
    <s v="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BM"/>
    <s v="BM"/>
    <x v="1"/>
    <s v="BA 34"/>
    <s v="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2"/>
    <s v="INY"/>
    <s v="ACTINYA"/>
  </r>
  <r>
    <s v="EA11368"/>
    <s v="INYA"/>
    <s v="IAS"/>
    <x v="12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1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BM"/>
    <s v="BM"/>
    <x v="1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BM"/>
  </r>
  <r>
    <s v="EA11667D"/>
    <s v="BM"/>
    <s v="BM"/>
    <x v="1"/>
    <s v="PN 32"/>
    <s v="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BM"/>
    <s v="BM"/>
    <x v="1"/>
    <s v="OR 12"/>
    <s v="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BM"/>
    <s v="BM"/>
    <x v="1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BM"/>
    <s v="BM"/>
    <x v="1"/>
    <s v="TA 24"/>
    <s v="BM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BM"/>
    <s v="BM"/>
    <x v="1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BM"/>
    <s v="BM"/>
    <x v="1"/>
    <s v="TA 28"/>
    <s v="BM"/>
  </r>
  <r>
    <s v="EA11879D"/>
    <s v="BM"/>
    <s v="BM"/>
    <x v="1"/>
    <s v="CE 10"/>
    <s v="BM"/>
  </r>
  <r>
    <s v="EA11881D"/>
    <s v="BM"/>
    <s v="BM"/>
    <x v="1"/>
    <s v="ZA 01"/>
    <s v="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BM"/>
    <s v="BM"/>
    <x v="1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BM"/>
    <s v="BM"/>
    <x v="1"/>
    <s v="PN 31"/>
    <s v="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3"/>
    <s v="SWAB"/>
    <s v="ACTPETS"/>
  </r>
  <r>
    <s v="PB170"/>
    <s v="APA"/>
    <s v="A"/>
    <x v="5"/>
    <s v="ABAND."/>
    <s v="APA_PC"/>
  </r>
  <r>
    <s v="PB171"/>
    <s v="APA"/>
    <s v="A"/>
    <x v="8"/>
    <s v="ABAND."/>
    <s v="ATAPET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CM"/>
    <s v="CM"/>
    <x v="13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CM"/>
    <s v="CM"/>
    <x v="13"/>
    <s v="SWAB"/>
    <s v="IN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3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TA"/>
    <s v="CT"/>
    <x v="2"/>
    <s v="ATA"/>
    <s v="ATAPET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BM"/>
    <s v="BM"/>
    <x v="1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CM"/>
    <s v="CM"/>
    <x v="7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INACTPETF"/>
  </r>
  <r>
    <s v="PB270"/>
    <s v="ATA"/>
    <s v="CT"/>
    <x v="2"/>
    <s v="ATA"/>
    <s v="ATAPET"/>
  </r>
  <r>
    <s v="PB271"/>
    <s v="CM"/>
    <s v="CM"/>
    <x v="9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IN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TA"/>
    <s v="CT"/>
    <x v="2"/>
    <s v="ATA"/>
    <s v="ATAPET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TAGAS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TAGAS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TAPET"/>
  </r>
  <r>
    <s v="PE161"/>
    <s v="BM"/>
    <s v="BM"/>
    <x v="1"/>
    <s v="CA 20"/>
    <s v="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TAGAS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TAPET"/>
  </r>
  <r>
    <s v="PE171"/>
    <s v="CM"/>
    <s v="CM"/>
    <x v="13"/>
    <s v="SWAB"/>
    <s v="INACTPETS"/>
  </r>
  <r>
    <s v="PE172"/>
    <s v="APA"/>
    <s v="A"/>
    <x v="8"/>
    <s v="ABAND."/>
    <s v="ATAPET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BM"/>
    <s v="BM"/>
    <x v="1"/>
    <s v="LA 09"/>
    <s v="BM"/>
  </r>
  <r>
    <s v="PT3"/>
    <s v="PETS"/>
    <s v="SUABTBG"/>
    <x v="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TAPET"/>
  </r>
  <r>
    <s v="PT17"/>
    <s v="APA"/>
    <s v="A"/>
    <x v="8"/>
    <s v="ABAND."/>
    <s v="ATAPET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FFFAB-A8C2-46CE-A402-475ECE97EB1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6"/>
        <item x="12"/>
        <item m="1" x="27"/>
        <item x="4"/>
        <item x="3"/>
        <item x="8"/>
        <item x="20"/>
        <item x="5"/>
        <item x="6"/>
        <item x="16"/>
        <item x="15"/>
        <item x="2"/>
        <item x="10"/>
        <item x="1"/>
        <item x="17"/>
        <item m="1" x="28"/>
        <item x="0"/>
        <item h="1" f="1" x="29"/>
        <item x="22"/>
        <item x="19"/>
        <item x="9"/>
        <item x="23"/>
        <item x="14"/>
        <item x="25"/>
        <item x="11"/>
        <item x="24"/>
        <item x="7"/>
        <item x="13"/>
        <item x="18"/>
        <item x="21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0">
      <pivotArea type="all" dataOnly="0" outline="0" fieldPosition="0"/>
    </format>
    <format dxfId="1">
      <pivotArea grandRow="1" outline="0" collapsedLevelsAreSubtotals="1" fieldPosition="0"/>
    </format>
    <format dxfId="2">
      <pivotArea dataOnly="0" labelOnly="1" grandRow="1" outline="0" fieldPosition="0"/>
    </format>
    <format dxfId="3">
      <pivotArea outline="0" collapsedLevelsAreSubtotals="1" fieldPosition="0">
        <references count="1">
          <reference field="3" count="0" selected="0"/>
        </references>
      </pivotArea>
    </format>
    <format dxfId="4">
      <pivotArea dataOnly="0" labelOnly="1" outline="0" fieldPosition="0">
        <references count="1">
          <reference field="3" count="0"/>
        </references>
      </pivotArea>
    </format>
    <format dxfId="5">
      <pivotArea type="all" dataOnly="0" outline="0" fieldPosition="0"/>
    </format>
    <format dxfId="6">
      <pivotArea outline="0" collapsedLevelsAreSubtotals="1" fieldPosition="0">
        <references count="1">
          <reference field="3" count="0" selected="0"/>
        </references>
      </pivotArea>
    </format>
    <format dxfId="7">
      <pivotArea dataOnly="0" labelOnly="1" outline="0" fieldPosition="0">
        <references count="1">
          <reference field="3" count="0"/>
        </references>
      </pivotArea>
    </format>
    <format dxfId="8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9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0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1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2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5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6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7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9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20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21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22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23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24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25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26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6"/>
        <item x="12"/>
        <item m="1" x="27"/>
        <item x="4"/>
        <item x="3"/>
        <item x="13"/>
        <item x="20"/>
        <item x="5"/>
        <item x="6"/>
        <item x="16"/>
        <item x="10"/>
        <item x="2"/>
        <item x="9"/>
        <item x="1"/>
        <item x="17"/>
        <item m="1" x="28"/>
        <item x="0"/>
        <item h="1" f="1" x="29"/>
        <item x="22"/>
        <item x="19"/>
        <item x="8"/>
        <item x="23"/>
        <item x="15"/>
        <item x="25"/>
        <item x="11"/>
        <item x="24"/>
        <item x="7"/>
        <item x="14"/>
        <item x="18"/>
        <item x="21"/>
        <item m="1" x="30"/>
        <item t="default"/>
      </items>
    </pivotField>
    <pivotField compact="0" outline="0" showAll="0"/>
    <pivotField compact="0" outline="0" showAll="0" defaultSubtota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53">
      <pivotArea type="all" dataOnly="0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outline="0" collapsedLevelsAreSubtotals="1" fieldPosition="0">
        <references count="1">
          <reference field="3" count="0" selected="0"/>
        </references>
      </pivotArea>
    </format>
    <format dxfId="49">
      <pivotArea dataOnly="0" labelOnly="1" outline="0" fieldPosition="0">
        <references count="1">
          <reference field="3" count="0"/>
        </references>
      </pivotArea>
    </format>
    <format dxfId="48">
      <pivotArea type="all" dataOnly="0" outline="0" fieldPosition="0"/>
    </format>
    <format dxfId="47">
      <pivotArea outline="0" collapsedLevelsAreSubtotals="1" fieldPosition="0">
        <references count="1">
          <reference field="3" count="0" selected="0"/>
        </references>
      </pivotArea>
    </format>
    <format dxfId="46">
      <pivotArea dataOnly="0" labelOnly="1" outline="0" fieldPosition="0">
        <references count="1">
          <reference field="3" count="0"/>
        </references>
      </pivotArea>
    </format>
    <format dxfId="45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43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42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41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9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3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3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36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3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4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3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2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1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30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29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28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27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8569-2361-48FB-99B3-9C46A1C95D25}">
  <dimension ref="A1:T5822"/>
  <sheetViews>
    <sheetView showGridLines="0" tabSelected="1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C3" sqref="C3:C5822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20" ht="15.75" x14ac:dyDescent="0.25">
      <c r="B1" s="6" t="s">
        <v>5902</v>
      </c>
      <c r="C1" s="7"/>
      <c r="D1" s="7"/>
      <c r="E1" s="7"/>
      <c r="F1" s="7"/>
      <c r="G1" s="7"/>
      <c r="J1" s="19">
        <v>45292</v>
      </c>
      <c r="M1" s="19">
        <v>45261</v>
      </c>
    </row>
    <row r="2" spans="1:20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5903</v>
      </c>
      <c r="J2" s="20" t="s">
        <v>5503</v>
      </c>
      <c r="K2" s="21"/>
      <c r="M2" s="21" t="s">
        <v>5503</v>
      </c>
      <c r="N2" s="21"/>
    </row>
    <row r="3" spans="1:20" x14ac:dyDescent="0.25">
      <c r="A3" s="17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IFERROR(VLOOKUP(B3,'Diciembre 2023'!$B$2:$G$5822,4,0),"")</f>
        <v>DPAPET</v>
      </c>
      <c r="J3" s="20" t="s">
        <v>3</v>
      </c>
      <c r="K3" s="21" t="s">
        <v>5502</v>
      </c>
      <c r="M3" s="21" t="s">
        <v>3</v>
      </c>
      <c r="N3" s="21" t="s">
        <v>5502</v>
      </c>
    </row>
    <row r="4" spans="1:20" x14ac:dyDescent="0.25">
      <c r="A4" s="17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IFERROR(VLOOKUP(B4,'Diciembre 2023'!$B$2:$G$5822,4,0),"")</f>
        <v>BM</v>
      </c>
      <c r="J4" s="23" t="s">
        <v>111</v>
      </c>
      <c r="K4" s="31">
        <v>50</v>
      </c>
      <c r="M4" s="23" t="s">
        <v>111</v>
      </c>
      <c r="N4" s="23">
        <v>50</v>
      </c>
      <c r="O4">
        <f>+K4-N4</f>
        <v>0</v>
      </c>
    </row>
    <row r="5" spans="1:20" x14ac:dyDescent="0.25">
      <c r="A5" s="17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IFERROR(VLOOKUP(B5,'Diciembre 2023'!$B$2:$G$5822,4,0),"")</f>
        <v>ATAPET</v>
      </c>
      <c r="J5" s="22" t="s">
        <v>26</v>
      </c>
      <c r="K5" s="34">
        <v>183</v>
      </c>
      <c r="M5" s="22" t="s">
        <v>26</v>
      </c>
      <c r="N5" s="27">
        <v>179</v>
      </c>
      <c r="O5">
        <f t="shared" ref="O5:O30" si="0">+K5-N5</f>
        <v>4</v>
      </c>
    </row>
    <row r="6" spans="1:20" x14ac:dyDescent="0.25">
      <c r="A6" s="17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IFERROR(VLOOKUP(B6,'Diciembre 2023'!$B$2:$G$5822,4,0),"")</f>
        <v>ACTPETS</v>
      </c>
      <c r="J6" s="22" t="s">
        <v>20</v>
      </c>
      <c r="K6" s="34">
        <v>504</v>
      </c>
      <c r="M6" s="22" t="s">
        <v>20</v>
      </c>
      <c r="N6" s="27">
        <v>504</v>
      </c>
      <c r="O6">
        <f t="shared" si="0"/>
        <v>0</v>
      </c>
      <c r="S6">
        <f>+GETPIVOTDATA("*PFORMACION",$J$2,"*ULT_EST","ACTPETF")+GETPIVOTDATA("*PFORMACION",$J$2,"*ULT_EST","ACTPETS")</f>
        <v>687</v>
      </c>
      <c r="T6">
        <f>+N6+N7</f>
        <v>608</v>
      </c>
    </row>
    <row r="7" spans="1:20" x14ac:dyDescent="0.25">
      <c r="A7" s="17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IFERROR(VLOOKUP(B7,'Diciembre 2023'!$B$2:$G$5822,4,0),"")</f>
        <v>DPAPET</v>
      </c>
      <c r="J7" s="22" t="s">
        <v>5900</v>
      </c>
      <c r="K7" s="29">
        <v>130</v>
      </c>
      <c r="M7" s="22" t="s">
        <v>5900</v>
      </c>
      <c r="N7" s="22">
        <v>104</v>
      </c>
      <c r="O7">
        <f t="shared" si="0"/>
        <v>26</v>
      </c>
      <c r="S7">
        <f>+GETPIVOTDATA("*PFORMACION",$J$2,"*ULT_EST","INACTPETF")+GETPIVOTDATA("*PFORMACION",$J$2,"*ULT_EST","INACTPETS")</f>
        <v>164</v>
      </c>
      <c r="T7">
        <f>+N27+N28</f>
        <v>123</v>
      </c>
    </row>
    <row r="8" spans="1:20" x14ac:dyDescent="0.25">
      <c r="A8" s="17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IFERROR(VLOOKUP(B8,'Diciembre 2023'!$B$2:$G$5822,4,0),"")</f>
        <v>ACTPETF</v>
      </c>
      <c r="J8" s="22" t="s">
        <v>776</v>
      </c>
      <c r="K8" s="30">
        <v>14</v>
      </c>
      <c r="M8" s="22" t="s">
        <v>776</v>
      </c>
      <c r="N8" s="22">
        <v>14</v>
      </c>
      <c r="O8">
        <f t="shared" si="0"/>
        <v>0</v>
      </c>
      <c r="S8">
        <f>+S7+S6</f>
        <v>851</v>
      </c>
      <c r="T8">
        <f>+T7+T6</f>
        <v>731</v>
      </c>
    </row>
    <row r="9" spans="1:20" x14ac:dyDescent="0.25">
      <c r="A9" s="17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IFERROR(VLOOKUP(B9,'Diciembre 2023'!$B$2:$G$5822,4,0),"")</f>
        <v>APA_PC</v>
      </c>
      <c r="J9" s="22" t="s">
        <v>30</v>
      </c>
      <c r="K9" s="30">
        <v>1013</v>
      </c>
      <c r="M9" s="22" t="s">
        <v>30</v>
      </c>
      <c r="N9" s="22">
        <v>1013</v>
      </c>
      <c r="O9">
        <f t="shared" si="0"/>
        <v>0</v>
      </c>
    </row>
    <row r="10" spans="1:20" x14ac:dyDescent="0.25">
      <c r="A10" s="17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IFERROR(VLOOKUP(B10,'Diciembre 2023'!$B$2:$G$5822,4,0),"")</f>
        <v>ATAPET</v>
      </c>
      <c r="J10" s="22" t="s">
        <v>33</v>
      </c>
      <c r="K10" s="30">
        <v>290</v>
      </c>
      <c r="M10" s="22" t="s">
        <v>33</v>
      </c>
      <c r="N10" s="22">
        <v>290</v>
      </c>
      <c r="O10">
        <f t="shared" si="0"/>
        <v>0</v>
      </c>
    </row>
    <row r="11" spans="1:20" x14ac:dyDescent="0.25">
      <c r="A11" s="17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IFERROR(VLOOKUP(B11,'Diciembre 2023'!$B$2:$G$5822,4,0),"")</f>
        <v>APAPET</v>
      </c>
      <c r="J11" s="22" t="s">
        <v>263</v>
      </c>
      <c r="K11" s="30">
        <v>6</v>
      </c>
      <c r="M11" s="22" t="s">
        <v>263</v>
      </c>
      <c r="N11" s="22">
        <v>9</v>
      </c>
      <c r="O11">
        <f t="shared" si="0"/>
        <v>-3</v>
      </c>
    </row>
    <row r="12" spans="1:20" x14ac:dyDescent="0.25">
      <c r="A12" s="17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IFERROR(VLOOKUP(B12,'Diciembre 2023'!$B$2:$G$5822,4,0),"")</f>
        <v>INACTPETF</v>
      </c>
      <c r="J12" s="22" t="s">
        <v>98</v>
      </c>
      <c r="K12" s="30">
        <v>13</v>
      </c>
      <c r="M12" s="22" t="s">
        <v>98</v>
      </c>
      <c r="N12" s="22">
        <v>16</v>
      </c>
      <c r="O12">
        <f t="shared" si="0"/>
        <v>-3</v>
      </c>
    </row>
    <row r="13" spans="1:20" x14ac:dyDescent="0.25">
      <c r="A13" s="17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IFERROR(VLOOKUP(B13,'Diciembre 2023'!$B$2:$G$5822,4,0),"")</f>
        <v>ACTPETF</v>
      </c>
      <c r="J13" s="22" t="s">
        <v>16</v>
      </c>
      <c r="K13" s="30">
        <v>521</v>
      </c>
      <c r="M13" s="22" t="s">
        <v>16</v>
      </c>
      <c r="N13" s="22">
        <v>539</v>
      </c>
      <c r="O13">
        <f t="shared" si="0"/>
        <v>-18</v>
      </c>
    </row>
    <row r="14" spans="1:20" x14ac:dyDescent="0.25">
      <c r="A14" s="17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IFERROR(VLOOKUP(B14,'Diciembre 2023'!$B$2:$G$5822,4,0),"")</f>
        <v>ATAPET</v>
      </c>
      <c r="J14" s="22" t="s">
        <v>75</v>
      </c>
      <c r="K14" s="32">
        <v>10</v>
      </c>
      <c r="M14" s="22" t="s">
        <v>75</v>
      </c>
      <c r="N14" s="25">
        <v>11</v>
      </c>
      <c r="O14">
        <f t="shared" si="0"/>
        <v>-1</v>
      </c>
    </row>
    <row r="15" spans="1:20" x14ac:dyDescent="0.25">
      <c r="A15" s="17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IFERROR(VLOOKUP(B15,'Diciembre 2023'!$B$2:$G$5822,4,0),"")</f>
        <v>DPAPET</v>
      </c>
      <c r="J15" s="22" t="s">
        <v>11</v>
      </c>
      <c r="K15" s="32">
        <v>2251</v>
      </c>
      <c r="M15" s="22" t="s">
        <v>11</v>
      </c>
      <c r="N15" s="25">
        <v>2281</v>
      </c>
      <c r="O15">
        <f t="shared" si="0"/>
        <v>-30</v>
      </c>
    </row>
    <row r="16" spans="1:20" x14ac:dyDescent="0.25">
      <c r="A16" s="17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IFERROR(VLOOKUP(B16,'Diciembre 2023'!$B$2:$G$5822,4,0),"")</f>
        <v>DPAPET</v>
      </c>
      <c r="J16" s="22" t="s">
        <v>308</v>
      </c>
      <c r="K16" s="32">
        <v>20</v>
      </c>
      <c r="M16" s="22" t="s">
        <v>308</v>
      </c>
      <c r="N16" s="25">
        <v>20</v>
      </c>
      <c r="O16">
        <f t="shared" si="0"/>
        <v>0</v>
      </c>
    </row>
    <row r="17" spans="1:20" x14ac:dyDescent="0.25">
      <c r="A17" s="17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IFERROR(VLOOKUP(B17,'Diciembre 2023'!$B$2:$G$5822,4,0),"")</f>
        <v>ATAPET</v>
      </c>
      <c r="J17" s="22" t="s">
        <v>8</v>
      </c>
      <c r="K17" s="30">
        <v>209</v>
      </c>
      <c r="M17" s="22" t="s">
        <v>8</v>
      </c>
      <c r="N17" s="22">
        <v>209</v>
      </c>
      <c r="O17">
        <f t="shared" si="0"/>
        <v>0</v>
      </c>
    </row>
    <row r="18" spans="1:20" x14ac:dyDescent="0.25">
      <c r="A18" s="17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IFERROR(VLOOKUP(B18,'Diciembre 2023'!$B$2:$G$5822,4,0),"")</f>
        <v>ATAPET</v>
      </c>
      <c r="J18" s="22" t="s">
        <v>1089</v>
      </c>
      <c r="K18" s="32">
        <v>1</v>
      </c>
      <c r="M18" s="22" t="s">
        <v>1089</v>
      </c>
      <c r="N18" s="25">
        <v>1</v>
      </c>
      <c r="O18">
        <f t="shared" si="0"/>
        <v>0</v>
      </c>
    </row>
    <row r="19" spans="1:20" x14ac:dyDescent="0.25">
      <c r="A19" s="17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IFERROR(VLOOKUP(B19,'Diciembre 2023'!$B$2:$G$5822,4,0),"")</f>
        <v>ATAPET</v>
      </c>
      <c r="J19" s="22" t="s">
        <v>118</v>
      </c>
      <c r="K19" s="30">
        <v>4</v>
      </c>
      <c r="M19" s="22" t="s">
        <v>118</v>
      </c>
      <c r="N19" s="22">
        <v>3</v>
      </c>
      <c r="O19">
        <f t="shared" si="0"/>
        <v>1</v>
      </c>
    </row>
    <row r="20" spans="1:20" x14ac:dyDescent="0.25">
      <c r="A20" s="17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IFERROR(VLOOKUP(B20,'Diciembre 2023'!$B$2:$G$5822,4,0),"")</f>
        <v>ATAPET</v>
      </c>
      <c r="J20" s="22" t="s">
        <v>57</v>
      </c>
      <c r="K20" s="30">
        <v>298</v>
      </c>
      <c r="M20" s="22" t="s">
        <v>57</v>
      </c>
      <c r="N20" s="22">
        <v>269</v>
      </c>
      <c r="O20">
        <f t="shared" si="0"/>
        <v>29</v>
      </c>
      <c r="S20">
        <f>+GETPIVOTDATA("*PFORMACION",$J$2,"*ULT_EST","BM")+GETPIVOTDATA("*PFORMACION",$J$2,"*ULT_EST","INACTBM")</f>
        <v>2549</v>
      </c>
      <c r="T20">
        <f>+N16+N21</f>
        <v>21</v>
      </c>
    </row>
    <row r="21" spans="1:20" x14ac:dyDescent="0.25">
      <c r="A21" s="17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IFERROR(VLOOKUP(B21,'Diciembre 2023'!$B$2:$G$5822,4,0),"")</f>
        <v>BM</v>
      </c>
      <c r="J21" s="22" t="s">
        <v>824</v>
      </c>
      <c r="K21" s="30">
        <v>1</v>
      </c>
      <c r="M21" s="22" t="s">
        <v>824</v>
      </c>
      <c r="N21" s="22">
        <v>1</v>
      </c>
      <c r="O21">
        <f t="shared" si="0"/>
        <v>0</v>
      </c>
    </row>
    <row r="22" spans="1:20" x14ac:dyDescent="0.25">
      <c r="A22" s="17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IFERROR(VLOOKUP(B22,'Diciembre 2023'!$B$2:$G$5822,4,0),"")</f>
        <v>BM</v>
      </c>
      <c r="J22" s="22" t="s">
        <v>170</v>
      </c>
      <c r="K22" s="30">
        <v>16</v>
      </c>
      <c r="M22" s="22" t="s">
        <v>170</v>
      </c>
      <c r="N22" s="22">
        <v>16</v>
      </c>
      <c r="O22">
        <f t="shared" si="0"/>
        <v>0</v>
      </c>
    </row>
    <row r="23" spans="1:20" x14ac:dyDescent="0.25">
      <c r="A23" s="17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IFERROR(VLOOKUP(B23,'Diciembre 2023'!$B$2:$G$5822,4,0),"")</f>
        <v>ATAPET</v>
      </c>
      <c r="J23" s="22" t="s">
        <v>5631</v>
      </c>
      <c r="K23" s="30">
        <v>3</v>
      </c>
      <c r="M23" s="22" t="s">
        <v>5631</v>
      </c>
      <c r="N23" s="22">
        <v>3</v>
      </c>
      <c r="O23">
        <f t="shared" si="0"/>
        <v>0</v>
      </c>
    </row>
    <row r="24" spans="1:20" x14ac:dyDescent="0.25">
      <c r="A24" s="17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IFERROR(VLOOKUP(B24,'Diciembre 2023'!$B$2:$G$5822,4,0),"")</f>
        <v>BM</v>
      </c>
      <c r="J24" s="22" t="s">
        <v>686</v>
      </c>
      <c r="K24" s="30">
        <v>37</v>
      </c>
      <c r="M24" s="22" t="s">
        <v>686</v>
      </c>
      <c r="N24" s="22">
        <v>37</v>
      </c>
      <c r="O24">
        <f t="shared" si="0"/>
        <v>0</v>
      </c>
    </row>
    <row r="25" spans="1:20" x14ac:dyDescent="0.25">
      <c r="A25" s="17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IFERROR(VLOOKUP(B25,'Diciembre 2023'!$B$2:$G$5822,4,0),"")</f>
        <v>ACTPETF</v>
      </c>
      <c r="J25" s="22" t="s">
        <v>2458</v>
      </c>
      <c r="K25" s="30">
        <v>6</v>
      </c>
      <c r="M25" s="22" t="s">
        <v>2458</v>
      </c>
      <c r="N25" s="22">
        <v>6</v>
      </c>
      <c r="O25">
        <f t="shared" si="0"/>
        <v>0</v>
      </c>
    </row>
    <row r="26" spans="1:20" x14ac:dyDescent="0.25">
      <c r="A26" s="17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IFERROR(VLOOKUP(B26,'Diciembre 2023'!$B$2:$G$5822,4,0),"")</f>
        <v>ATAPET</v>
      </c>
      <c r="J26" s="22" t="s">
        <v>36</v>
      </c>
      <c r="K26" s="30">
        <v>57</v>
      </c>
      <c r="M26" s="22" t="s">
        <v>36</v>
      </c>
      <c r="N26" s="22">
        <v>62</v>
      </c>
      <c r="O26">
        <f t="shared" si="0"/>
        <v>-5</v>
      </c>
    </row>
    <row r="27" spans="1:20" x14ac:dyDescent="0.25">
      <c r="A27" s="17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IFERROR(VLOOKUP(B27,'Diciembre 2023'!$B$2:$G$5822,4,0),"")</f>
        <v>ACTPETS</v>
      </c>
      <c r="J27" s="22" t="s">
        <v>163</v>
      </c>
      <c r="K27" s="30">
        <v>107</v>
      </c>
      <c r="M27" s="22" t="s">
        <v>163</v>
      </c>
      <c r="N27" s="22">
        <v>107</v>
      </c>
      <c r="O27">
        <f t="shared" si="0"/>
        <v>0</v>
      </c>
    </row>
    <row r="28" spans="1:20" x14ac:dyDescent="0.25">
      <c r="A28" s="17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IFERROR(VLOOKUP(B28,'Diciembre 2023'!$B$2:$G$5822,4,0),"")</f>
        <v>INACTPETF</v>
      </c>
      <c r="J28" s="22" t="s">
        <v>2266</v>
      </c>
      <c r="K28" s="30">
        <v>16</v>
      </c>
      <c r="M28" s="22" t="s">
        <v>2266</v>
      </c>
      <c r="N28" s="22">
        <v>16</v>
      </c>
      <c r="O28">
        <f t="shared" si="0"/>
        <v>0</v>
      </c>
    </row>
    <row r="29" spans="1:20" x14ac:dyDescent="0.25">
      <c r="A29" s="17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IFERROR(VLOOKUP(B29,'Diciembre 2023'!$B$2:$G$5822,4,0),"")</f>
        <v>DPAPET</v>
      </c>
      <c r="J29" s="24" t="s">
        <v>549</v>
      </c>
      <c r="K29" s="33">
        <v>60</v>
      </c>
      <c r="M29" s="24" t="s">
        <v>549</v>
      </c>
      <c r="N29" s="26">
        <v>60</v>
      </c>
      <c r="O29">
        <f t="shared" si="0"/>
        <v>0</v>
      </c>
    </row>
    <row r="30" spans="1:20" x14ac:dyDescent="0.25">
      <c r="A30" s="17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IFERROR(VLOOKUP(B30,'Diciembre 2023'!$B$2:$G$5822,4,0),"")</f>
        <v>BM</v>
      </c>
      <c r="J30" s="21" t="s">
        <v>5899</v>
      </c>
      <c r="K30" s="28">
        <v>5820</v>
      </c>
      <c r="M30" s="16" t="s">
        <v>5899</v>
      </c>
      <c r="N30" s="16">
        <v>5820</v>
      </c>
      <c r="O30">
        <f t="shared" si="0"/>
        <v>0</v>
      </c>
    </row>
    <row r="31" spans="1:20" x14ac:dyDescent="0.25">
      <c r="A31" s="17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IFERROR(VLOOKUP(B31,'Diciembre 2023'!$B$2:$G$5822,4,0),"")</f>
        <v>DPAPET</v>
      </c>
    </row>
    <row r="32" spans="1:20" x14ac:dyDescent="0.25">
      <c r="A32" s="17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IFERROR(VLOOKUP(B32,'Diciembre 2023'!$B$2:$G$5822,4,0),"")</f>
        <v>BM</v>
      </c>
    </row>
    <row r="33" spans="1:7" x14ac:dyDescent="0.25">
      <c r="A33" s="17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IFERROR(VLOOKUP(B33,'Diciembre 2023'!$B$2:$G$5822,4,0),"")</f>
        <v>ATAPET</v>
      </c>
    </row>
    <row r="34" spans="1:7" x14ac:dyDescent="0.25">
      <c r="A34" s="17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IFERROR(VLOOKUP(B34,'Diciembre 2023'!$B$2:$G$5822,4,0),"")</f>
        <v>ATAPET</v>
      </c>
    </row>
    <row r="35" spans="1:7" x14ac:dyDescent="0.25">
      <c r="A35" s="17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IFERROR(VLOOKUP(B35,'Diciembre 2023'!$B$2:$G$5822,4,0),"")</f>
        <v>ACTPETS</v>
      </c>
    </row>
    <row r="36" spans="1:7" x14ac:dyDescent="0.25">
      <c r="A36" s="17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IFERROR(VLOOKUP(B36,'Diciembre 2023'!$B$2:$G$5822,4,0),"")</f>
        <v>ATAPET</v>
      </c>
    </row>
    <row r="37" spans="1:7" x14ac:dyDescent="0.25">
      <c r="A37" s="17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IFERROR(VLOOKUP(B37,'Diciembre 2023'!$B$2:$G$5822,4,0),"")</f>
        <v>ATAPET</v>
      </c>
    </row>
    <row r="38" spans="1:7" x14ac:dyDescent="0.25">
      <c r="A38" s="17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IFERROR(VLOOKUP(B38,'Diciembre 2023'!$B$2:$G$5822,4,0),"")</f>
        <v>ACTPETS</v>
      </c>
    </row>
    <row r="39" spans="1:7" x14ac:dyDescent="0.25">
      <c r="A39" s="17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IFERROR(VLOOKUP(B39,'Diciembre 2023'!$B$2:$G$5822,4,0),"")</f>
        <v>BM</v>
      </c>
    </row>
    <row r="40" spans="1:7" x14ac:dyDescent="0.25">
      <c r="A40" s="17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IFERROR(VLOOKUP(B40,'Diciembre 2023'!$B$2:$G$5822,4,0),"")</f>
        <v>INACTBM</v>
      </c>
    </row>
    <row r="41" spans="1:7" x14ac:dyDescent="0.25">
      <c r="A41" s="17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IFERROR(VLOOKUP(B41,'Diciembre 2023'!$B$2:$G$5822,4,0),"")</f>
        <v>BM</v>
      </c>
    </row>
    <row r="42" spans="1:7" x14ac:dyDescent="0.25">
      <c r="A42" s="17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IFERROR(VLOOKUP(B42,'Diciembre 2023'!$B$2:$G$5822,4,0),"")</f>
        <v>INACTPETF</v>
      </c>
    </row>
    <row r="43" spans="1:7" x14ac:dyDescent="0.25">
      <c r="A43" s="17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IFERROR(VLOOKUP(B43,'Diciembre 2023'!$B$2:$G$5822,4,0),"")</f>
        <v>DPAPET</v>
      </c>
    </row>
    <row r="44" spans="1:7" x14ac:dyDescent="0.25">
      <c r="A44" s="17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IFERROR(VLOOKUP(B44,'Diciembre 2023'!$B$2:$G$5822,4,0),"")</f>
        <v>ATAPET</v>
      </c>
    </row>
    <row r="45" spans="1:7" x14ac:dyDescent="0.25">
      <c r="A45" s="17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IFERROR(VLOOKUP(B45,'Diciembre 2023'!$B$2:$G$5822,4,0),"")</f>
        <v>ACTPETS</v>
      </c>
    </row>
    <row r="46" spans="1:7" x14ac:dyDescent="0.25">
      <c r="A46" s="17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IFERROR(VLOOKUP(B46,'Diciembre 2023'!$B$2:$G$5822,4,0),"")</f>
        <v>DPAPET</v>
      </c>
    </row>
    <row r="47" spans="1:7" x14ac:dyDescent="0.25">
      <c r="A47" s="17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IFERROR(VLOOKUP(B47,'Diciembre 2023'!$B$2:$G$5822,4,0),"")</f>
        <v>INACTBM</v>
      </c>
    </row>
    <row r="48" spans="1:7" x14ac:dyDescent="0.25">
      <c r="A48" s="17"/>
      <c r="B48" s="4" t="s">
        <v>74</v>
      </c>
      <c r="C48" s="4" t="s">
        <v>75</v>
      </c>
      <c r="D48" s="4" t="s">
        <v>76</v>
      </c>
      <c r="E48" s="4" t="s">
        <v>75</v>
      </c>
      <c r="F48" s="4" t="s">
        <v>77</v>
      </c>
      <c r="G48" s="5" t="str">
        <f>IFERROR(VLOOKUP(B48,'Diciembre 2023'!$B$2:$G$5822,4,0),"")</f>
        <v>BCP</v>
      </c>
    </row>
    <row r="49" spans="1:7" x14ac:dyDescent="0.25">
      <c r="A49" s="17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IFERROR(VLOOKUP(B49,'Diciembre 2023'!$B$2:$G$5822,4,0),"")</f>
        <v>ACTPETS</v>
      </c>
    </row>
    <row r="50" spans="1:7" x14ac:dyDescent="0.25">
      <c r="A50" s="17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IFERROR(VLOOKUP(B50,'Diciembre 2023'!$B$2:$G$5822,4,0),"")</f>
        <v>ATAPET</v>
      </c>
    </row>
    <row r="51" spans="1:7" x14ac:dyDescent="0.25">
      <c r="A51" s="17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IFERROR(VLOOKUP(B51,'Diciembre 2023'!$B$2:$G$5822,4,0),"")</f>
        <v>BCP</v>
      </c>
    </row>
    <row r="52" spans="1:7" x14ac:dyDescent="0.25">
      <c r="A52" s="17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IFERROR(VLOOKUP(B52,'Diciembre 2023'!$B$2:$G$5822,4,0),"")</f>
        <v>BM</v>
      </c>
    </row>
    <row r="53" spans="1:7" x14ac:dyDescent="0.25">
      <c r="A53" s="17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IFERROR(VLOOKUP(B53,'Diciembre 2023'!$B$2:$G$5822,4,0),"")</f>
        <v>BM</v>
      </c>
    </row>
    <row r="54" spans="1:7" x14ac:dyDescent="0.25">
      <c r="A54" s="17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IFERROR(VLOOKUP(B54,'Diciembre 2023'!$B$2:$G$5822,4,0),"")</f>
        <v>ATAPET</v>
      </c>
    </row>
    <row r="55" spans="1:7" x14ac:dyDescent="0.25">
      <c r="A55" s="17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IFERROR(VLOOKUP(B55,'Diciembre 2023'!$B$2:$G$5822,4,0),"")</f>
        <v>INACTBM</v>
      </c>
    </row>
    <row r="56" spans="1:7" x14ac:dyDescent="0.25">
      <c r="A56" s="17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IFERROR(VLOOKUP(B56,'Diciembre 2023'!$B$2:$G$5822,4,0),"")</f>
        <v>BM</v>
      </c>
    </row>
    <row r="57" spans="1:7" x14ac:dyDescent="0.25">
      <c r="A57" s="17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IFERROR(VLOOKUP(B57,'Diciembre 2023'!$B$2:$G$5822,4,0),"")</f>
        <v>BM</v>
      </c>
    </row>
    <row r="58" spans="1:7" x14ac:dyDescent="0.25">
      <c r="A58" s="17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IFERROR(VLOOKUP(B58,'Diciembre 2023'!$B$2:$G$5822,4,0),"")</f>
        <v>BM</v>
      </c>
    </row>
    <row r="59" spans="1:7" x14ac:dyDescent="0.25">
      <c r="A59" s="17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IFERROR(VLOOKUP(B59,'Diciembre 2023'!$B$2:$G$5822,4,0),"")</f>
        <v>ATAPET</v>
      </c>
    </row>
    <row r="60" spans="1:7" x14ac:dyDescent="0.25">
      <c r="A60" s="17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IFERROR(VLOOKUP(B60,'Diciembre 2023'!$B$2:$G$5822,4,0),"")</f>
        <v>ATAPET</v>
      </c>
    </row>
    <row r="61" spans="1:7" x14ac:dyDescent="0.25">
      <c r="A61" s="17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IFERROR(VLOOKUP(B61,'Diciembre 2023'!$B$2:$G$5822,4,0),"")</f>
        <v>BM</v>
      </c>
    </row>
    <row r="62" spans="1:7" x14ac:dyDescent="0.25">
      <c r="A62" s="17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IFERROR(VLOOKUP(B62,'Diciembre 2023'!$B$2:$G$5822,4,0),"")</f>
        <v>ATAPET</v>
      </c>
    </row>
    <row r="63" spans="1:7" x14ac:dyDescent="0.25">
      <c r="A63" s="17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IFERROR(VLOOKUP(B63,'Diciembre 2023'!$B$2:$G$5822,4,0),"")</f>
        <v>BM</v>
      </c>
    </row>
    <row r="64" spans="1:7" x14ac:dyDescent="0.25">
      <c r="A64" s="17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IFERROR(VLOOKUP(B64,'Diciembre 2023'!$B$2:$G$5822,4,0),"")</f>
        <v>BM</v>
      </c>
    </row>
    <row r="65" spans="1:7" x14ac:dyDescent="0.25">
      <c r="A65" s="17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IFERROR(VLOOKUP(B65,'Diciembre 2023'!$B$2:$G$5822,4,0),"")</f>
        <v>DPAPET</v>
      </c>
    </row>
    <row r="66" spans="1:7" x14ac:dyDescent="0.25">
      <c r="A66" s="17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IFERROR(VLOOKUP(B66,'Diciembre 2023'!$B$2:$G$5822,4,0),"")</f>
        <v>APAPET</v>
      </c>
    </row>
    <row r="67" spans="1:7" x14ac:dyDescent="0.25">
      <c r="A67" s="17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IFERROR(VLOOKUP(B67,'Diciembre 2023'!$B$2:$G$5822,4,0),"")</f>
        <v>BM</v>
      </c>
    </row>
    <row r="68" spans="1:7" x14ac:dyDescent="0.25">
      <c r="A68" s="17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IFERROR(VLOOKUP(B68,'Diciembre 2023'!$B$2:$G$5822,4,0),"")</f>
        <v>ATAINY</v>
      </c>
    </row>
    <row r="69" spans="1:7" x14ac:dyDescent="0.25">
      <c r="A69" s="17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IFERROR(VLOOKUP(B69,'Diciembre 2023'!$B$2:$G$5822,4,0),"")</f>
        <v>BM</v>
      </c>
    </row>
    <row r="70" spans="1:7" x14ac:dyDescent="0.25">
      <c r="A70" s="17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IFERROR(VLOOKUP(B70,'Diciembre 2023'!$B$2:$G$5822,4,0),"")</f>
        <v>INACTPETF</v>
      </c>
    </row>
    <row r="71" spans="1:7" x14ac:dyDescent="0.25">
      <c r="A71" s="17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IFERROR(VLOOKUP(B71,'Diciembre 2023'!$B$2:$G$5822,4,0),"")</f>
        <v>DPAPET</v>
      </c>
    </row>
    <row r="72" spans="1:7" x14ac:dyDescent="0.25">
      <c r="A72" s="17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IFERROR(VLOOKUP(B72,'Diciembre 2023'!$B$2:$G$5822,4,0),"")</f>
        <v>APA_PC</v>
      </c>
    </row>
    <row r="73" spans="1:7" x14ac:dyDescent="0.25">
      <c r="A73" s="17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IFERROR(VLOOKUP(B73,'Diciembre 2023'!$B$2:$G$5822,4,0),"")</f>
        <v>BM</v>
      </c>
    </row>
    <row r="74" spans="1:7" x14ac:dyDescent="0.25">
      <c r="A74" s="17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IFERROR(VLOOKUP(B74,'Diciembre 2023'!$B$2:$G$5822,4,0),"")</f>
        <v>DPAPET</v>
      </c>
    </row>
    <row r="75" spans="1:7" x14ac:dyDescent="0.25">
      <c r="A75" s="17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IFERROR(VLOOKUP(B75,'Diciembre 2023'!$B$2:$G$5822,4,0),"")</f>
        <v>ACTPETF</v>
      </c>
    </row>
    <row r="76" spans="1:7" x14ac:dyDescent="0.25">
      <c r="A76" s="17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IFERROR(VLOOKUP(B76,'Diciembre 2023'!$B$2:$G$5822,4,0),"")</f>
        <v>BM</v>
      </c>
    </row>
    <row r="77" spans="1:7" x14ac:dyDescent="0.25">
      <c r="A77" s="17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IFERROR(VLOOKUP(B77,'Diciembre 2023'!$B$2:$G$5822,4,0),"")</f>
        <v>INACTINYA</v>
      </c>
    </row>
    <row r="78" spans="1:7" x14ac:dyDescent="0.25">
      <c r="A78" s="17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IFERROR(VLOOKUP(B78,'Diciembre 2023'!$B$2:$G$5822,4,0),"")</f>
        <v>APA_PC</v>
      </c>
    </row>
    <row r="79" spans="1:7" x14ac:dyDescent="0.25">
      <c r="A79" s="17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IFERROR(VLOOKUP(B79,'Diciembre 2023'!$B$2:$G$5822,4,0),"")</f>
        <v>APA_PC</v>
      </c>
    </row>
    <row r="80" spans="1:7" x14ac:dyDescent="0.25">
      <c r="A80" s="17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IFERROR(VLOOKUP(B80,'Diciembre 2023'!$B$2:$G$5822,4,0),"")</f>
        <v>INACTBM</v>
      </c>
    </row>
    <row r="81" spans="1:7" x14ac:dyDescent="0.25">
      <c r="A81" s="17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IFERROR(VLOOKUP(B81,'Diciembre 2023'!$B$2:$G$5822,4,0),"")</f>
        <v>BM</v>
      </c>
    </row>
    <row r="82" spans="1:7" x14ac:dyDescent="0.25">
      <c r="A82" s="17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IFERROR(VLOOKUP(B82,'Diciembre 2023'!$B$2:$G$5822,4,0),"")</f>
        <v>ACTINYA</v>
      </c>
    </row>
    <row r="83" spans="1:7" x14ac:dyDescent="0.25">
      <c r="A83" s="17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IFERROR(VLOOKUP(B83,'Diciembre 2023'!$B$2:$G$5822,4,0),"")</f>
        <v>BM</v>
      </c>
    </row>
    <row r="84" spans="1:7" x14ac:dyDescent="0.25">
      <c r="A84" s="17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IFERROR(VLOOKUP(B84,'Diciembre 2023'!$B$2:$G$5822,4,0),"")</f>
        <v>ATAPET</v>
      </c>
    </row>
    <row r="85" spans="1:7" x14ac:dyDescent="0.25">
      <c r="A85" s="17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IFERROR(VLOOKUP(B85,'Diciembre 2023'!$B$2:$G$5822,4,0),"")</f>
        <v>DPAPET</v>
      </c>
    </row>
    <row r="86" spans="1:7" x14ac:dyDescent="0.25">
      <c r="A86" s="17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IFERROR(VLOOKUP(B86,'Diciembre 2023'!$B$2:$G$5822,4,0),"")</f>
        <v>INACTBM</v>
      </c>
    </row>
    <row r="87" spans="1:7" x14ac:dyDescent="0.25">
      <c r="A87" s="17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IFERROR(VLOOKUP(B87,'Diciembre 2023'!$B$2:$G$5822,4,0),"")</f>
        <v>ATAPET</v>
      </c>
    </row>
    <row r="88" spans="1:7" x14ac:dyDescent="0.25">
      <c r="A88" s="17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IFERROR(VLOOKUP(B88,'Diciembre 2023'!$B$2:$G$5822,4,0),"")</f>
        <v>APA_CNPC</v>
      </c>
    </row>
    <row r="89" spans="1:7" x14ac:dyDescent="0.25">
      <c r="A89" s="17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IFERROR(VLOOKUP(B89,'Diciembre 2023'!$B$2:$G$5822,4,0),"")</f>
        <v>ACTPETF</v>
      </c>
    </row>
    <row r="90" spans="1:7" x14ac:dyDescent="0.25">
      <c r="A90" s="17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IFERROR(VLOOKUP(B90,'Diciembre 2023'!$B$2:$G$5822,4,0),"")</f>
        <v>ATAPET</v>
      </c>
    </row>
    <row r="91" spans="1:7" x14ac:dyDescent="0.25">
      <c r="A91" s="17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IFERROR(VLOOKUP(B91,'Diciembre 2023'!$B$2:$G$5822,4,0),"")</f>
        <v>BM</v>
      </c>
    </row>
    <row r="92" spans="1:7" x14ac:dyDescent="0.25">
      <c r="A92" s="17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IFERROR(VLOOKUP(B92,'Diciembre 2023'!$B$2:$G$5822,4,0),"")</f>
        <v>APA_PC</v>
      </c>
    </row>
    <row r="93" spans="1:7" x14ac:dyDescent="0.25">
      <c r="A93" s="17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IFERROR(VLOOKUP(B93,'Diciembre 2023'!$B$2:$G$5822,4,0),"")</f>
        <v>BM</v>
      </c>
    </row>
    <row r="94" spans="1:7" x14ac:dyDescent="0.25">
      <c r="A94" s="17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IFERROR(VLOOKUP(B94,'Diciembre 2023'!$B$2:$G$5822,4,0),"")</f>
        <v>APA_CNPC</v>
      </c>
    </row>
    <row r="95" spans="1:7" x14ac:dyDescent="0.25">
      <c r="A95" s="17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IFERROR(VLOOKUP(B95,'Diciembre 2023'!$B$2:$G$5822,4,0),"")</f>
        <v>DPAPET</v>
      </c>
    </row>
    <row r="96" spans="1:7" x14ac:dyDescent="0.25">
      <c r="A96" s="17"/>
      <c r="B96" s="4" t="s">
        <v>133</v>
      </c>
      <c r="C96" s="4" t="s">
        <v>14</v>
      </c>
      <c r="D96" s="4" t="s">
        <v>15</v>
      </c>
      <c r="E96" s="4" t="s">
        <v>16</v>
      </c>
      <c r="F96" s="4" t="s">
        <v>14</v>
      </c>
      <c r="G96" s="5" t="str">
        <f>IFERROR(VLOOKUP(B96,'Diciembre 2023'!$B$2:$G$5822,4,0),"")</f>
        <v>ATAPET</v>
      </c>
    </row>
    <row r="97" spans="1:7" x14ac:dyDescent="0.25">
      <c r="A97" s="17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IFERROR(VLOOKUP(B97,'Diciembre 2023'!$B$2:$G$5822,4,0),"")</f>
        <v>INACTBM</v>
      </c>
    </row>
    <row r="98" spans="1:7" x14ac:dyDescent="0.25">
      <c r="A98" s="17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IFERROR(VLOOKUP(B98,'Diciembre 2023'!$B$2:$G$5822,4,0),"")</f>
        <v>BM</v>
      </c>
    </row>
    <row r="99" spans="1:7" x14ac:dyDescent="0.25">
      <c r="A99" s="17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IFERROR(VLOOKUP(B99,'Diciembre 2023'!$B$2:$G$5822,4,0),"")</f>
        <v>BM</v>
      </c>
    </row>
    <row r="100" spans="1:7" x14ac:dyDescent="0.25">
      <c r="A100" s="17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IFERROR(VLOOKUP(B100,'Diciembre 2023'!$B$2:$G$5822,4,0),"")</f>
        <v>ATAPET</v>
      </c>
    </row>
    <row r="101" spans="1:7" x14ac:dyDescent="0.25">
      <c r="A101" s="17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IFERROR(VLOOKUP(B101,'Diciembre 2023'!$B$2:$G$5822,4,0),"")</f>
        <v>INACTPETS</v>
      </c>
    </row>
    <row r="102" spans="1:7" x14ac:dyDescent="0.25">
      <c r="A102" s="17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IFERROR(VLOOKUP(B102,'Diciembre 2023'!$B$2:$G$5822,4,0),"")</f>
        <v>INACTBM</v>
      </c>
    </row>
    <row r="103" spans="1:7" x14ac:dyDescent="0.25">
      <c r="A103" s="17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IFERROR(VLOOKUP(B103,'Diciembre 2023'!$B$2:$G$5822,4,0),"")</f>
        <v>APA_PC</v>
      </c>
    </row>
    <row r="104" spans="1:7" x14ac:dyDescent="0.25">
      <c r="A104" s="17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IFERROR(VLOOKUP(B104,'Diciembre 2023'!$B$2:$G$5822,4,0),"")</f>
        <v>APA_CNPC</v>
      </c>
    </row>
    <row r="105" spans="1:7" x14ac:dyDescent="0.25">
      <c r="A105" s="17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IFERROR(VLOOKUP(B105,'Diciembre 2023'!$B$2:$G$5822,4,0),"")</f>
        <v>INACTBM</v>
      </c>
    </row>
    <row r="106" spans="1:7" x14ac:dyDescent="0.25">
      <c r="A106" s="17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IFERROR(VLOOKUP(B106,'Diciembre 2023'!$B$2:$G$5822,4,0),"")</f>
        <v>ATAPET</v>
      </c>
    </row>
    <row r="107" spans="1:7" x14ac:dyDescent="0.25">
      <c r="A107" s="17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IFERROR(VLOOKUP(B107,'Diciembre 2023'!$B$2:$G$5822,4,0),"")</f>
        <v>INACTPETF</v>
      </c>
    </row>
    <row r="108" spans="1:7" x14ac:dyDescent="0.25">
      <c r="A108" s="17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IFERROR(VLOOKUP(B108,'Diciembre 2023'!$B$2:$G$5822,4,0),"")</f>
        <v>INACTPETS</v>
      </c>
    </row>
    <row r="109" spans="1:7" x14ac:dyDescent="0.25">
      <c r="A109" s="17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IFERROR(VLOOKUP(B109,'Diciembre 2023'!$B$2:$G$5822,4,0),"")</f>
        <v>APA_PC</v>
      </c>
    </row>
    <row r="110" spans="1:7" x14ac:dyDescent="0.25">
      <c r="A110" s="17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IFERROR(VLOOKUP(B110,'Diciembre 2023'!$B$2:$G$5822,4,0),"")</f>
        <v>BM</v>
      </c>
    </row>
    <row r="111" spans="1:7" x14ac:dyDescent="0.25">
      <c r="A111" s="17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IFERROR(VLOOKUP(B111,'Diciembre 2023'!$B$2:$G$5822,4,0),"")</f>
        <v>ATAPET</v>
      </c>
    </row>
    <row r="112" spans="1:7" x14ac:dyDescent="0.25">
      <c r="A112" s="17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IFERROR(VLOOKUP(B112,'Diciembre 2023'!$B$2:$G$5822,4,0),"")</f>
        <v>APA_PC</v>
      </c>
    </row>
    <row r="113" spans="1:7" x14ac:dyDescent="0.25">
      <c r="A113" s="17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IFERROR(VLOOKUP(B113,'Diciembre 2023'!$B$2:$G$5822,4,0),"")</f>
        <v>INACTPETS</v>
      </c>
    </row>
    <row r="114" spans="1:7" x14ac:dyDescent="0.25">
      <c r="A114" s="17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IFERROR(VLOOKUP(B114,'Diciembre 2023'!$B$2:$G$5822,4,0),"")</f>
        <v>BM</v>
      </c>
    </row>
    <row r="115" spans="1:7" x14ac:dyDescent="0.25">
      <c r="A115" s="17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IFERROR(VLOOKUP(B115,'Diciembre 2023'!$B$2:$G$5822,4,0),"")</f>
        <v>APA_PC</v>
      </c>
    </row>
    <row r="116" spans="1:7" x14ac:dyDescent="0.25">
      <c r="A116" s="17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IFERROR(VLOOKUP(B116,'Diciembre 2023'!$B$2:$G$5822,4,0),"")</f>
        <v>APA_CNPC</v>
      </c>
    </row>
    <row r="117" spans="1:7" x14ac:dyDescent="0.25">
      <c r="A117" s="17"/>
      <c r="B117" s="4" t="s">
        <v>155</v>
      </c>
      <c r="C117" s="4" t="s">
        <v>14</v>
      </c>
      <c r="D117" s="4" t="s">
        <v>15</v>
      </c>
      <c r="E117" s="4" t="s">
        <v>16</v>
      </c>
      <c r="F117" s="4" t="s">
        <v>14</v>
      </c>
      <c r="G117" s="5" t="str">
        <f>IFERROR(VLOOKUP(B117,'Diciembre 2023'!$B$2:$G$5822,4,0),"")</f>
        <v>ATAPET</v>
      </c>
    </row>
    <row r="118" spans="1:7" x14ac:dyDescent="0.25">
      <c r="A118" s="17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IFERROR(VLOOKUP(B118,'Diciembre 2023'!$B$2:$G$5822,4,0),"")</f>
        <v>APA_CNPC</v>
      </c>
    </row>
    <row r="119" spans="1:7" x14ac:dyDescent="0.25">
      <c r="A119" s="17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IFERROR(VLOOKUP(B119,'Diciembre 2023'!$B$2:$G$5822,4,0),"")</f>
        <v>INACTINYA</v>
      </c>
    </row>
    <row r="120" spans="1:7" x14ac:dyDescent="0.25">
      <c r="A120" s="17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IFERROR(VLOOKUP(B120,'Diciembre 2023'!$B$2:$G$5822,4,0),"")</f>
        <v>APA_PC</v>
      </c>
    </row>
    <row r="121" spans="1:7" x14ac:dyDescent="0.25">
      <c r="A121" s="17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IFERROR(VLOOKUP(B121,'Diciembre 2023'!$B$2:$G$5822,4,0),"")</f>
        <v>BM</v>
      </c>
    </row>
    <row r="122" spans="1:7" x14ac:dyDescent="0.25">
      <c r="A122" s="17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IFERROR(VLOOKUP(B122,'Diciembre 2023'!$B$2:$G$5822,4,0),"")</f>
        <v>DPAPET</v>
      </c>
    </row>
    <row r="123" spans="1:7" x14ac:dyDescent="0.25">
      <c r="A123" s="17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IFERROR(VLOOKUP(B123,'Diciembre 2023'!$B$2:$G$5822,4,0),"")</f>
        <v>INACTPETS</v>
      </c>
    </row>
    <row r="124" spans="1:7" x14ac:dyDescent="0.25">
      <c r="A124" s="17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IFERROR(VLOOKUP(B124,'Diciembre 2023'!$B$2:$G$5822,4,0),"")</f>
        <v>ATAPET</v>
      </c>
    </row>
    <row r="125" spans="1:7" x14ac:dyDescent="0.25">
      <c r="A125" s="17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IFERROR(VLOOKUP(B125,'Diciembre 2023'!$B$2:$G$5822,4,0),"")</f>
        <v>ATAPET</v>
      </c>
    </row>
    <row r="126" spans="1:7" x14ac:dyDescent="0.25">
      <c r="A126" s="17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IFERROR(VLOOKUP(B126,'Diciembre 2023'!$B$2:$G$5822,4,0),"")</f>
        <v>BM</v>
      </c>
    </row>
    <row r="127" spans="1:7" x14ac:dyDescent="0.25">
      <c r="A127" s="17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IFERROR(VLOOKUP(B127,'Diciembre 2023'!$B$2:$G$5822,4,0),"")</f>
        <v>INACTPETF</v>
      </c>
    </row>
    <row r="128" spans="1:7" x14ac:dyDescent="0.25">
      <c r="A128" s="17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IFERROR(VLOOKUP(B128,'Diciembre 2023'!$B$2:$G$5822,4,0),"")</f>
        <v>APA_PC</v>
      </c>
    </row>
    <row r="129" spans="1:7" x14ac:dyDescent="0.25">
      <c r="A129" s="17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IFERROR(VLOOKUP(B129,'Diciembre 2023'!$B$2:$G$5822,4,0),"")</f>
        <v>INACTGAS</v>
      </c>
    </row>
    <row r="130" spans="1:7" x14ac:dyDescent="0.25">
      <c r="A130" s="17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IFERROR(VLOOKUP(B130,'Diciembre 2023'!$B$2:$G$5822,4,0),"")</f>
        <v>ATAPET</v>
      </c>
    </row>
    <row r="131" spans="1:7" x14ac:dyDescent="0.25">
      <c r="A131" s="17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IFERROR(VLOOKUP(B131,'Diciembre 2023'!$B$2:$G$5822,4,0),"")</f>
        <v>ATAPET</v>
      </c>
    </row>
    <row r="132" spans="1:7" x14ac:dyDescent="0.25">
      <c r="A132" s="17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IFERROR(VLOOKUP(B132,'Diciembre 2023'!$B$2:$G$5822,4,0),"")</f>
        <v>APA_PC</v>
      </c>
    </row>
    <row r="133" spans="1:7" x14ac:dyDescent="0.25">
      <c r="A133" s="17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IFERROR(VLOOKUP(B133,'Diciembre 2023'!$B$2:$G$5822,4,0),"")</f>
        <v>APA_PC</v>
      </c>
    </row>
    <row r="134" spans="1:7" x14ac:dyDescent="0.25">
      <c r="A134" s="17"/>
      <c r="B134" s="4" t="s">
        <v>176</v>
      </c>
      <c r="C134" s="4" t="s">
        <v>11</v>
      </c>
      <c r="D134" s="4" t="s">
        <v>11</v>
      </c>
      <c r="E134" s="4" t="s">
        <v>11</v>
      </c>
      <c r="F134" s="4" t="s">
        <v>100</v>
      </c>
      <c r="G134" s="5" t="str">
        <f>IFERROR(VLOOKUP(B134,'Diciembre 2023'!$B$2:$G$5822,4,0),"")</f>
        <v>BM</v>
      </c>
    </row>
    <row r="135" spans="1:7" x14ac:dyDescent="0.25">
      <c r="A135" s="17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IFERROR(VLOOKUP(B135,'Diciembre 2023'!$B$2:$G$5822,4,0),"")</f>
        <v>INACTINYA</v>
      </c>
    </row>
    <row r="136" spans="1:7" x14ac:dyDescent="0.25">
      <c r="A136" s="17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IFERROR(VLOOKUP(B136,'Diciembre 2023'!$B$2:$G$5822,4,0),"")</f>
        <v>INACTBM</v>
      </c>
    </row>
    <row r="137" spans="1:7" x14ac:dyDescent="0.25">
      <c r="A137" s="17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IFERROR(VLOOKUP(B137,'Diciembre 2023'!$B$2:$G$5822,4,0),"")</f>
        <v>INACTBM</v>
      </c>
    </row>
    <row r="138" spans="1:7" x14ac:dyDescent="0.25">
      <c r="A138" s="17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IFERROR(VLOOKUP(B138,'Diciembre 2023'!$B$2:$G$5822,4,0),"")</f>
        <v>APA_PC</v>
      </c>
    </row>
    <row r="139" spans="1:7" x14ac:dyDescent="0.25">
      <c r="A139" s="17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IFERROR(VLOOKUP(B139,'Diciembre 2023'!$B$2:$G$5822,4,0),"")</f>
        <v>APA_PC</v>
      </c>
    </row>
    <row r="140" spans="1:7" x14ac:dyDescent="0.25">
      <c r="A140" s="17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IFERROR(VLOOKUP(B140,'Diciembre 2023'!$B$2:$G$5822,4,0),"")</f>
        <v>APA_CNPC</v>
      </c>
    </row>
    <row r="141" spans="1:7" x14ac:dyDescent="0.25">
      <c r="A141" s="17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IFERROR(VLOOKUP(B141,'Diciembre 2023'!$B$2:$G$5822,4,0),"")</f>
        <v>APAPET</v>
      </c>
    </row>
    <row r="142" spans="1:7" x14ac:dyDescent="0.25">
      <c r="A142" s="17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IFERROR(VLOOKUP(B142,'Diciembre 2023'!$B$2:$G$5822,4,0),"")</f>
        <v>APA_PC</v>
      </c>
    </row>
    <row r="143" spans="1:7" x14ac:dyDescent="0.25">
      <c r="A143" s="17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IFERROR(VLOOKUP(B143,'Diciembre 2023'!$B$2:$G$5822,4,0),"")</f>
        <v>APA_PC</v>
      </c>
    </row>
    <row r="144" spans="1:7" x14ac:dyDescent="0.25">
      <c r="A144" s="17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IFERROR(VLOOKUP(B144,'Diciembre 2023'!$B$2:$G$5822,4,0),"")</f>
        <v>BM</v>
      </c>
    </row>
    <row r="145" spans="1:7" x14ac:dyDescent="0.25">
      <c r="A145" s="17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IFERROR(VLOOKUP(B145,'Diciembre 2023'!$B$2:$G$5822,4,0),"")</f>
        <v>APA_CNPC</v>
      </c>
    </row>
    <row r="146" spans="1:7" x14ac:dyDescent="0.25">
      <c r="A146" s="17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IFERROR(VLOOKUP(B146,'Diciembre 2023'!$B$2:$G$5822,4,0),"")</f>
        <v>DPAPET</v>
      </c>
    </row>
    <row r="147" spans="1:7" x14ac:dyDescent="0.25">
      <c r="A147" s="17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IFERROR(VLOOKUP(B147,'Diciembre 2023'!$B$2:$G$5822,4,0),"")</f>
        <v>ATAPET</v>
      </c>
    </row>
    <row r="148" spans="1:7" x14ac:dyDescent="0.25">
      <c r="A148" s="17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IFERROR(VLOOKUP(B148,'Diciembre 2023'!$B$2:$G$5822,4,0),"")</f>
        <v>APAPET</v>
      </c>
    </row>
    <row r="149" spans="1:7" x14ac:dyDescent="0.25">
      <c r="A149" s="17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IFERROR(VLOOKUP(B149,'Diciembre 2023'!$B$2:$G$5822,4,0),"")</f>
        <v>ATAPET</v>
      </c>
    </row>
    <row r="150" spans="1:7" x14ac:dyDescent="0.25">
      <c r="A150" s="17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IFERROR(VLOOKUP(B150,'Diciembre 2023'!$B$2:$G$5822,4,0),"")</f>
        <v>DPAPET</v>
      </c>
    </row>
    <row r="151" spans="1:7" x14ac:dyDescent="0.25">
      <c r="A151" s="17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IFERROR(VLOOKUP(B151,'Diciembre 2023'!$B$2:$G$5822,4,0),"")</f>
        <v>INACTBM</v>
      </c>
    </row>
    <row r="152" spans="1:7" x14ac:dyDescent="0.25">
      <c r="A152" s="17"/>
      <c r="B152" s="4" t="s">
        <v>194</v>
      </c>
      <c r="C152" s="4" t="s">
        <v>14</v>
      </c>
      <c r="D152" s="4" t="s">
        <v>15</v>
      </c>
      <c r="E152" s="4" t="s">
        <v>16</v>
      </c>
      <c r="F152" s="4" t="s">
        <v>14</v>
      </c>
      <c r="G152" s="5" t="str">
        <f>IFERROR(VLOOKUP(B152,'Diciembre 2023'!$B$2:$G$5822,4,0),"")</f>
        <v>ATAPET</v>
      </c>
    </row>
    <row r="153" spans="1:7" x14ac:dyDescent="0.25">
      <c r="A153" s="17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IFERROR(VLOOKUP(B153,'Diciembre 2023'!$B$2:$G$5822,4,0),"")</f>
        <v>APA_PC</v>
      </c>
    </row>
    <row r="154" spans="1:7" x14ac:dyDescent="0.25">
      <c r="A154" s="17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IFERROR(VLOOKUP(B154,'Diciembre 2023'!$B$2:$G$5822,4,0),"")</f>
        <v>ATAPET</v>
      </c>
    </row>
    <row r="155" spans="1:7" x14ac:dyDescent="0.25">
      <c r="A155" s="17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IFERROR(VLOOKUP(B155,'Diciembre 2023'!$B$2:$G$5822,4,0),"")</f>
        <v>ATAPET</v>
      </c>
    </row>
    <row r="156" spans="1:7" x14ac:dyDescent="0.25">
      <c r="A156" s="17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IFERROR(VLOOKUP(B156,'Diciembre 2023'!$B$2:$G$5822,4,0),"")</f>
        <v>APA_PC</v>
      </c>
    </row>
    <row r="157" spans="1:7" x14ac:dyDescent="0.25">
      <c r="A157" s="17"/>
      <c r="B157" s="4" t="s">
        <v>199</v>
      </c>
      <c r="C157" s="4" t="s">
        <v>14</v>
      </c>
      <c r="D157" s="4" t="s">
        <v>15</v>
      </c>
      <c r="E157" s="4" t="s">
        <v>16</v>
      </c>
      <c r="F157" s="4" t="s">
        <v>14</v>
      </c>
      <c r="G157" s="5" t="str">
        <f>IFERROR(VLOOKUP(B157,'Diciembre 2023'!$B$2:$G$5822,4,0),"")</f>
        <v>ATAPET</v>
      </c>
    </row>
    <row r="158" spans="1:7" x14ac:dyDescent="0.25">
      <c r="A158" s="17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IFERROR(VLOOKUP(B158,'Diciembre 2023'!$B$2:$G$5822,4,0),"")</f>
        <v>ATAPET</v>
      </c>
    </row>
    <row r="159" spans="1:7" x14ac:dyDescent="0.25">
      <c r="A159" s="17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IFERROR(VLOOKUP(B159,'Diciembre 2023'!$B$2:$G$5822,4,0),"")</f>
        <v>ATAPET</v>
      </c>
    </row>
    <row r="160" spans="1:7" x14ac:dyDescent="0.25">
      <c r="A160" s="17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IFERROR(VLOOKUP(B160,'Diciembre 2023'!$B$2:$G$5822,4,0),"")</f>
        <v>ATAPET</v>
      </c>
    </row>
    <row r="161" spans="1:7" x14ac:dyDescent="0.25">
      <c r="A161" s="17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IFERROR(VLOOKUP(B161,'Diciembre 2023'!$B$2:$G$5822,4,0),"")</f>
        <v>DPAPET</v>
      </c>
    </row>
    <row r="162" spans="1:7" x14ac:dyDescent="0.25">
      <c r="A162" s="17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IFERROR(VLOOKUP(B162,'Diciembre 2023'!$B$2:$G$5822,4,0),"")</f>
        <v>DPAPET</v>
      </c>
    </row>
    <row r="163" spans="1:7" x14ac:dyDescent="0.25">
      <c r="A163" s="17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IFERROR(VLOOKUP(B163,'Diciembre 2023'!$B$2:$G$5822,4,0),"")</f>
        <v>INACTBM</v>
      </c>
    </row>
    <row r="164" spans="1:7" x14ac:dyDescent="0.25">
      <c r="A164" s="17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IFERROR(VLOOKUP(B164,'Diciembre 2023'!$B$2:$G$5822,4,0),"")</f>
        <v>APA_CNPC</v>
      </c>
    </row>
    <row r="165" spans="1:7" x14ac:dyDescent="0.25">
      <c r="A165" s="17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IFERROR(VLOOKUP(B165,'Diciembre 2023'!$B$2:$G$5822,4,0),"")</f>
        <v>APA_PC</v>
      </c>
    </row>
    <row r="166" spans="1:7" x14ac:dyDescent="0.25">
      <c r="A166" s="17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IFERROR(VLOOKUP(B166,'Diciembre 2023'!$B$2:$G$5822,4,0),"")</f>
        <v>DPAPET</v>
      </c>
    </row>
    <row r="167" spans="1:7" x14ac:dyDescent="0.25">
      <c r="A167" s="17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IFERROR(VLOOKUP(B167,'Diciembre 2023'!$B$2:$G$5822,4,0),"")</f>
        <v>DPAPET</v>
      </c>
    </row>
    <row r="168" spans="1:7" x14ac:dyDescent="0.25">
      <c r="A168" s="17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IFERROR(VLOOKUP(B168,'Diciembre 2023'!$B$2:$G$5822,4,0),"")</f>
        <v>BM</v>
      </c>
    </row>
    <row r="169" spans="1:7" x14ac:dyDescent="0.25">
      <c r="A169" s="17"/>
      <c r="B169" s="4" t="s">
        <v>211</v>
      </c>
      <c r="C169" s="4" t="s">
        <v>14</v>
      </c>
      <c r="D169" s="4" t="s">
        <v>15</v>
      </c>
      <c r="E169" s="4" t="s">
        <v>16</v>
      </c>
      <c r="F169" s="4" t="s">
        <v>14</v>
      </c>
      <c r="G169" s="5" t="str">
        <f>IFERROR(VLOOKUP(B169,'Diciembre 2023'!$B$2:$G$5822,4,0),"")</f>
        <v>ATAPET</v>
      </c>
    </row>
    <row r="170" spans="1:7" x14ac:dyDescent="0.25">
      <c r="A170" s="17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IFERROR(VLOOKUP(B170,'Diciembre 2023'!$B$2:$G$5822,4,0),"")</f>
        <v>BM</v>
      </c>
    </row>
    <row r="171" spans="1:7" x14ac:dyDescent="0.25">
      <c r="A171" s="17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IFERROR(VLOOKUP(B171,'Diciembre 2023'!$B$2:$G$5822,4,0),"")</f>
        <v>APA_PC</v>
      </c>
    </row>
    <row r="172" spans="1:7" x14ac:dyDescent="0.25">
      <c r="A172" s="17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IFERROR(VLOOKUP(B172,'Diciembre 2023'!$B$2:$G$5822,4,0),"")</f>
        <v>APA_CNPC</v>
      </c>
    </row>
    <row r="173" spans="1:7" x14ac:dyDescent="0.25">
      <c r="A173" s="17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IFERROR(VLOOKUP(B173,'Diciembre 2023'!$B$2:$G$5822,4,0),"")</f>
        <v>BM</v>
      </c>
    </row>
    <row r="174" spans="1:7" x14ac:dyDescent="0.25">
      <c r="A174" s="17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IFERROR(VLOOKUP(B174,'Diciembre 2023'!$B$2:$G$5822,4,0),"")</f>
        <v>ATAPET</v>
      </c>
    </row>
    <row r="175" spans="1:7" x14ac:dyDescent="0.25">
      <c r="A175" s="17"/>
      <c r="B175" s="4" t="s">
        <v>217</v>
      </c>
      <c r="C175" s="4" t="s">
        <v>14</v>
      </c>
      <c r="D175" s="4" t="s">
        <v>15</v>
      </c>
      <c r="E175" s="4" t="s">
        <v>16</v>
      </c>
      <c r="F175" s="4" t="s">
        <v>14</v>
      </c>
      <c r="G175" s="5" t="str">
        <f>IFERROR(VLOOKUP(B175,'Diciembre 2023'!$B$2:$G$5822,4,0),"")</f>
        <v>ATAPET</v>
      </c>
    </row>
    <row r="176" spans="1:7" x14ac:dyDescent="0.25">
      <c r="A176" s="17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IFERROR(VLOOKUP(B176,'Diciembre 2023'!$B$2:$G$5822,4,0),"")</f>
        <v>APA_PC</v>
      </c>
    </row>
    <row r="177" spans="1:7" x14ac:dyDescent="0.25">
      <c r="A177" s="17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IFERROR(VLOOKUP(B177,'Diciembre 2023'!$B$2:$G$5822,4,0),"")</f>
        <v>ATAPET</v>
      </c>
    </row>
    <row r="178" spans="1:7" x14ac:dyDescent="0.25">
      <c r="A178" s="17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IFERROR(VLOOKUP(B178,'Diciembre 2023'!$B$2:$G$5822,4,0),"")</f>
        <v>INACTPETS</v>
      </c>
    </row>
    <row r="179" spans="1:7" x14ac:dyDescent="0.25">
      <c r="A179" s="17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IFERROR(VLOOKUP(B179,'Diciembre 2023'!$B$2:$G$5822,4,0),"")</f>
        <v>INACTBM</v>
      </c>
    </row>
    <row r="180" spans="1:7" x14ac:dyDescent="0.25">
      <c r="A180" s="17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IFERROR(VLOOKUP(B180,'Diciembre 2023'!$B$2:$G$5822,4,0),"")</f>
        <v>APA_PC</v>
      </c>
    </row>
    <row r="181" spans="1:7" x14ac:dyDescent="0.25">
      <c r="A181" s="17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IFERROR(VLOOKUP(B181,'Diciembre 2023'!$B$2:$G$5822,4,0),"")</f>
        <v>DPAPET</v>
      </c>
    </row>
    <row r="182" spans="1:7" x14ac:dyDescent="0.25">
      <c r="A182" s="17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IFERROR(VLOOKUP(B182,'Diciembre 2023'!$B$2:$G$5822,4,0),"")</f>
        <v>BM</v>
      </c>
    </row>
    <row r="183" spans="1:7" x14ac:dyDescent="0.25">
      <c r="A183" s="17"/>
      <c r="B183" s="4" t="s">
        <v>225</v>
      </c>
      <c r="C183" s="4" t="s">
        <v>35</v>
      </c>
      <c r="D183" s="4" t="s">
        <v>35</v>
      </c>
      <c r="E183" s="4" t="s">
        <v>57</v>
      </c>
      <c r="F183" s="4" t="s">
        <v>77</v>
      </c>
      <c r="G183" s="5" t="str">
        <f>IFERROR(VLOOKUP(B183,'Diciembre 2023'!$B$2:$G$5822,4,0),"")</f>
        <v>INACTBM</v>
      </c>
    </row>
    <row r="184" spans="1:7" x14ac:dyDescent="0.25">
      <c r="A184" s="17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IFERROR(VLOOKUP(B184,'Diciembre 2023'!$B$2:$G$5822,4,0),"")</f>
        <v>APA_PC</v>
      </c>
    </row>
    <row r="185" spans="1:7" x14ac:dyDescent="0.25">
      <c r="A185" s="17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IFERROR(VLOOKUP(B185,'Diciembre 2023'!$B$2:$G$5822,4,0),"")</f>
        <v>DPAPET</v>
      </c>
    </row>
    <row r="186" spans="1:7" x14ac:dyDescent="0.25">
      <c r="A186" s="17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IFERROR(VLOOKUP(B186,'Diciembre 2023'!$B$2:$G$5822,4,0),"")</f>
        <v>APA_PC</v>
      </c>
    </row>
    <row r="187" spans="1:7" x14ac:dyDescent="0.25">
      <c r="A187" s="17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IFERROR(VLOOKUP(B187,'Diciembre 2023'!$B$2:$G$5822,4,0),"")</f>
        <v>ATAPET</v>
      </c>
    </row>
    <row r="188" spans="1:7" x14ac:dyDescent="0.25">
      <c r="A188" s="17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IFERROR(VLOOKUP(B188,'Diciembre 2023'!$B$2:$G$5822,4,0),"")</f>
        <v>APA_PC</v>
      </c>
    </row>
    <row r="189" spans="1:7" x14ac:dyDescent="0.25">
      <c r="A189" s="17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IFERROR(VLOOKUP(B189,'Diciembre 2023'!$B$2:$G$5822,4,0),"")</f>
        <v>INACTBM</v>
      </c>
    </row>
    <row r="190" spans="1:7" x14ac:dyDescent="0.25">
      <c r="A190" s="17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IFERROR(VLOOKUP(B190,'Diciembre 2023'!$B$2:$G$5822,4,0),"")</f>
        <v>APA_PC</v>
      </c>
    </row>
    <row r="191" spans="1:7" x14ac:dyDescent="0.25">
      <c r="A191" s="17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IFERROR(VLOOKUP(B191,'Diciembre 2023'!$B$2:$G$5822,4,0),"")</f>
        <v>ATAPET</v>
      </c>
    </row>
    <row r="192" spans="1:7" x14ac:dyDescent="0.25">
      <c r="A192" s="17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IFERROR(VLOOKUP(B192,'Diciembre 2023'!$B$2:$G$5822,4,0),"")</f>
        <v>BM</v>
      </c>
    </row>
    <row r="193" spans="1:7" x14ac:dyDescent="0.25">
      <c r="A193" s="17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IFERROR(VLOOKUP(B193,'Diciembre 2023'!$B$2:$G$5822,4,0),"")</f>
        <v>INACTBM</v>
      </c>
    </row>
    <row r="194" spans="1:7" x14ac:dyDescent="0.25">
      <c r="A194" s="17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IFERROR(VLOOKUP(B194,'Diciembre 2023'!$B$2:$G$5822,4,0),"")</f>
        <v>APA_CNPC</v>
      </c>
    </row>
    <row r="195" spans="1:7" x14ac:dyDescent="0.25">
      <c r="A195" s="17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IFERROR(VLOOKUP(B195,'Diciembre 2023'!$B$2:$G$5822,4,0),"")</f>
        <v>ATAPET</v>
      </c>
    </row>
    <row r="196" spans="1:7" x14ac:dyDescent="0.25">
      <c r="A196" s="17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IFERROR(VLOOKUP(B196,'Diciembre 2023'!$B$2:$G$5822,4,0),"")</f>
        <v>APA_PC</v>
      </c>
    </row>
    <row r="197" spans="1:7" x14ac:dyDescent="0.25">
      <c r="A197" s="17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IFERROR(VLOOKUP(B197,'Diciembre 2023'!$B$2:$G$5822,4,0),"")</f>
        <v>APA_CNPC</v>
      </c>
    </row>
    <row r="198" spans="1:7" x14ac:dyDescent="0.25">
      <c r="A198" s="17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IFERROR(VLOOKUP(B198,'Diciembre 2023'!$B$2:$G$5822,4,0),"")</f>
        <v>BM</v>
      </c>
    </row>
    <row r="199" spans="1:7" x14ac:dyDescent="0.25">
      <c r="A199" s="17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IFERROR(VLOOKUP(B199,'Diciembre 2023'!$B$2:$G$5822,4,0),"")</f>
        <v>APA_PC</v>
      </c>
    </row>
    <row r="200" spans="1:7" x14ac:dyDescent="0.25">
      <c r="A200" s="17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IFERROR(VLOOKUP(B200,'Diciembre 2023'!$B$2:$G$5822,4,0),"")</f>
        <v>APA_PC</v>
      </c>
    </row>
    <row r="201" spans="1:7" x14ac:dyDescent="0.25">
      <c r="A201" s="17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IFERROR(VLOOKUP(B201,'Diciembre 2023'!$B$2:$G$5822,4,0),"")</f>
        <v>ATAPET</v>
      </c>
    </row>
    <row r="202" spans="1:7" x14ac:dyDescent="0.25">
      <c r="A202" s="17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IFERROR(VLOOKUP(B202,'Diciembre 2023'!$B$2:$G$5822,4,0),"")</f>
        <v>INACTPETS</v>
      </c>
    </row>
    <row r="203" spans="1:7" x14ac:dyDescent="0.25">
      <c r="A203" s="17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IFERROR(VLOOKUP(B203,'Diciembre 2023'!$B$2:$G$5822,4,0),"")</f>
        <v>APA_CNPC</v>
      </c>
    </row>
    <row r="204" spans="1:7" x14ac:dyDescent="0.25">
      <c r="A204" s="17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IFERROR(VLOOKUP(B204,'Diciembre 2023'!$B$2:$G$5822,4,0),"")</f>
        <v>ATAPET</v>
      </c>
    </row>
    <row r="205" spans="1:7" x14ac:dyDescent="0.25">
      <c r="A205" s="17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IFERROR(VLOOKUP(B205,'Diciembre 2023'!$B$2:$G$5822,4,0),"")</f>
        <v>ACTPETS</v>
      </c>
    </row>
    <row r="206" spans="1:7" x14ac:dyDescent="0.25">
      <c r="A206" s="17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IFERROR(VLOOKUP(B206,'Diciembre 2023'!$B$2:$G$5822,4,0),"")</f>
        <v>ATAPET</v>
      </c>
    </row>
    <row r="207" spans="1:7" x14ac:dyDescent="0.25">
      <c r="A207" s="17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IFERROR(VLOOKUP(B207,'Diciembre 2023'!$B$2:$G$5822,4,0),"")</f>
        <v>APA_PC</v>
      </c>
    </row>
    <row r="208" spans="1:7" x14ac:dyDescent="0.25">
      <c r="A208" s="17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IFERROR(VLOOKUP(B208,'Diciembre 2023'!$B$2:$G$5822,4,0),"")</f>
        <v>APA_PC</v>
      </c>
    </row>
    <row r="209" spans="1:7" x14ac:dyDescent="0.25">
      <c r="A209" s="17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IFERROR(VLOOKUP(B209,'Diciembre 2023'!$B$2:$G$5822,4,0),"")</f>
        <v>ACTINYA</v>
      </c>
    </row>
    <row r="210" spans="1:7" x14ac:dyDescent="0.25">
      <c r="A210" s="17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IFERROR(VLOOKUP(B210,'Diciembre 2023'!$B$2:$G$5822,4,0),"")</f>
        <v>ATAPET</v>
      </c>
    </row>
    <row r="211" spans="1:7" x14ac:dyDescent="0.25">
      <c r="A211" s="17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IFERROR(VLOOKUP(B211,'Diciembre 2023'!$B$2:$G$5822,4,0),"")</f>
        <v>APA_PC</v>
      </c>
    </row>
    <row r="212" spans="1:7" x14ac:dyDescent="0.25">
      <c r="A212" s="17"/>
      <c r="B212" s="4" t="s">
        <v>255</v>
      </c>
      <c r="C212" s="4" t="s">
        <v>14</v>
      </c>
      <c r="D212" s="4" t="s">
        <v>15</v>
      </c>
      <c r="E212" s="4" t="s">
        <v>16</v>
      </c>
      <c r="F212" s="4" t="s">
        <v>14</v>
      </c>
      <c r="G212" s="5" t="str">
        <f>IFERROR(VLOOKUP(B212,'Diciembre 2023'!$B$2:$G$5822,4,0),"")</f>
        <v>ATAPET</v>
      </c>
    </row>
    <row r="213" spans="1:7" x14ac:dyDescent="0.25">
      <c r="A213" s="17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IFERROR(VLOOKUP(B213,'Diciembre 2023'!$B$2:$G$5822,4,0),"")</f>
        <v>INACTINYA</v>
      </c>
    </row>
    <row r="214" spans="1:7" x14ac:dyDescent="0.25">
      <c r="A214" s="17"/>
      <c r="B214" s="4" t="s">
        <v>257</v>
      </c>
      <c r="C214" s="4" t="s">
        <v>14</v>
      </c>
      <c r="D214" s="4" t="s">
        <v>15</v>
      </c>
      <c r="E214" s="4" t="s">
        <v>98</v>
      </c>
      <c r="F214" s="4" t="s">
        <v>14</v>
      </c>
      <c r="G214" s="5" t="str">
        <f>IFERROR(VLOOKUP(B214,'Diciembre 2023'!$B$2:$G$5822,4,0),"")</f>
        <v>ATAINY</v>
      </c>
    </row>
    <row r="215" spans="1:7" x14ac:dyDescent="0.25">
      <c r="A215" s="17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IFERROR(VLOOKUP(B215,'Diciembre 2023'!$B$2:$G$5822,4,0),"")</f>
        <v>ACTPETF</v>
      </c>
    </row>
    <row r="216" spans="1:7" x14ac:dyDescent="0.25">
      <c r="A216" s="17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IFERROR(VLOOKUP(B216,'Diciembre 2023'!$B$2:$G$5822,4,0),"")</f>
        <v>ATAPET</v>
      </c>
    </row>
    <row r="217" spans="1:7" x14ac:dyDescent="0.25">
      <c r="A217" s="17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IFERROR(VLOOKUP(B217,'Diciembre 2023'!$B$2:$G$5822,4,0),"")</f>
        <v>APA_PC</v>
      </c>
    </row>
    <row r="218" spans="1:7" x14ac:dyDescent="0.25">
      <c r="A218" s="17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IFERROR(VLOOKUP(B218,'Diciembre 2023'!$B$2:$G$5822,4,0),"")</f>
        <v>ATAPET</v>
      </c>
    </row>
    <row r="219" spans="1:7" x14ac:dyDescent="0.25">
      <c r="A219" s="17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IFERROR(VLOOKUP(B219,'Diciembre 2023'!$B$2:$G$5822,4,0),"")</f>
        <v>ATAGAS</v>
      </c>
    </row>
    <row r="220" spans="1:7" x14ac:dyDescent="0.25">
      <c r="A220" s="17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IFERROR(VLOOKUP(B220,'Diciembre 2023'!$B$2:$G$5822,4,0),"")</f>
        <v>ATAPET</v>
      </c>
    </row>
    <row r="221" spans="1:7" x14ac:dyDescent="0.25">
      <c r="A221" s="17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IFERROR(VLOOKUP(B221,'Diciembre 2023'!$B$2:$G$5822,4,0),"")</f>
        <v>DPAPET</v>
      </c>
    </row>
    <row r="222" spans="1:7" x14ac:dyDescent="0.25">
      <c r="A222" s="17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IFERROR(VLOOKUP(B222,'Diciembre 2023'!$B$2:$G$5822,4,0),"")</f>
        <v>ATAPET</v>
      </c>
    </row>
    <row r="223" spans="1:7" x14ac:dyDescent="0.25">
      <c r="A223" s="17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IFERROR(VLOOKUP(B223,'Diciembre 2023'!$B$2:$G$5822,4,0),"")</f>
        <v>INACTBM</v>
      </c>
    </row>
    <row r="224" spans="1:7" x14ac:dyDescent="0.25">
      <c r="A224" s="17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IFERROR(VLOOKUP(B224,'Diciembre 2023'!$B$2:$G$5822,4,0),"")</f>
        <v>ATAPET</v>
      </c>
    </row>
    <row r="225" spans="1:7" x14ac:dyDescent="0.25">
      <c r="A225" s="17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IFERROR(VLOOKUP(B225,'Diciembre 2023'!$B$2:$G$5822,4,0),"")</f>
        <v>APA_CNPC</v>
      </c>
    </row>
    <row r="226" spans="1:7" x14ac:dyDescent="0.25">
      <c r="A226" s="17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IFERROR(VLOOKUP(B226,'Diciembre 2023'!$B$2:$G$5822,4,0),"")</f>
        <v>APA_PC</v>
      </c>
    </row>
    <row r="227" spans="1:7" x14ac:dyDescent="0.25">
      <c r="A227" s="17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IFERROR(VLOOKUP(B227,'Diciembre 2023'!$B$2:$G$5822,4,0),"")</f>
        <v>DPAPET</v>
      </c>
    </row>
    <row r="228" spans="1:7" x14ac:dyDescent="0.25">
      <c r="A228" s="17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IFERROR(VLOOKUP(B228,'Diciembre 2023'!$B$2:$G$5822,4,0),"")</f>
        <v>INACTBM</v>
      </c>
    </row>
    <row r="229" spans="1:7" x14ac:dyDescent="0.25">
      <c r="A229" s="17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IFERROR(VLOOKUP(B229,'Diciembre 2023'!$B$2:$G$5822,4,0),"")</f>
        <v>ATAPET</v>
      </c>
    </row>
    <row r="230" spans="1:7" x14ac:dyDescent="0.25">
      <c r="A230" s="17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IFERROR(VLOOKUP(B230,'Diciembre 2023'!$B$2:$G$5822,4,0),"")</f>
        <v>APA_PC</v>
      </c>
    </row>
    <row r="231" spans="1:7" x14ac:dyDescent="0.25">
      <c r="A231" s="17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IFERROR(VLOOKUP(B231,'Diciembre 2023'!$B$2:$G$5822,4,0),"")</f>
        <v>ACTPETS</v>
      </c>
    </row>
    <row r="232" spans="1:7" x14ac:dyDescent="0.25">
      <c r="A232" s="17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IFERROR(VLOOKUP(B232,'Diciembre 2023'!$B$2:$G$5822,4,0),"")</f>
        <v>BM</v>
      </c>
    </row>
    <row r="233" spans="1:7" x14ac:dyDescent="0.25">
      <c r="A233" s="17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IFERROR(VLOOKUP(B233,'Diciembre 2023'!$B$2:$G$5822,4,0),"")</f>
        <v>ACTPETF</v>
      </c>
    </row>
    <row r="234" spans="1:7" x14ac:dyDescent="0.25">
      <c r="A234" s="17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IFERROR(VLOOKUP(B234,'Diciembre 2023'!$B$2:$G$5822,4,0),"")</f>
        <v>DPAPET</v>
      </c>
    </row>
    <row r="235" spans="1:7" x14ac:dyDescent="0.25">
      <c r="A235" s="17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IFERROR(VLOOKUP(B235,'Diciembre 2023'!$B$2:$G$5822,4,0),"")</f>
        <v>APAPET</v>
      </c>
    </row>
    <row r="236" spans="1:7" x14ac:dyDescent="0.25">
      <c r="A236" s="17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IFERROR(VLOOKUP(B236,'Diciembre 2023'!$B$2:$G$5822,4,0),"")</f>
        <v>ATAPET</v>
      </c>
    </row>
    <row r="237" spans="1:7" x14ac:dyDescent="0.25">
      <c r="A237" s="17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IFERROR(VLOOKUP(B237,'Diciembre 2023'!$B$2:$G$5822,4,0),"")</f>
        <v>APAPET</v>
      </c>
    </row>
    <row r="238" spans="1:7" x14ac:dyDescent="0.25">
      <c r="A238" s="17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IFERROR(VLOOKUP(B238,'Diciembre 2023'!$B$2:$G$5822,4,0),"")</f>
        <v>BM</v>
      </c>
    </row>
    <row r="239" spans="1:7" x14ac:dyDescent="0.25">
      <c r="A239" s="17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IFERROR(VLOOKUP(B239,'Diciembre 2023'!$B$2:$G$5822,4,0),"")</f>
        <v>ACTPETS</v>
      </c>
    </row>
    <row r="240" spans="1:7" x14ac:dyDescent="0.25">
      <c r="A240" s="17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IFERROR(VLOOKUP(B240,'Diciembre 2023'!$B$2:$G$5822,4,0),"")</f>
        <v>APA_PC</v>
      </c>
    </row>
    <row r="241" spans="1:7" x14ac:dyDescent="0.25">
      <c r="A241" s="17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IFERROR(VLOOKUP(B241,'Diciembre 2023'!$B$2:$G$5822,4,0),"")</f>
        <v>ACTPETF</v>
      </c>
    </row>
    <row r="242" spans="1:7" x14ac:dyDescent="0.25">
      <c r="A242" s="17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IFERROR(VLOOKUP(B242,'Diciembre 2023'!$B$2:$G$5822,4,0),"")</f>
        <v>ACTPETS</v>
      </c>
    </row>
    <row r="243" spans="1:7" x14ac:dyDescent="0.25">
      <c r="A243" s="17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IFERROR(VLOOKUP(B243,'Diciembre 2023'!$B$2:$G$5822,4,0),"")</f>
        <v>BM</v>
      </c>
    </row>
    <row r="244" spans="1:7" x14ac:dyDescent="0.25">
      <c r="A244" s="17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IFERROR(VLOOKUP(B244,'Diciembre 2023'!$B$2:$G$5822,4,0),"")</f>
        <v>BM</v>
      </c>
    </row>
    <row r="245" spans="1:7" x14ac:dyDescent="0.25">
      <c r="A245" s="17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IFERROR(VLOOKUP(B245,'Diciembre 2023'!$B$2:$G$5822,4,0),"")</f>
        <v>DPAPET</v>
      </c>
    </row>
    <row r="246" spans="1:7" x14ac:dyDescent="0.25">
      <c r="A246" s="17"/>
      <c r="B246" s="4" t="s">
        <v>290</v>
      </c>
      <c r="C246" s="4" t="s">
        <v>14</v>
      </c>
      <c r="D246" s="4" t="s">
        <v>15</v>
      </c>
      <c r="E246" s="4" t="s">
        <v>16</v>
      </c>
      <c r="F246" s="4" t="s">
        <v>14</v>
      </c>
      <c r="G246" s="5" t="str">
        <f>IFERROR(VLOOKUP(B246,'Diciembre 2023'!$B$2:$G$5822,4,0),"")</f>
        <v>ATAPET</v>
      </c>
    </row>
    <row r="247" spans="1:7" x14ac:dyDescent="0.25">
      <c r="A247" s="17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IFERROR(VLOOKUP(B247,'Diciembre 2023'!$B$2:$G$5822,4,0),"")</f>
        <v>ATAPET</v>
      </c>
    </row>
    <row r="248" spans="1:7" x14ac:dyDescent="0.25">
      <c r="A248" s="17"/>
      <c r="B248" s="4" t="s">
        <v>292</v>
      </c>
      <c r="C248" s="4" t="s">
        <v>14</v>
      </c>
      <c r="D248" s="4" t="s">
        <v>15</v>
      </c>
      <c r="E248" s="4" t="s">
        <v>263</v>
      </c>
      <c r="F248" s="4" t="s">
        <v>14</v>
      </c>
      <c r="G248" s="5" t="str">
        <f>IFERROR(VLOOKUP(B248,'Diciembre 2023'!$B$2:$G$5822,4,0),"")</f>
        <v>ATAGAS</v>
      </c>
    </row>
    <row r="249" spans="1:7" x14ac:dyDescent="0.25">
      <c r="A249" s="17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IFERROR(VLOOKUP(B249,'Diciembre 2023'!$B$2:$G$5822,4,0),"")</f>
        <v>ACTPETS</v>
      </c>
    </row>
    <row r="250" spans="1:7" x14ac:dyDescent="0.25">
      <c r="A250" s="17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IFERROR(VLOOKUP(B250,'Diciembre 2023'!$B$2:$G$5822,4,0),"")</f>
        <v>BM</v>
      </c>
    </row>
    <row r="251" spans="1:7" x14ac:dyDescent="0.25">
      <c r="A251" s="17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IFERROR(VLOOKUP(B251,'Diciembre 2023'!$B$2:$G$5822,4,0),"")</f>
        <v>ATAPET</v>
      </c>
    </row>
    <row r="252" spans="1:7" x14ac:dyDescent="0.25">
      <c r="A252" s="17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IFERROR(VLOOKUP(B252,'Diciembre 2023'!$B$2:$G$5822,4,0),"")</f>
        <v>ACTPETF</v>
      </c>
    </row>
    <row r="253" spans="1:7" x14ac:dyDescent="0.25">
      <c r="A253" s="17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IFERROR(VLOOKUP(B253,'Diciembre 2023'!$B$2:$G$5822,4,0),"")</f>
        <v>ACTPETS</v>
      </c>
    </row>
    <row r="254" spans="1:7" x14ac:dyDescent="0.25">
      <c r="A254" s="17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IFERROR(VLOOKUP(B254,'Diciembre 2023'!$B$2:$G$5822,4,0),"")</f>
        <v>INACTPETS</v>
      </c>
    </row>
    <row r="255" spans="1:7" x14ac:dyDescent="0.25">
      <c r="A255" s="17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IFERROR(VLOOKUP(B255,'Diciembre 2023'!$B$2:$G$5822,4,0),"")</f>
        <v>BM</v>
      </c>
    </row>
    <row r="256" spans="1:7" x14ac:dyDescent="0.25">
      <c r="A256" s="17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IFERROR(VLOOKUP(B256,'Diciembre 2023'!$B$2:$G$5822,4,0),"")</f>
        <v>BM</v>
      </c>
    </row>
    <row r="257" spans="1:7" x14ac:dyDescent="0.25">
      <c r="A257" s="17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IFERROR(VLOOKUP(B257,'Diciembre 2023'!$B$2:$G$5822,4,0),"")</f>
        <v>INACTBM</v>
      </c>
    </row>
    <row r="258" spans="1:7" x14ac:dyDescent="0.25">
      <c r="A258" s="17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IFERROR(VLOOKUP(B258,'Diciembre 2023'!$B$2:$G$5822,4,0),"")</f>
        <v>ATAPET</v>
      </c>
    </row>
    <row r="259" spans="1:7" x14ac:dyDescent="0.25">
      <c r="A259" s="17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IFERROR(VLOOKUP(B259,'Diciembre 2023'!$B$2:$G$5822,4,0),"")</f>
        <v>ATAPET</v>
      </c>
    </row>
    <row r="260" spans="1:7" x14ac:dyDescent="0.25">
      <c r="A260" s="17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IFERROR(VLOOKUP(B260,'Diciembre 2023'!$B$2:$G$5822,4,0),"")</f>
        <v>BM</v>
      </c>
    </row>
    <row r="261" spans="1:7" x14ac:dyDescent="0.25">
      <c r="A261" s="17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IFERROR(VLOOKUP(B261,'Diciembre 2023'!$B$2:$G$5822,4,0),"")</f>
        <v>ACTPETS</v>
      </c>
    </row>
    <row r="262" spans="1:7" x14ac:dyDescent="0.25">
      <c r="A262" s="17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IFERROR(VLOOKUP(B262,'Diciembre 2023'!$B$2:$G$5822,4,0),"")</f>
        <v>BM</v>
      </c>
    </row>
    <row r="263" spans="1:7" x14ac:dyDescent="0.25">
      <c r="A263" s="17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IFERROR(VLOOKUP(B263,'Diciembre 2023'!$B$2:$G$5822,4,0),"")</f>
        <v>ACTPETF</v>
      </c>
    </row>
    <row r="264" spans="1:7" x14ac:dyDescent="0.25">
      <c r="A264" s="17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IFERROR(VLOOKUP(B264,'Diciembre 2023'!$B$2:$G$5822,4,0),"")</f>
        <v>BM</v>
      </c>
    </row>
    <row r="265" spans="1:7" x14ac:dyDescent="0.25">
      <c r="A265" s="17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IFERROR(VLOOKUP(B265,'Diciembre 2023'!$B$2:$G$5822,4,0),"")</f>
        <v>BM</v>
      </c>
    </row>
    <row r="266" spans="1:7" x14ac:dyDescent="0.25">
      <c r="A266" s="17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IFERROR(VLOOKUP(B266,'Diciembre 2023'!$B$2:$G$5822,4,0),"")</f>
        <v>BM</v>
      </c>
    </row>
    <row r="267" spans="1:7" x14ac:dyDescent="0.25">
      <c r="A267" s="17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IFERROR(VLOOKUP(B267,'Diciembre 2023'!$B$2:$G$5822,4,0),"")</f>
        <v>INACTGAS</v>
      </c>
    </row>
    <row r="268" spans="1:7" x14ac:dyDescent="0.25">
      <c r="A268" s="17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IFERROR(VLOOKUP(B268,'Diciembre 2023'!$B$2:$G$5822,4,0),"")</f>
        <v>INACTPETS</v>
      </c>
    </row>
    <row r="269" spans="1:7" x14ac:dyDescent="0.25">
      <c r="A269" s="17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IFERROR(VLOOKUP(B269,'Diciembre 2023'!$B$2:$G$5822,4,0),"")</f>
        <v>APA_PC</v>
      </c>
    </row>
    <row r="270" spans="1:7" x14ac:dyDescent="0.25">
      <c r="A270" s="17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IFERROR(VLOOKUP(B270,'Diciembre 2023'!$B$2:$G$5822,4,0),"")</f>
        <v>INACTPETS</v>
      </c>
    </row>
    <row r="271" spans="1:7" x14ac:dyDescent="0.25">
      <c r="A271" s="17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IFERROR(VLOOKUP(B271,'Diciembre 2023'!$B$2:$G$5822,4,0),"")</f>
        <v>ATAPET</v>
      </c>
    </row>
    <row r="272" spans="1:7" x14ac:dyDescent="0.25">
      <c r="A272" s="17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IFERROR(VLOOKUP(B272,'Diciembre 2023'!$B$2:$G$5822,4,0),"")</f>
        <v>ACTPETS</v>
      </c>
    </row>
    <row r="273" spans="1:7" x14ac:dyDescent="0.25">
      <c r="A273" s="17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IFERROR(VLOOKUP(B273,'Diciembre 2023'!$B$2:$G$5822,4,0),"")</f>
        <v>ATAPET</v>
      </c>
    </row>
    <row r="274" spans="1:7" x14ac:dyDescent="0.25">
      <c r="A274" s="17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IFERROR(VLOOKUP(B274,'Diciembre 2023'!$B$2:$G$5822,4,0),"")</f>
        <v>ACTPETS</v>
      </c>
    </row>
    <row r="275" spans="1:7" x14ac:dyDescent="0.25">
      <c r="A275" s="17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IFERROR(VLOOKUP(B275,'Diciembre 2023'!$B$2:$G$5822,4,0),"")</f>
        <v>DPAPET</v>
      </c>
    </row>
    <row r="276" spans="1:7" x14ac:dyDescent="0.25">
      <c r="A276" s="17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IFERROR(VLOOKUP(B276,'Diciembre 2023'!$B$2:$G$5822,4,0),"")</f>
        <v>BM</v>
      </c>
    </row>
    <row r="277" spans="1:7" x14ac:dyDescent="0.25">
      <c r="A277" s="17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IFERROR(VLOOKUP(B277,'Diciembre 2023'!$B$2:$G$5822,4,0),"")</f>
        <v>ATAPET</v>
      </c>
    </row>
    <row r="278" spans="1:7" x14ac:dyDescent="0.25">
      <c r="A278" s="17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IFERROR(VLOOKUP(B278,'Diciembre 2023'!$B$2:$G$5822,4,0),"")</f>
        <v>INACTPETS</v>
      </c>
    </row>
    <row r="279" spans="1:7" x14ac:dyDescent="0.25">
      <c r="A279" s="17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IFERROR(VLOOKUP(B279,'Diciembre 2023'!$B$2:$G$5822,4,0),"")</f>
        <v>INACTBM</v>
      </c>
    </row>
    <row r="280" spans="1:7" x14ac:dyDescent="0.25">
      <c r="A280" s="17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IFERROR(VLOOKUP(B280,'Diciembre 2023'!$B$2:$G$5822,4,0),"")</f>
        <v>ATAPET</v>
      </c>
    </row>
    <row r="281" spans="1:7" x14ac:dyDescent="0.25">
      <c r="A281" s="17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IFERROR(VLOOKUP(B281,'Diciembre 2023'!$B$2:$G$5822,4,0),"")</f>
        <v>DPAPET</v>
      </c>
    </row>
    <row r="282" spans="1:7" x14ac:dyDescent="0.25">
      <c r="A282" s="17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IFERROR(VLOOKUP(B282,'Diciembre 2023'!$B$2:$G$5822,4,0),"")</f>
        <v>ATAPET</v>
      </c>
    </row>
    <row r="283" spans="1:7" x14ac:dyDescent="0.25">
      <c r="A283" s="17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IFERROR(VLOOKUP(B283,'Diciembre 2023'!$B$2:$G$5822,4,0),"")</f>
        <v>DPAPET</v>
      </c>
    </row>
    <row r="284" spans="1:7" x14ac:dyDescent="0.25">
      <c r="A284" s="17"/>
      <c r="B284" s="4" t="s">
        <v>329</v>
      </c>
      <c r="C284" s="4" t="s">
        <v>11</v>
      </c>
      <c r="D284" s="4" t="s">
        <v>11</v>
      </c>
      <c r="E284" s="4" t="s">
        <v>11</v>
      </c>
      <c r="F284" s="4" t="s">
        <v>100</v>
      </c>
      <c r="G284" s="5" t="str">
        <f>IFERROR(VLOOKUP(B284,'Diciembre 2023'!$B$2:$G$5822,4,0),"")</f>
        <v>BM</v>
      </c>
    </row>
    <row r="285" spans="1:7" x14ac:dyDescent="0.25">
      <c r="A285" s="17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IFERROR(VLOOKUP(B285,'Diciembre 2023'!$B$2:$G$5822,4,0),"")</f>
        <v>DPAPET</v>
      </c>
    </row>
    <row r="286" spans="1:7" x14ac:dyDescent="0.25">
      <c r="A286" s="17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IFERROR(VLOOKUP(B286,'Diciembre 2023'!$B$2:$G$5822,4,0),"")</f>
        <v>DPAPET</v>
      </c>
    </row>
    <row r="287" spans="1:7" x14ac:dyDescent="0.25">
      <c r="A287" s="17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IFERROR(VLOOKUP(B287,'Diciembre 2023'!$B$2:$G$5822,4,0),"")</f>
        <v>ATAPET</v>
      </c>
    </row>
    <row r="288" spans="1:7" x14ac:dyDescent="0.25">
      <c r="A288" s="17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IFERROR(VLOOKUP(B288,'Diciembre 2023'!$B$2:$G$5822,4,0),"")</f>
        <v>DPAPET</v>
      </c>
    </row>
    <row r="289" spans="1:7" x14ac:dyDescent="0.25">
      <c r="A289" s="17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IFERROR(VLOOKUP(B289,'Diciembre 2023'!$B$2:$G$5822,4,0),"")</f>
        <v>INACTPETS</v>
      </c>
    </row>
    <row r="290" spans="1:7" x14ac:dyDescent="0.25">
      <c r="A290" s="17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IFERROR(VLOOKUP(B290,'Diciembre 2023'!$B$2:$G$5822,4,0),"")</f>
        <v>BM</v>
      </c>
    </row>
    <row r="291" spans="1:7" x14ac:dyDescent="0.25">
      <c r="A291" s="17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IFERROR(VLOOKUP(B291,'Diciembre 2023'!$B$2:$G$5822,4,0),"")</f>
        <v>INACTPETS</v>
      </c>
    </row>
    <row r="292" spans="1:7" x14ac:dyDescent="0.25">
      <c r="A292" s="17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IFERROR(VLOOKUP(B292,'Diciembre 2023'!$B$2:$G$5822,4,0),"")</f>
        <v>ATAPET</v>
      </c>
    </row>
    <row r="293" spans="1:7" x14ac:dyDescent="0.25">
      <c r="A293" s="17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IFERROR(VLOOKUP(B293,'Diciembre 2023'!$B$2:$G$5822,4,0),"")</f>
        <v>APA_PC</v>
      </c>
    </row>
    <row r="294" spans="1:7" x14ac:dyDescent="0.25">
      <c r="A294" s="17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IFERROR(VLOOKUP(B294,'Diciembre 2023'!$B$2:$G$5822,4,0),"")</f>
        <v>ATAPET</v>
      </c>
    </row>
    <row r="295" spans="1:7" x14ac:dyDescent="0.25">
      <c r="A295" s="17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IFERROR(VLOOKUP(B295,'Diciembre 2023'!$B$2:$G$5822,4,0),"")</f>
        <v>APA_CNPC</v>
      </c>
    </row>
    <row r="296" spans="1:7" x14ac:dyDescent="0.25">
      <c r="A296" s="17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IFERROR(VLOOKUP(B296,'Diciembre 2023'!$B$2:$G$5822,4,0),"")</f>
        <v>INACTGAS</v>
      </c>
    </row>
    <row r="297" spans="1:7" x14ac:dyDescent="0.25">
      <c r="A297" s="17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IFERROR(VLOOKUP(B297,'Diciembre 2023'!$B$2:$G$5822,4,0),"")</f>
        <v>BM</v>
      </c>
    </row>
    <row r="298" spans="1:7" x14ac:dyDescent="0.25">
      <c r="A298" s="17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IFERROR(VLOOKUP(B298,'Diciembre 2023'!$B$2:$G$5822,4,0),"")</f>
        <v>ACTPETS</v>
      </c>
    </row>
    <row r="299" spans="1:7" x14ac:dyDescent="0.25">
      <c r="A299" s="17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IFERROR(VLOOKUP(B299,'Diciembre 2023'!$B$2:$G$5822,4,0),"")</f>
        <v>BO</v>
      </c>
    </row>
    <row r="300" spans="1:7" x14ac:dyDescent="0.25">
      <c r="A300" s="17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IFERROR(VLOOKUP(B300,'Diciembre 2023'!$B$2:$G$5822,4,0),"")</f>
        <v>ACTPETS</v>
      </c>
    </row>
    <row r="301" spans="1:7" x14ac:dyDescent="0.25">
      <c r="A301" s="17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IFERROR(VLOOKUP(B301,'Diciembre 2023'!$B$2:$G$5822,4,0),"")</f>
        <v>ACTINYA</v>
      </c>
    </row>
    <row r="302" spans="1:7" x14ac:dyDescent="0.25">
      <c r="A302" s="17"/>
      <c r="B302" s="4" t="s">
        <v>347</v>
      </c>
      <c r="C302" s="4" t="s">
        <v>24</v>
      </c>
      <c r="D302" s="4" t="s">
        <v>25</v>
      </c>
      <c r="E302" s="4" t="s">
        <v>26</v>
      </c>
      <c r="F302" s="4" t="s">
        <v>21</v>
      </c>
      <c r="G302" s="5" t="str">
        <f>IFERROR(VLOOKUP(B302,'Diciembre 2023'!$B$2:$G$5822,4,0),"")</f>
        <v>INACTPETF</v>
      </c>
    </row>
    <row r="303" spans="1:7" x14ac:dyDescent="0.25">
      <c r="A303" s="17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IFERROR(VLOOKUP(B303,'Diciembre 2023'!$B$2:$G$5822,4,0),"")</f>
        <v>BM</v>
      </c>
    </row>
    <row r="304" spans="1:7" x14ac:dyDescent="0.25">
      <c r="A304" s="17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IFERROR(VLOOKUP(B304,'Diciembre 2023'!$B$2:$G$5822,4,0),"")</f>
        <v>APA_CNPC</v>
      </c>
    </row>
    <row r="305" spans="1:7" x14ac:dyDescent="0.25">
      <c r="A305" s="17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IFERROR(VLOOKUP(B305,'Diciembre 2023'!$B$2:$G$5822,4,0),"")</f>
        <v>APA_PC</v>
      </c>
    </row>
    <row r="306" spans="1:7" x14ac:dyDescent="0.25">
      <c r="A306" s="17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IFERROR(VLOOKUP(B306,'Diciembre 2023'!$B$2:$G$5822,4,0),"")</f>
        <v>INACTBM</v>
      </c>
    </row>
    <row r="307" spans="1:7" x14ac:dyDescent="0.25">
      <c r="A307" s="17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IFERROR(VLOOKUP(B307,'Diciembre 2023'!$B$2:$G$5822,4,0),"")</f>
        <v>INACTPETF</v>
      </c>
    </row>
    <row r="308" spans="1:7" x14ac:dyDescent="0.25">
      <c r="A308" s="17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IFERROR(VLOOKUP(B308,'Diciembre 2023'!$B$2:$G$5822,4,0),"")</f>
        <v>ATAINY</v>
      </c>
    </row>
    <row r="309" spans="1:7" x14ac:dyDescent="0.25">
      <c r="A309" s="17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IFERROR(VLOOKUP(B309,'Diciembre 2023'!$B$2:$G$5822,4,0),"")</f>
        <v>APA_CNPC</v>
      </c>
    </row>
    <row r="310" spans="1:7" x14ac:dyDescent="0.25">
      <c r="A310" s="17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IFERROR(VLOOKUP(B310,'Diciembre 2023'!$B$2:$G$5822,4,0),"")</f>
        <v>ACTPETS</v>
      </c>
    </row>
    <row r="311" spans="1:7" x14ac:dyDescent="0.25">
      <c r="A311" s="17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IFERROR(VLOOKUP(B311,'Diciembre 2023'!$B$2:$G$5822,4,0),"")</f>
        <v>ACTPETS</v>
      </c>
    </row>
    <row r="312" spans="1:7" x14ac:dyDescent="0.25">
      <c r="A312" s="17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tr">
        <f>IFERROR(VLOOKUP(B312,'Diciembre 2023'!$B$2:$G$5822,4,0),"")</f>
        <v>ACTPETF</v>
      </c>
    </row>
    <row r="313" spans="1:7" x14ac:dyDescent="0.25">
      <c r="A313" s="17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IFERROR(VLOOKUP(B313,'Diciembre 2023'!$B$2:$G$5822,4,0),"")</f>
        <v>ATAINY</v>
      </c>
    </row>
    <row r="314" spans="1:7" x14ac:dyDescent="0.25">
      <c r="A314" s="17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IFERROR(VLOOKUP(B314,'Diciembre 2023'!$B$2:$G$5822,4,0),"")</f>
        <v>ACTINYA</v>
      </c>
    </row>
    <row r="315" spans="1:7" x14ac:dyDescent="0.25">
      <c r="A315" s="17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IFERROR(VLOOKUP(B315,'Diciembre 2023'!$B$2:$G$5822,4,0),"")</f>
        <v>ACTPETS</v>
      </c>
    </row>
    <row r="316" spans="1:7" x14ac:dyDescent="0.25">
      <c r="A316" s="17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IFERROR(VLOOKUP(B316,'Diciembre 2023'!$B$2:$G$5822,4,0),"")</f>
        <v>ACTPETS</v>
      </c>
    </row>
    <row r="317" spans="1:7" x14ac:dyDescent="0.25">
      <c r="A317" s="17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IFERROR(VLOOKUP(B317,'Diciembre 2023'!$B$2:$G$5822,4,0),"")</f>
        <v>BCP</v>
      </c>
    </row>
    <row r="318" spans="1:7" x14ac:dyDescent="0.25">
      <c r="A318" s="17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IFERROR(VLOOKUP(B318,'Diciembre 2023'!$B$2:$G$5822,4,0),"")</f>
        <v>BM</v>
      </c>
    </row>
    <row r="319" spans="1:7" x14ac:dyDescent="0.25">
      <c r="A319" s="17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IFERROR(VLOOKUP(B319,'Diciembre 2023'!$B$2:$G$5822,4,0),"")</f>
        <v>ATAPET</v>
      </c>
    </row>
    <row r="320" spans="1:7" x14ac:dyDescent="0.25">
      <c r="A320" s="17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IFERROR(VLOOKUP(B320,'Diciembre 2023'!$B$2:$G$5822,4,0),"")</f>
        <v>BCP</v>
      </c>
    </row>
    <row r="321" spans="1:7" x14ac:dyDescent="0.25">
      <c r="A321" s="17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IFERROR(VLOOKUP(B321,'Diciembre 2023'!$B$2:$G$5822,4,0),"")</f>
        <v>DPAPET</v>
      </c>
    </row>
    <row r="322" spans="1:7" x14ac:dyDescent="0.25">
      <c r="A322" s="17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IFERROR(VLOOKUP(B322,'Diciembre 2023'!$B$2:$G$5822,4,0),"")</f>
        <v>BM</v>
      </c>
    </row>
    <row r="323" spans="1:7" x14ac:dyDescent="0.25">
      <c r="A323" s="17"/>
      <c r="B323" s="4" t="s">
        <v>368</v>
      </c>
      <c r="C323" s="4" t="s">
        <v>14</v>
      </c>
      <c r="D323" s="4" t="s">
        <v>15</v>
      </c>
      <c r="E323" s="4" t="s">
        <v>16</v>
      </c>
      <c r="F323" s="4" t="s">
        <v>14</v>
      </c>
      <c r="G323" s="5" t="str">
        <f>IFERROR(VLOOKUP(B323,'Diciembre 2023'!$B$2:$G$5822,4,0),"")</f>
        <v>ATAPET</v>
      </c>
    </row>
    <row r="324" spans="1:7" x14ac:dyDescent="0.25">
      <c r="A324" s="17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IFERROR(VLOOKUP(B324,'Diciembre 2023'!$B$2:$G$5822,4,0),"")</f>
        <v>BM</v>
      </c>
    </row>
    <row r="325" spans="1:7" x14ac:dyDescent="0.25">
      <c r="A325" s="17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IFERROR(VLOOKUP(B325,'Diciembre 2023'!$B$2:$G$5822,4,0),"")</f>
        <v>BM</v>
      </c>
    </row>
    <row r="326" spans="1:7" x14ac:dyDescent="0.25">
      <c r="A326" s="17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IFERROR(VLOOKUP(B326,'Diciembre 2023'!$B$2:$G$5822,4,0),"")</f>
        <v>INACTBM</v>
      </c>
    </row>
    <row r="327" spans="1:7" x14ac:dyDescent="0.25">
      <c r="A327" s="17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IFERROR(VLOOKUP(B327,'Diciembre 2023'!$B$2:$G$5822,4,0),"")</f>
        <v>INACTBM</v>
      </c>
    </row>
    <row r="328" spans="1:7" x14ac:dyDescent="0.25">
      <c r="A328" s="17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IFERROR(VLOOKUP(B328,'Diciembre 2023'!$B$2:$G$5822,4,0),"")</f>
        <v>BM</v>
      </c>
    </row>
    <row r="329" spans="1:7" x14ac:dyDescent="0.25">
      <c r="A329" s="17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IFERROR(VLOOKUP(B329,'Diciembre 2023'!$B$2:$G$5822,4,0),"")</f>
        <v>ATAPET</v>
      </c>
    </row>
    <row r="330" spans="1:7" x14ac:dyDescent="0.25">
      <c r="A330" s="17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IFERROR(VLOOKUP(B330,'Diciembre 2023'!$B$2:$G$5822,4,0),"")</f>
        <v>ATAPET</v>
      </c>
    </row>
    <row r="331" spans="1:7" x14ac:dyDescent="0.25">
      <c r="A331" s="17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IFERROR(VLOOKUP(B331,'Diciembre 2023'!$B$2:$G$5822,4,0),"")</f>
        <v>ATAPET</v>
      </c>
    </row>
    <row r="332" spans="1:7" x14ac:dyDescent="0.25">
      <c r="A332" s="17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IFERROR(VLOOKUP(B332,'Diciembre 2023'!$B$2:$G$5822,4,0),"")</f>
        <v>ATAPET</v>
      </c>
    </row>
    <row r="333" spans="1:7" x14ac:dyDescent="0.25">
      <c r="A333" s="17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IFERROR(VLOOKUP(B333,'Diciembre 2023'!$B$2:$G$5822,4,0),"")</f>
        <v>BM</v>
      </c>
    </row>
    <row r="334" spans="1:7" x14ac:dyDescent="0.25">
      <c r="A334" s="17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IFERROR(VLOOKUP(B334,'Diciembre 2023'!$B$2:$G$5822,4,0),"")</f>
        <v>BM</v>
      </c>
    </row>
    <row r="335" spans="1:7" x14ac:dyDescent="0.25">
      <c r="A335" s="17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IFERROR(VLOOKUP(B335,'Diciembre 2023'!$B$2:$G$5822,4,0),"")</f>
        <v>ACTPETS</v>
      </c>
    </row>
    <row r="336" spans="1:7" x14ac:dyDescent="0.25">
      <c r="A336" s="17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IFERROR(VLOOKUP(B336,'Diciembre 2023'!$B$2:$G$5822,4,0),"")</f>
        <v>ACTPETF</v>
      </c>
    </row>
    <row r="337" spans="1:7" x14ac:dyDescent="0.25">
      <c r="A337" s="17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IFERROR(VLOOKUP(B337,'Diciembre 2023'!$B$2:$G$5822,4,0),"")</f>
        <v>BM</v>
      </c>
    </row>
    <row r="338" spans="1:7" x14ac:dyDescent="0.25">
      <c r="A338" s="17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IFERROR(VLOOKUP(B338,'Diciembre 2023'!$B$2:$G$5822,4,0),"")</f>
        <v>ACTPETS</v>
      </c>
    </row>
    <row r="339" spans="1:7" x14ac:dyDescent="0.25">
      <c r="A339" s="17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IFERROR(VLOOKUP(B339,'Diciembre 2023'!$B$2:$G$5822,4,0),"")</f>
        <v>DPAPET</v>
      </c>
    </row>
    <row r="340" spans="1:7" x14ac:dyDescent="0.25">
      <c r="A340" s="17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IFERROR(VLOOKUP(B340,'Diciembre 2023'!$B$2:$G$5822,4,0),"")</f>
        <v>ACTPETF</v>
      </c>
    </row>
    <row r="341" spans="1:7" x14ac:dyDescent="0.25">
      <c r="A341" s="17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IFERROR(VLOOKUP(B341,'Diciembre 2023'!$B$2:$G$5822,4,0),"")</f>
        <v>BM</v>
      </c>
    </row>
    <row r="342" spans="1:7" x14ac:dyDescent="0.25">
      <c r="A342" s="17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IFERROR(VLOOKUP(B342,'Diciembre 2023'!$B$2:$G$5822,4,0),"")</f>
        <v>ACTPETF</v>
      </c>
    </row>
    <row r="343" spans="1:7" x14ac:dyDescent="0.25">
      <c r="A343" s="17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IFERROR(VLOOKUP(B343,'Diciembre 2023'!$B$2:$G$5822,4,0),"")</f>
        <v>BM</v>
      </c>
    </row>
    <row r="344" spans="1:7" x14ac:dyDescent="0.25">
      <c r="A344" s="17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IFERROR(VLOOKUP(B344,'Diciembre 2023'!$B$2:$G$5822,4,0),"")</f>
        <v>ACTPETF</v>
      </c>
    </row>
    <row r="345" spans="1:7" x14ac:dyDescent="0.25">
      <c r="A345" s="17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IFERROR(VLOOKUP(B345,'Diciembre 2023'!$B$2:$G$5822,4,0),"")</f>
        <v>ACTPETF</v>
      </c>
    </row>
    <row r="346" spans="1:7" x14ac:dyDescent="0.25">
      <c r="A346" s="17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IFERROR(VLOOKUP(B346,'Diciembre 2023'!$B$2:$G$5822,4,0),"")</f>
        <v>INACTBM</v>
      </c>
    </row>
    <row r="347" spans="1:7" x14ac:dyDescent="0.25">
      <c r="A347" s="17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IFERROR(VLOOKUP(B347,'Diciembre 2023'!$B$2:$G$5822,4,0),"")</f>
        <v>BM</v>
      </c>
    </row>
    <row r="348" spans="1:7" x14ac:dyDescent="0.25">
      <c r="A348" s="17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IFERROR(VLOOKUP(B348,'Diciembre 2023'!$B$2:$G$5822,4,0),"")</f>
        <v>BM</v>
      </c>
    </row>
    <row r="349" spans="1:7" x14ac:dyDescent="0.25">
      <c r="A349" s="17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IFERROR(VLOOKUP(B349,'Diciembre 2023'!$B$2:$G$5822,4,0),"")</f>
        <v>ACTINYA</v>
      </c>
    </row>
    <row r="350" spans="1:7" x14ac:dyDescent="0.25">
      <c r="A350" s="17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IFERROR(VLOOKUP(B350,'Diciembre 2023'!$B$2:$G$5822,4,0),"")</f>
        <v>ACTPETF</v>
      </c>
    </row>
    <row r="351" spans="1:7" x14ac:dyDescent="0.25">
      <c r="A351" s="17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IFERROR(VLOOKUP(B351,'Diciembre 2023'!$B$2:$G$5822,4,0),"")</f>
        <v>ACTINYA</v>
      </c>
    </row>
    <row r="352" spans="1:7" x14ac:dyDescent="0.25">
      <c r="A352" s="17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IFERROR(VLOOKUP(B352,'Diciembre 2023'!$B$2:$G$5822,4,0),"")</f>
        <v>ACTPETF</v>
      </c>
    </row>
    <row r="353" spans="1:7" x14ac:dyDescent="0.25">
      <c r="A353" s="17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IFERROR(VLOOKUP(B353,'Diciembre 2023'!$B$2:$G$5822,4,0),"")</f>
        <v>ATAPET</v>
      </c>
    </row>
    <row r="354" spans="1:7" x14ac:dyDescent="0.25">
      <c r="A354" s="17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IFERROR(VLOOKUP(B354,'Diciembre 2023'!$B$2:$G$5822,4,0),"")</f>
        <v>ACTPETF</v>
      </c>
    </row>
    <row r="355" spans="1:7" x14ac:dyDescent="0.25">
      <c r="A355" s="17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IFERROR(VLOOKUP(B355,'Diciembre 2023'!$B$2:$G$5822,4,0),"")</f>
        <v>ACTINYA</v>
      </c>
    </row>
    <row r="356" spans="1:7" x14ac:dyDescent="0.25">
      <c r="A356" s="17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IFERROR(VLOOKUP(B356,'Diciembre 2023'!$B$2:$G$5822,4,0),"")</f>
        <v>BM</v>
      </c>
    </row>
    <row r="357" spans="1:7" x14ac:dyDescent="0.25">
      <c r="A357" s="17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IFERROR(VLOOKUP(B357,'Diciembre 2023'!$B$2:$G$5822,4,0),"")</f>
        <v>BM</v>
      </c>
    </row>
    <row r="358" spans="1:7" x14ac:dyDescent="0.25">
      <c r="A358" s="17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IFERROR(VLOOKUP(B358,'Diciembre 2023'!$B$2:$G$5822,4,0),"")</f>
        <v>BM</v>
      </c>
    </row>
    <row r="359" spans="1:7" x14ac:dyDescent="0.25">
      <c r="A359" s="17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IFERROR(VLOOKUP(B359,'Diciembre 2023'!$B$2:$G$5822,4,0),"")</f>
        <v>BM</v>
      </c>
    </row>
    <row r="360" spans="1:7" x14ac:dyDescent="0.25">
      <c r="A360" s="17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IFERROR(VLOOKUP(B360,'Diciembre 2023'!$B$2:$G$5822,4,0),"")</f>
        <v>BM</v>
      </c>
    </row>
    <row r="361" spans="1:7" x14ac:dyDescent="0.25">
      <c r="A361" s="17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IFERROR(VLOOKUP(B361,'Diciembre 2023'!$B$2:$G$5822,4,0),"")</f>
        <v>INACTINYA</v>
      </c>
    </row>
    <row r="362" spans="1:7" x14ac:dyDescent="0.25">
      <c r="A362" s="17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IFERROR(VLOOKUP(B362,'Diciembre 2023'!$B$2:$G$5822,4,0),"")</f>
        <v>INACTPETS</v>
      </c>
    </row>
    <row r="363" spans="1:7" x14ac:dyDescent="0.25">
      <c r="A363" s="17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IFERROR(VLOOKUP(B363,'Diciembre 2023'!$B$2:$G$5822,4,0),"")</f>
        <v>ACTPETF</v>
      </c>
    </row>
    <row r="364" spans="1:7" x14ac:dyDescent="0.25">
      <c r="A364" s="17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IFERROR(VLOOKUP(B364,'Diciembre 2023'!$B$2:$G$5822,4,0),"")</f>
        <v>ACTPETS</v>
      </c>
    </row>
    <row r="365" spans="1:7" x14ac:dyDescent="0.25">
      <c r="A365" s="17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IFERROR(VLOOKUP(B365,'Diciembre 2023'!$B$2:$G$5822,4,0),"")</f>
        <v>BM</v>
      </c>
    </row>
    <row r="366" spans="1:7" x14ac:dyDescent="0.25">
      <c r="A366" s="17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IFERROR(VLOOKUP(B366,'Diciembre 2023'!$B$2:$G$5822,4,0),"")</f>
        <v>ATAPET</v>
      </c>
    </row>
    <row r="367" spans="1:7" x14ac:dyDescent="0.25">
      <c r="A367" s="17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IFERROR(VLOOKUP(B367,'Diciembre 2023'!$B$2:$G$5822,4,0),"")</f>
        <v>ACTPETF</v>
      </c>
    </row>
    <row r="368" spans="1:7" x14ac:dyDescent="0.25">
      <c r="A368" s="17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IFERROR(VLOOKUP(B368,'Diciembre 2023'!$B$2:$G$5822,4,0),"")</f>
        <v>ATAINY</v>
      </c>
    </row>
    <row r="369" spans="1:7" x14ac:dyDescent="0.25">
      <c r="A369" s="17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IFERROR(VLOOKUP(B369,'Diciembre 2023'!$B$2:$G$5822,4,0),"")</f>
        <v>ACTPETF</v>
      </c>
    </row>
    <row r="370" spans="1:7" x14ac:dyDescent="0.25">
      <c r="A370" s="17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IFERROR(VLOOKUP(B370,'Diciembre 2023'!$B$2:$G$5822,4,0),"")</f>
        <v>ACTPETS</v>
      </c>
    </row>
    <row r="371" spans="1:7" x14ac:dyDescent="0.25">
      <c r="A371" s="17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IFERROR(VLOOKUP(B371,'Diciembre 2023'!$B$2:$G$5822,4,0),"")</f>
        <v>ACTPETS</v>
      </c>
    </row>
    <row r="372" spans="1:7" x14ac:dyDescent="0.25">
      <c r="A372" s="17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IFERROR(VLOOKUP(B372,'Diciembre 2023'!$B$2:$G$5822,4,0),"")</f>
        <v>INACTGAS</v>
      </c>
    </row>
    <row r="373" spans="1:7" x14ac:dyDescent="0.25">
      <c r="A373" s="17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IFERROR(VLOOKUP(B373,'Diciembre 2023'!$B$2:$G$5822,4,0),"")</f>
        <v>ACTPETS</v>
      </c>
    </row>
    <row r="374" spans="1:7" x14ac:dyDescent="0.25">
      <c r="A374" s="17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IFERROR(VLOOKUP(B374,'Diciembre 2023'!$B$2:$G$5822,4,0),"")</f>
        <v>BM</v>
      </c>
    </row>
    <row r="375" spans="1:7" x14ac:dyDescent="0.25">
      <c r="A375" s="17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IFERROR(VLOOKUP(B375,'Diciembre 2023'!$B$2:$G$5822,4,0),"")</f>
        <v>BM</v>
      </c>
    </row>
    <row r="376" spans="1:7" x14ac:dyDescent="0.25">
      <c r="A376" s="17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IFERROR(VLOOKUP(B376,'Diciembre 2023'!$B$2:$G$5822,4,0),"")</f>
        <v>ACTPETF</v>
      </c>
    </row>
    <row r="377" spans="1:7" x14ac:dyDescent="0.25">
      <c r="A377" s="17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IFERROR(VLOOKUP(B377,'Diciembre 2023'!$B$2:$G$5822,4,0),"")</f>
        <v>BM</v>
      </c>
    </row>
    <row r="378" spans="1:7" x14ac:dyDescent="0.25">
      <c r="A378" s="17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IFERROR(VLOOKUP(B378,'Diciembre 2023'!$B$2:$G$5822,4,0),"")</f>
        <v>BM</v>
      </c>
    </row>
    <row r="379" spans="1:7" x14ac:dyDescent="0.25">
      <c r="A379" s="17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IFERROR(VLOOKUP(B379,'Diciembre 2023'!$B$2:$G$5822,4,0),"")</f>
        <v>BM</v>
      </c>
    </row>
    <row r="380" spans="1:7" x14ac:dyDescent="0.25">
      <c r="A380" s="17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IFERROR(VLOOKUP(B380,'Diciembre 2023'!$B$2:$G$5822,4,0),"")</f>
        <v>ACTPETS</v>
      </c>
    </row>
    <row r="381" spans="1:7" x14ac:dyDescent="0.25">
      <c r="A381" s="17"/>
      <c r="B381" s="4" t="s">
        <v>426</v>
      </c>
      <c r="C381" s="4" t="s">
        <v>11</v>
      </c>
      <c r="D381" s="4" t="s">
        <v>11</v>
      </c>
      <c r="E381" s="4" t="s">
        <v>11</v>
      </c>
      <c r="F381" s="4" t="s">
        <v>120</v>
      </c>
      <c r="G381" s="5" t="str">
        <f>IFERROR(VLOOKUP(B381,'Diciembre 2023'!$B$2:$G$5822,4,0),"")</f>
        <v>BM</v>
      </c>
    </row>
    <row r="382" spans="1:7" x14ac:dyDescent="0.25">
      <c r="A382" s="17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IFERROR(VLOOKUP(B382,'Diciembre 2023'!$B$2:$G$5822,4,0),"")</f>
        <v>BM</v>
      </c>
    </row>
    <row r="383" spans="1:7" x14ac:dyDescent="0.25">
      <c r="A383" s="17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IFERROR(VLOOKUP(B383,'Diciembre 2023'!$B$2:$G$5822,4,0),"")</f>
        <v>ACTINYA</v>
      </c>
    </row>
    <row r="384" spans="1:7" x14ac:dyDescent="0.25">
      <c r="A384" s="17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IFERROR(VLOOKUP(B384,'Diciembre 2023'!$B$2:$G$5822,4,0),"")</f>
        <v>INACTPETF</v>
      </c>
    </row>
    <row r="385" spans="1:7" x14ac:dyDescent="0.25">
      <c r="A385" s="17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IFERROR(VLOOKUP(B385,'Diciembre 2023'!$B$2:$G$5822,4,0),"")</f>
        <v>ACTPETS</v>
      </c>
    </row>
    <row r="386" spans="1:7" x14ac:dyDescent="0.25">
      <c r="A386" s="17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IFERROR(VLOOKUP(B386,'Diciembre 2023'!$B$2:$G$5822,4,0),"")</f>
        <v>BM</v>
      </c>
    </row>
    <row r="387" spans="1:7" x14ac:dyDescent="0.25">
      <c r="A387" s="17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IFERROR(VLOOKUP(B387,'Diciembre 2023'!$B$2:$G$5822,4,0),"")</f>
        <v>BM</v>
      </c>
    </row>
    <row r="388" spans="1:7" x14ac:dyDescent="0.25">
      <c r="A388" s="17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IFERROR(VLOOKUP(B388,'Diciembre 2023'!$B$2:$G$5822,4,0),"")</f>
        <v>ACTPETF</v>
      </c>
    </row>
    <row r="389" spans="1:7" x14ac:dyDescent="0.25">
      <c r="A389" s="17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IFERROR(VLOOKUP(B389,'Diciembre 2023'!$B$2:$G$5822,4,0),"")</f>
        <v>BM</v>
      </c>
    </row>
    <row r="390" spans="1:7" x14ac:dyDescent="0.25">
      <c r="A390" s="17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IFERROR(VLOOKUP(B390,'Diciembre 2023'!$B$2:$G$5822,4,0),"")</f>
        <v>BM</v>
      </c>
    </row>
    <row r="391" spans="1:7" x14ac:dyDescent="0.25">
      <c r="A391" s="17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IFERROR(VLOOKUP(B391,'Diciembre 2023'!$B$2:$G$5822,4,0),"")</f>
        <v>INACTPETS</v>
      </c>
    </row>
    <row r="392" spans="1:7" x14ac:dyDescent="0.25">
      <c r="A392" s="17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IFERROR(VLOOKUP(B392,'Diciembre 2023'!$B$2:$G$5822,4,0),"")</f>
        <v>BM</v>
      </c>
    </row>
    <row r="393" spans="1:7" x14ac:dyDescent="0.25">
      <c r="A393" s="17"/>
      <c r="B393" s="4" t="s">
        <v>438</v>
      </c>
      <c r="C393" s="4" t="s">
        <v>18</v>
      </c>
      <c r="D393" s="4" t="s">
        <v>19</v>
      </c>
      <c r="E393" s="4" t="s">
        <v>20</v>
      </c>
      <c r="F393" s="4" t="s">
        <v>21</v>
      </c>
      <c r="G393" s="5" t="str">
        <f>IFERROR(VLOOKUP(B393,'Diciembre 2023'!$B$2:$G$5822,4,0),"")</f>
        <v>INACTPETS</v>
      </c>
    </row>
    <row r="394" spans="1:7" x14ac:dyDescent="0.25">
      <c r="A394" s="17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IFERROR(VLOOKUP(B394,'Diciembre 2023'!$B$2:$G$5822,4,0),"")</f>
        <v>BM</v>
      </c>
    </row>
    <row r="395" spans="1:7" x14ac:dyDescent="0.25">
      <c r="A395" s="17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IFERROR(VLOOKUP(B395,'Diciembre 2023'!$B$2:$G$5822,4,0),"")</f>
        <v>ACTINYA</v>
      </c>
    </row>
    <row r="396" spans="1:7" x14ac:dyDescent="0.25">
      <c r="A396" s="17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IFERROR(VLOOKUP(B396,'Diciembre 2023'!$B$2:$G$5822,4,0),"")</f>
        <v>BM</v>
      </c>
    </row>
    <row r="397" spans="1:7" x14ac:dyDescent="0.25">
      <c r="A397" s="17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IFERROR(VLOOKUP(B397,'Diciembre 2023'!$B$2:$G$5822,4,0),"")</f>
        <v>INACTBM</v>
      </c>
    </row>
    <row r="398" spans="1:7" x14ac:dyDescent="0.25">
      <c r="A398" s="17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IFERROR(VLOOKUP(B398,'Diciembre 2023'!$B$2:$G$5822,4,0),"")</f>
        <v>ACTPETS</v>
      </c>
    </row>
    <row r="399" spans="1:7" x14ac:dyDescent="0.25">
      <c r="A399" s="17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IFERROR(VLOOKUP(B399,'Diciembre 2023'!$B$2:$G$5822,4,0),"")</f>
        <v>INACTPETS</v>
      </c>
    </row>
    <row r="400" spans="1:7" x14ac:dyDescent="0.25">
      <c r="A400" s="17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IFERROR(VLOOKUP(B400,'Diciembre 2023'!$B$2:$G$5822,4,0),"")</f>
        <v>ATAPET</v>
      </c>
    </row>
    <row r="401" spans="1:7" x14ac:dyDescent="0.25">
      <c r="A401" s="17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IFERROR(VLOOKUP(B401,'Diciembre 2023'!$B$2:$G$5822,4,0),"")</f>
        <v>ACTINYA</v>
      </c>
    </row>
    <row r="402" spans="1:7" x14ac:dyDescent="0.25">
      <c r="A402" s="17"/>
      <c r="B402" s="4" t="s">
        <v>447</v>
      </c>
      <c r="C402" s="4" t="s">
        <v>14</v>
      </c>
      <c r="D402" s="4" t="s">
        <v>15</v>
      </c>
      <c r="E402" s="4" t="s">
        <v>263</v>
      </c>
      <c r="F402" s="4" t="s">
        <v>14</v>
      </c>
      <c r="G402" s="5" t="str">
        <f>IFERROR(VLOOKUP(B402,'Diciembre 2023'!$B$2:$G$5822,4,0),"")</f>
        <v>ATAGAS</v>
      </c>
    </row>
    <row r="403" spans="1:7" x14ac:dyDescent="0.25">
      <c r="A403" s="17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IFERROR(VLOOKUP(B403,'Diciembre 2023'!$B$2:$G$5822,4,0),"")</f>
        <v>BM</v>
      </c>
    </row>
    <row r="404" spans="1:7" x14ac:dyDescent="0.25">
      <c r="A404" s="17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IFERROR(VLOOKUP(B404,'Diciembre 2023'!$B$2:$G$5822,4,0),"")</f>
        <v>INACTINYA</v>
      </c>
    </row>
    <row r="405" spans="1:7" x14ac:dyDescent="0.25">
      <c r="A405" s="17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IFERROR(VLOOKUP(B405,'Diciembre 2023'!$B$2:$G$5822,4,0),"")</f>
        <v>ATAPET</v>
      </c>
    </row>
    <row r="406" spans="1:7" x14ac:dyDescent="0.25">
      <c r="A406" s="17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IFERROR(VLOOKUP(B406,'Diciembre 2023'!$B$2:$G$5822,4,0),"")</f>
        <v>ACTPETS</v>
      </c>
    </row>
    <row r="407" spans="1:7" x14ac:dyDescent="0.25">
      <c r="A407" s="17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IFERROR(VLOOKUP(B407,'Diciembre 2023'!$B$2:$G$5822,4,0),"")</f>
        <v>BM</v>
      </c>
    </row>
    <row r="408" spans="1:7" x14ac:dyDescent="0.25">
      <c r="A408" s="17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IFERROR(VLOOKUP(B408,'Diciembre 2023'!$B$2:$G$5822,4,0),"")</f>
        <v>BM</v>
      </c>
    </row>
    <row r="409" spans="1:7" x14ac:dyDescent="0.25">
      <c r="A409" s="17"/>
      <c r="B409" s="4" t="s">
        <v>454</v>
      </c>
      <c r="C409" s="4" t="s">
        <v>14</v>
      </c>
      <c r="D409" s="4" t="s">
        <v>15</v>
      </c>
      <c r="E409" s="4" t="s">
        <v>16</v>
      </c>
      <c r="F409" s="4" t="s">
        <v>14</v>
      </c>
      <c r="G409" s="5" t="str">
        <f>IFERROR(VLOOKUP(B409,'Diciembre 2023'!$B$2:$G$5822,4,0),"")</f>
        <v>ATAPET</v>
      </c>
    </row>
    <row r="410" spans="1:7" x14ac:dyDescent="0.25">
      <c r="A410" s="17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IFERROR(VLOOKUP(B410,'Diciembre 2023'!$B$2:$G$5822,4,0),"")</f>
        <v>APA_CNPC</v>
      </c>
    </row>
    <row r="411" spans="1:7" x14ac:dyDescent="0.25">
      <c r="A411" s="17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IFERROR(VLOOKUP(B411,'Diciembre 2023'!$B$2:$G$5822,4,0),"")</f>
        <v>ACTPETS</v>
      </c>
    </row>
    <row r="412" spans="1:7" x14ac:dyDescent="0.25">
      <c r="A412" s="17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IFERROR(VLOOKUP(B412,'Diciembre 2023'!$B$2:$G$5822,4,0),"")</f>
        <v>APA_PC</v>
      </c>
    </row>
    <row r="413" spans="1:7" x14ac:dyDescent="0.25">
      <c r="A413" s="17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IFERROR(VLOOKUP(B413,'Diciembre 2023'!$B$2:$G$5822,4,0),"")</f>
        <v>BM</v>
      </c>
    </row>
    <row r="414" spans="1:7" x14ac:dyDescent="0.25">
      <c r="A414" s="17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IFERROR(VLOOKUP(B414,'Diciembre 2023'!$B$2:$G$5822,4,0),"")</f>
        <v>BM</v>
      </c>
    </row>
    <row r="415" spans="1:7" x14ac:dyDescent="0.25">
      <c r="A415" s="17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IFERROR(VLOOKUP(B415,'Diciembre 2023'!$B$2:$G$5822,4,0),"")</f>
        <v>BM</v>
      </c>
    </row>
    <row r="416" spans="1:7" x14ac:dyDescent="0.25">
      <c r="A416" s="17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IFERROR(VLOOKUP(B416,'Diciembre 2023'!$B$2:$G$5822,4,0),"")</f>
        <v>BM</v>
      </c>
    </row>
    <row r="417" spans="1:7" x14ac:dyDescent="0.25">
      <c r="A417" s="17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IFERROR(VLOOKUP(B417,'Diciembre 2023'!$B$2:$G$5822,4,0),"")</f>
        <v>BM</v>
      </c>
    </row>
    <row r="418" spans="1:7" x14ac:dyDescent="0.25">
      <c r="A418" s="17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IFERROR(VLOOKUP(B418,'Diciembre 2023'!$B$2:$G$5822,4,0),"")</f>
        <v>ATAPET</v>
      </c>
    </row>
    <row r="419" spans="1:7" x14ac:dyDescent="0.25">
      <c r="A419" s="17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IFERROR(VLOOKUP(B419,'Diciembre 2023'!$B$2:$G$5822,4,0),"")</f>
        <v>DPAPET</v>
      </c>
    </row>
    <row r="420" spans="1:7" x14ac:dyDescent="0.25">
      <c r="A420" s="17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IFERROR(VLOOKUP(B420,'Diciembre 2023'!$B$2:$G$5822,4,0),"")</f>
        <v>ATAPET</v>
      </c>
    </row>
    <row r="421" spans="1:7" x14ac:dyDescent="0.25">
      <c r="A421" s="17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IFERROR(VLOOKUP(B421,'Diciembre 2023'!$B$2:$G$5822,4,0),"")</f>
        <v>INACTPETF</v>
      </c>
    </row>
    <row r="422" spans="1:7" x14ac:dyDescent="0.25">
      <c r="A422" s="17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IFERROR(VLOOKUP(B422,'Diciembre 2023'!$B$2:$G$5822,4,0),"")</f>
        <v>BM</v>
      </c>
    </row>
    <row r="423" spans="1:7" x14ac:dyDescent="0.25">
      <c r="A423" s="17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IFERROR(VLOOKUP(B423,'Diciembre 2023'!$B$2:$G$5822,4,0),"")</f>
        <v>ACTPETF</v>
      </c>
    </row>
    <row r="424" spans="1:7" x14ac:dyDescent="0.25">
      <c r="A424" s="17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IFERROR(VLOOKUP(B424,'Diciembre 2023'!$B$2:$G$5822,4,0),"")</f>
        <v>INACTPETS</v>
      </c>
    </row>
    <row r="425" spans="1:7" x14ac:dyDescent="0.25">
      <c r="A425" s="17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IFERROR(VLOOKUP(B425,'Diciembre 2023'!$B$2:$G$5822,4,0),"")</f>
        <v>BM</v>
      </c>
    </row>
    <row r="426" spans="1:7" x14ac:dyDescent="0.25">
      <c r="A426" s="17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IFERROR(VLOOKUP(B426,'Diciembre 2023'!$B$2:$G$5822,4,0),"")</f>
        <v>BM</v>
      </c>
    </row>
    <row r="427" spans="1:7" x14ac:dyDescent="0.25">
      <c r="A427" s="17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IFERROR(VLOOKUP(B427,'Diciembre 2023'!$B$2:$G$5822,4,0),"")</f>
        <v>ACTINYA</v>
      </c>
    </row>
    <row r="428" spans="1:7" x14ac:dyDescent="0.25">
      <c r="A428" s="17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IFERROR(VLOOKUP(B428,'Diciembre 2023'!$B$2:$G$5822,4,0),"")</f>
        <v>INACTINYA</v>
      </c>
    </row>
    <row r="429" spans="1:7" x14ac:dyDescent="0.25">
      <c r="A429" s="17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IFERROR(VLOOKUP(B429,'Diciembre 2023'!$B$2:$G$5822,4,0),"")</f>
        <v>BM</v>
      </c>
    </row>
    <row r="430" spans="1:7" x14ac:dyDescent="0.25">
      <c r="A430" s="17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IFERROR(VLOOKUP(B430,'Diciembre 2023'!$B$2:$G$5822,4,0),"")</f>
        <v>BM</v>
      </c>
    </row>
    <row r="431" spans="1:7" x14ac:dyDescent="0.25">
      <c r="A431" s="17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IFERROR(VLOOKUP(B431,'Diciembre 2023'!$B$2:$G$5822,4,0),"")</f>
        <v>INACTPETF</v>
      </c>
    </row>
    <row r="432" spans="1:7" x14ac:dyDescent="0.25">
      <c r="A432" s="17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IFERROR(VLOOKUP(B432,'Diciembre 2023'!$B$2:$G$5822,4,0),"")</f>
        <v>ACTPETF</v>
      </c>
    </row>
    <row r="433" spans="1:7" x14ac:dyDescent="0.25">
      <c r="A433" s="17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IFERROR(VLOOKUP(B433,'Diciembre 2023'!$B$2:$G$5822,4,0),"")</f>
        <v>BM</v>
      </c>
    </row>
    <row r="434" spans="1:7" x14ac:dyDescent="0.25">
      <c r="A434" s="17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IFERROR(VLOOKUP(B434,'Diciembre 2023'!$B$2:$G$5822,4,0),"")</f>
        <v>BM</v>
      </c>
    </row>
    <row r="435" spans="1:7" x14ac:dyDescent="0.25">
      <c r="A435" s="17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IFERROR(VLOOKUP(B435,'Diciembre 2023'!$B$2:$G$5822,4,0),"")</f>
        <v>ACTPETS</v>
      </c>
    </row>
    <row r="436" spans="1:7" x14ac:dyDescent="0.25">
      <c r="A436" s="17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IFERROR(VLOOKUP(B436,'Diciembre 2023'!$B$2:$G$5822,4,0),"")</f>
        <v>BM</v>
      </c>
    </row>
    <row r="437" spans="1:7" x14ac:dyDescent="0.25">
      <c r="A437" s="17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IFERROR(VLOOKUP(B437,'Diciembre 2023'!$B$2:$G$5822,4,0),"")</f>
        <v>BM</v>
      </c>
    </row>
    <row r="438" spans="1:7" x14ac:dyDescent="0.25">
      <c r="A438" s="17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IFERROR(VLOOKUP(B438,'Diciembre 2023'!$B$2:$G$5822,4,0),"")</f>
        <v>ACTPETF</v>
      </c>
    </row>
    <row r="439" spans="1:7" x14ac:dyDescent="0.25">
      <c r="A439" s="17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IFERROR(VLOOKUP(B439,'Diciembre 2023'!$B$2:$G$5822,4,0),"")</f>
        <v>INACTBM</v>
      </c>
    </row>
    <row r="440" spans="1:7" x14ac:dyDescent="0.25">
      <c r="A440" s="17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IFERROR(VLOOKUP(B440,'Diciembre 2023'!$B$2:$G$5822,4,0),"")</f>
        <v>APA_CNPC</v>
      </c>
    </row>
    <row r="441" spans="1:7" x14ac:dyDescent="0.25">
      <c r="A441" s="17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IFERROR(VLOOKUP(B441,'Diciembre 2023'!$B$2:$G$5822,4,0),"")</f>
        <v>BM</v>
      </c>
    </row>
    <row r="442" spans="1:7" x14ac:dyDescent="0.25">
      <c r="A442" s="17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IFERROR(VLOOKUP(B442,'Diciembre 2023'!$B$2:$G$5822,4,0),"")</f>
        <v>BM</v>
      </c>
    </row>
    <row r="443" spans="1:7" x14ac:dyDescent="0.25">
      <c r="A443" s="17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IFERROR(VLOOKUP(B443,'Diciembre 2023'!$B$2:$G$5822,4,0),"")</f>
        <v>INACTINYA</v>
      </c>
    </row>
    <row r="444" spans="1:7" x14ac:dyDescent="0.25">
      <c r="A444" s="17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IFERROR(VLOOKUP(B444,'Diciembre 2023'!$B$2:$G$5822,4,0),"")</f>
        <v>BM</v>
      </c>
    </row>
    <row r="445" spans="1:7" x14ac:dyDescent="0.25">
      <c r="A445" s="17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IFERROR(VLOOKUP(B445,'Diciembre 2023'!$B$2:$G$5822,4,0),"")</f>
        <v>ATAPET</v>
      </c>
    </row>
    <row r="446" spans="1:7" x14ac:dyDescent="0.25">
      <c r="A446" s="17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IFERROR(VLOOKUP(B446,'Diciembre 2023'!$B$2:$G$5822,4,0),"")</f>
        <v>ACTINYA</v>
      </c>
    </row>
    <row r="447" spans="1:7" x14ac:dyDescent="0.25">
      <c r="A447" s="17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IFERROR(VLOOKUP(B447,'Diciembre 2023'!$B$2:$G$5822,4,0),"")</f>
        <v>BM</v>
      </c>
    </row>
    <row r="448" spans="1:7" x14ac:dyDescent="0.25">
      <c r="A448" s="17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IFERROR(VLOOKUP(B448,'Diciembre 2023'!$B$2:$G$5822,4,0),"")</f>
        <v>ATAPET</v>
      </c>
    </row>
    <row r="449" spans="1:7" x14ac:dyDescent="0.25">
      <c r="A449" s="17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IFERROR(VLOOKUP(B449,'Diciembre 2023'!$B$2:$G$5822,4,0),"")</f>
        <v>BM</v>
      </c>
    </row>
    <row r="450" spans="1:7" x14ac:dyDescent="0.25">
      <c r="A450" s="17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IFERROR(VLOOKUP(B450,'Diciembre 2023'!$B$2:$G$5822,4,0),"")</f>
        <v>BM</v>
      </c>
    </row>
    <row r="451" spans="1:7" x14ac:dyDescent="0.25">
      <c r="A451" s="17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IFERROR(VLOOKUP(B451,'Diciembre 2023'!$B$2:$G$5822,4,0),"")</f>
        <v>BM</v>
      </c>
    </row>
    <row r="452" spans="1:7" x14ac:dyDescent="0.25">
      <c r="A452" s="17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IFERROR(VLOOKUP(B452,'Diciembre 2023'!$B$2:$G$5822,4,0),"")</f>
        <v>BM</v>
      </c>
    </row>
    <row r="453" spans="1:7" x14ac:dyDescent="0.25">
      <c r="A453" s="17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IFERROR(VLOOKUP(B453,'Diciembre 2023'!$B$2:$G$5822,4,0),"")</f>
        <v>BM</v>
      </c>
    </row>
    <row r="454" spans="1:7" x14ac:dyDescent="0.25">
      <c r="A454" s="17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IFERROR(VLOOKUP(B454,'Diciembre 2023'!$B$2:$G$5822,4,0),"")</f>
        <v>INACTBM</v>
      </c>
    </row>
    <row r="455" spans="1:7" x14ac:dyDescent="0.25">
      <c r="A455" s="17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IFERROR(VLOOKUP(B455,'Diciembre 2023'!$B$2:$G$5822,4,0),"")</f>
        <v>INACTPETF</v>
      </c>
    </row>
    <row r="456" spans="1:7" x14ac:dyDescent="0.25">
      <c r="A456" s="17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IFERROR(VLOOKUP(B456,'Diciembre 2023'!$B$2:$G$5822,4,0),"")</f>
        <v>BM</v>
      </c>
    </row>
    <row r="457" spans="1:7" x14ac:dyDescent="0.25">
      <c r="A457" s="17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IFERROR(VLOOKUP(B457,'Diciembre 2023'!$B$2:$G$5822,4,0),"")</f>
        <v>ACTPETS</v>
      </c>
    </row>
    <row r="458" spans="1:7" x14ac:dyDescent="0.25">
      <c r="A458" s="17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IFERROR(VLOOKUP(B458,'Diciembre 2023'!$B$2:$G$5822,4,0),"")</f>
        <v>BM</v>
      </c>
    </row>
    <row r="459" spans="1:7" x14ac:dyDescent="0.25">
      <c r="A459" s="17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IFERROR(VLOOKUP(B459,'Diciembre 2023'!$B$2:$G$5822,4,0),"")</f>
        <v>BM</v>
      </c>
    </row>
    <row r="460" spans="1:7" x14ac:dyDescent="0.25">
      <c r="A460" s="17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IFERROR(VLOOKUP(B460,'Diciembre 2023'!$B$2:$G$5822,4,0),"")</f>
        <v>BM</v>
      </c>
    </row>
    <row r="461" spans="1:7" x14ac:dyDescent="0.25">
      <c r="A461" s="17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IFERROR(VLOOKUP(B461,'Diciembre 2023'!$B$2:$G$5822,4,0),"")</f>
        <v>BM</v>
      </c>
    </row>
    <row r="462" spans="1:7" x14ac:dyDescent="0.25">
      <c r="A462" s="17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IFERROR(VLOOKUP(B462,'Diciembre 2023'!$B$2:$G$5822,4,0),"")</f>
        <v>BM</v>
      </c>
    </row>
    <row r="463" spans="1:7" x14ac:dyDescent="0.25">
      <c r="A463" s="17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IFERROR(VLOOKUP(B463,'Diciembre 2023'!$B$2:$G$5822,4,0),"")</f>
        <v>BM</v>
      </c>
    </row>
    <row r="464" spans="1:7" x14ac:dyDescent="0.25">
      <c r="A464" s="17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IFERROR(VLOOKUP(B464,'Diciembre 2023'!$B$2:$G$5822,4,0),"")</f>
        <v>BM</v>
      </c>
    </row>
    <row r="465" spans="1:7" x14ac:dyDescent="0.25">
      <c r="A465" s="17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IFERROR(VLOOKUP(B465,'Diciembre 2023'!$B$2:$G$5822,4,0),"")</f>
        <v>BM</v>
      </c>
    </row>
    <row r="466" spans="1:7" x14ac:dyDescent="0.25">
      <c r="A466" s="17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IFERROR(VLOOKUP(B466,'Diciembre 2023'!$B$2:$G$5822,4,0),"")</f>
        <v>INACTBM</v>
      </c>
    </row>
    <row r="467" spans="1:7" x14ac:dyDescent="0.25">
      <c r="A467" s="17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IFERROR(VLOOKUP(B467,'Diciembre 2023'!$B$2:$G$5822,4,0),"")</f>
        <v>ATAPET</v>
      </c>
    </row>
    <row r="468" spans="1:7" x14ac:dyDescent="0.25">
      <c r="A468" s="17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IFERROR(VLOOKUP(B468,'Diciembre 2023'!$B$2:$G$5822,4,0),"")</f>
        <v>INACTBM</v>
      </c>
    </row>
    <row r="469" spans="1:7" x14ac:dyDescent="0.25">
      <c r="A469" s="17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IFERROR(VLOOKUP(B469,'Diciembre 2023'!$B$2:$G$5822,4,0),"")</f>
        <v>BM</v>
      </c>
    </row>
    <row r="470" spans="1:7" x14ac:dyDescent="0.25">
      <c r="A470" s="17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IFERROR(VLOOKUP(B470,'Diciembre 2023'!$B$2:$G$5822,4,0),"")</f>
        <v>BM</v>
      </c>
    </row>
    <row r="471" spans="1:7" x14ac:dyDescent="0.25">
      <c r="A471" s="17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IFERROR(VLOOKUP(B471,'Diciembre 2023'!$B$2:$G$5822,4,0),"")</f>
        <v>BM</v>
      </c>
    </row>
    <row r="472" spans="1:7" x14ac:dyDescent="0.25">
      <c r="A472" s="17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IFERROR(VLOOKUP(B472,'Diciembre 2023'!$B$2:$G$5822,4,0),"")</f>
        <v>BM</v>
      </c>
    </row>
    <row r="473" spans="1:7" x14ac:dyDescent="0.25">
      <c r="A473" s="17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IFERROR(VLOOKUP(B473,'Diciembre 2023'!$B$2:$G$5822,4,0),"")</f>
        <v>ACTPETS</v>
      </c>
    </row>
    <row r="474" spans="1:7" x14ac:dyDescent="0.25">
      <c r="A474" s="17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IFERROR(VLOOKUP(B474,'Diciembre 2023'!$B$2:$G$5822,4,0),"")</f>
        <v>BM</v>
      </c>
    </row>
    <row r="475" spans="1:7" x14ac:dyDescent="0.25">
      <c r="A475" s="17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IFERROR(VLOOKUP(B475,'Diciembre 2023'!$B$2:$G$5822,4,0),"")</f>
        <v>INACTINYA</v>
      </c>
    </row>
    <row r="476" spans="1:7" x14ac:dyDescent="0.25">
      <c r="A476" s="17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IFERROR(VLOOKUP(B476,'Diciembre 2023'!$B$2:$G$5822,4,0),"")</f>
        <v>BM</v>
      </c>
    </row>
    <row r="477" spans="1:7" x14ac:dyDescent="0.25">
      <c r="A477" s="17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IFERROR(VLOOKUP(B477,'Diciembre 2023'!$B$2:$G$5822,4,0),"")</f>
        <v>INACTPETS</v>
      </c>
    </row>
    <row r="478" spans="1:7" x14ac:dyDescent="0.25">
      <c r="A478" s="17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IFERROR(VLOOKUP(B478,'Diciembre 2023'!$B$2:$G$5822,4,0),"")</f>
        <v>ACTPETS</v>
      </c>
    </row>
    <row r="479" spans="1:7" x14ac:dyDescent="0.25">
      <c r="A479" s="17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IFERROR(VLOOKUP(B479,'Diciembre 2023'!$B$2:$G$5822,4,0),"")</f>
        <v>BM</v>
      </c>
    </row>
    <row r="480" spans="1:7" x14ac:dyDescent="0.25">
      <c r="A480" s="17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IFERROR(VLOOKUP(B480,'Diciembre 2023'!$B$2:$G$5822,4,0),"")</f>
        <v>BM</v>
      </c>
    </row>
    <row r="481" spans="1:7" x14ac:dyDescent="0.25">
      <c r="A481" s="17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IFERROR(VLOOKUP(B481,'Diciembre 2023'!$B$2:$G$5822,4,0),"")</f>
        <v>BM</v>
      </c>
    </row>
    <row r="482" spans="1:7" x14ac:dyDescent="0.25">
      <c r="A482" s="17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IFERROR(VLOOKUP(B482,'Diciembre 2023'!$B$2:$G$5822,4,0),"")</f>
        <v>BM</v>
      </c>
    </row>
    <row r="483" spans="1:7" x14ac:dyDescent="0.25">
      <c r="A483" s="17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IFERROR(VLOOKUP(B483,'Diciembre 2023'!$B$2:$G$5822,4,0),"")</f>
        <v>BM</v>
      </c>
    </row>
    <row r="484" spans="1:7" x14ac:dyDescent="0.25">
      <c r="A484" s="17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IFERROR(VLOOKUP(B484,'Diciembre 2023'!$B$2:$G$5822,4,0),"")</f>
        <v>ACTPETS</v>
      </c>
    </row>
    <row r="485" spans="1:7" x14ac:dyDescent="0.25">
      <c r="A485" s="17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IFERROR(VLOOKUP(B485,'Diciembre 2023'!$B$2:$G$5822,4,0),"")</f>
        <v>BM</v>
      </c>
    </row>
    <row r="486" spans="1:7" x14ac:dyDescent="0.25">
      <c r="A486" s="17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IFERROR(VLOOKUP(B486,'Diciembre 2023'!$B$2:$G$5822,4,0),"")</f>
        <v>BM</v>
      </c>
    </row>
    <row r="487" spans="1:7" x14ac:dyDescent="0.25">
      <c r="A487" s="17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IFERROR(VLOOKUP(B487,'Diciembre 2023'!$B$2:$G$5822,4,0),"")</f>
        <v>BM</v>
      </c>
    </row>
    <row r="488" spans="1:7" x14ac:dyDescent="0.25">
      <c r="A488" s="17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IFERROR(VLOOKUP(B488,'Diciembre 2023'!$B$2:$G$5822,4,0),"")</f>
        <v>BM</v>
      </c>
    </row>
    <row r="489" spans="1:7" x14ac:dyDescent="0.25">
      <c r="A489" s="17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IFERROR(VLOOKUP(B489,'Diciembre 2023'!$B$2:$G$5822,4,0),"")</f>
        <v>BM</v>
      </c>
    </row>
    <row r="490" spans="1:7" x14ac:dyDescent="0.25">
      <c r="A490" s="17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IFERROR(VLOOKUP(B490,'Diciembre 2023'!$B$2:$G$5822,4,0),"")</f>
        <v>ATAPET</v>
      </c>
    </row>
    <row r="491" spans="1:7" x14ac:dyDescent="0.25">
      <c r="A491" s="17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IFERROR(VLOOKUP(B491,'Diciembre 2023'!$B$2:$G$5822,4,0),"")</f>
        <v>INACTBM</v>
      </c>
    </row>
    <row r="492" spans="1:7" x14ac:dyDescent="0.25">
      <c r="A492" s="17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IFERROR(VLOOKUP(B492,'Diciembre 2023'!$B$2:$G$5822,4,0),"")</f>
        <v>BM</v>
      </c>
    </row>
    <row r="493" spans="1:7" x14ac:dyDescent="0.25">
      <c r="A493" s="17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IFERROR(VLOOKUP(B493,'Diciembre 2023'!$B$2:$G$5822,4,0),"")</f>
        <v>ACTPETF</v>
      </c>
    </row>
    <row r="494" spans="1:7" x14ac:dyDescent="0.25">
      <c r="A494" s="17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IFERROR(VLOOKUP(B494,'Diciembre 2023'!$B$2:$G$5822,4,0),"")</f>
        <v>BM</v>
      </c>
    </row>
    <row r="495" spans="1:7" x14ac:dyDescent="0.25">
      <c r="A495" s="17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IFERROR(VLOOKUP(B495,'Diciembre 2023'!$B$2:$G$5822,4,0),"")</f>
        <v>BM</v>
      </c>
    </row>
    <row r="496" spans="1:7" x14ac:dyDescent="0.25">
      <c r="A496" s="17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IFERROR(VLOOKUP(B496,'Diciembre 2023'!$B$2:$G$5822,4,0),"")</f>
        <v>BM</v>
      </c>
    </row>
    <row r="497" spans="1:7" x14ac:dyDescent="0.25">
      <c r="A497" s="17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IFERROR(VLOOKUP(B497,'Diciembre 2023'!$B$2:$G$5822,4,0),"")</f>
        <v>ACTPETS</v>
      </c>
    </row>
    <row r="498" spans="1:7" x14ac:dyDescent="0.25">
      <c r="A498" s="17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IFERROR(VLOOKUP(B498,'Diciembre 2023'!$B$2:$G$5822,4,0),"")</f>
        <v>ACTPETF</v>
      </c>
    </row>
    <row r="499" spans="1:7" x14ac:dyDescent="0.25">
      <c r="A499" s="17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IFERROR(VLOOKUP(B499,'Diciembre 2023'!$B$2:$G$5822,4,0),"")</f>
        <v>BM</v>
      </c>
    </row>
    <row r="500" spans="1:7" x14ac:dyDescent="0.25">
      <c r="A500" s="17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IFERROR(VLOOKUP(B500,'Diciembre 2023'!$B$2:$G$5822,4,0),"")</f>
        <v>INACTBM</v>
      </c>
    </row>
    <row r="501" spans="1:7" x14ac:dyDescent="0.25">
      <c r="A501" s="17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IFERROR(VLOOKUP(B501,'Diciembre 2023'!$B$2:$G$5822,4,0),"")</f>
        <v>BM</v>
      </c>
    </row>
    <row r="502" spans="1:7" x14ac:dyDescent="0.25">
      <c r="A502" s="17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IFERROR(VLOOKUP(B502,'Diciembre 2023'!$B$2:$G$5822,4,0),"")</f>
        <v>BM</v>
      </c>
    </row>
    <row r="503" spans="1:7" x14ac:dyDescent="0.25">
      <c r="A503" s="17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IFERROR(VLOOKUP(B503,'Diciembre 2023'!$B$2:$G$5822,4,0),"")</f>
        <v>INACTPL</v>
      </c>
    </row>
    <row r="504" spans="1:7" x14ac:dyDescent="0.25">
      <c r="A504" s="17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IFERROR(VLOOKUP(B504,'Diciembre 2023'!$B$2:$G$5822,4,0),"")</f>
        <v>ATAPET</v>
      </c>
    </row>
    <row r="505" spans="1:7" x14ac:dyDescent="0.25">
      <c r="A505" s="17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IFERROR(VLOOKUP(B505,'Diciembre 2023'!$B$2:$G$5822,4,0),"")</f>
        <v>ATAGAS</v>
      </c>
    </row>
    <row r="506" spans="1:7" x14ac:dyDescent="0.25">
      <c r="A506" s="17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IFERROR(VLOOKUP(B506,'Diciembre 2023'!$B$2:$G$5822,4,0),"")</f>
        <v>BM</v>
      </c>
    </row>
    <row r="507" spans="1:7" x14ac:dyDescent="0.25">
      <c r="A507" s="17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IFERROR(VLOOKUP(B507,'Diciembre 2023'!$B$2:$G$5822,4,0),"")</f>
        <v>BM</v>
      </c>
    </row>
    <row r="508" spans="1:7" x14ac:dyDescent="0.25">
      <c r="A508" s="17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IFERROR(VLOOKUP(B508,'Diciembre 2023'!$B$2:$G$5822,4,0),"")</f>
        <v>BM</v>
      </c>
    </row>
    <row r="509" spans="1:7" x14ac:dyDescent="0.25">
      <c r="A509" s="17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IFERROR(VLOOKUP(B509,'Diciembre 2023'!$B$2:$G$5822,4,0),"")</f>
        <v>BM</v>
      </c>
    </row>
    <row r="510" spans="1:7" x14ac:dyDescent="0.25">
      <c r="A510" s="17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IFERROR(VLOOKUP(B510,'Diciembre 2023'!$B$2:$G$5822,4,0),"")</f>
        <v>INACTPETF</v>
      </c>
    </row>
    <row r="511" spans="1:7" x14ac:dyDescent="0.25">
      <c r="A511" s="17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IFERROR(VLOOKUP(B511,'Diciembre 2023'!$B$2:$G$5822,4,0),"")</f>
        <v>BM</v>
      </c>
    </row>
    <row r="512" spans="1:7" x14ac:dyDescent="0.25">
      <c r="A512" s="17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IFERROR(VLOOKUP(B512,'Diciembre 2023'!$B$2:$G$5822,4,0),"")</f>
        <v>BM</v>
      </c>
    </row>
    <row r="513" spans="1:7" x14ac:dyDescent="0.25">
      <c r="A513" s="17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IFERROR(VLOOKUP(B513,'Diciembre 2023'!$B$2:$G$5822,4,0),"")</f>
        <v>BM</v>
      </c>
    </row>
    <row r="514" spans="1:7" x14ac:dyDescent="0.25">
      <c r="A514" s="17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IFERROR(VLOOKUP(B514,'Diciembre 2023'!$B$2:$G$5822,4,0),"")</f>
        <v>ACTPETF</v>
      </c>
    </row>
    <row r="515" spans="1:7" x14ac:dyDescent="0.25">
      <c r="A515" s="17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IFERROR(VLOOKUP(B515,'Diciembre 2023'!$B$2:$G$5822,4,0),"")</f>
        <v>ACTPETS</v>
      </c>
    </row>
    <row r="516" spans="1:7" x14ac:dyDescent="0.25">
      <c r="A516" s="17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IFERROR(VLOOKUP(B516,'Diciembre 2023'!$B$2:$G$5822,4,0),"")</f>
        <v>ACTPETF</v>
      </c>
    </row>
    <row r="517" spans="1:7" x14ac:dyDescent="0.25">
      <c r="A517" s="17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IFERROR(VLOOKUP(B517,'Diciembre 2023'!$B$2:$G$5822,4,0),"")</f>
        <v>ACTPETS</v>
      </c>
    </row>
    <row r="518" spans="1:7" x14ac:dyDescent="0.25">
      <c r="A518" s="17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IFERROR(VLOOKUP(B518,'Diciembre 2023'!$B$2:$G$5822,4,0),"")</f>
        <v>INACTPETS</v>
      </c>
    </row>
    <row r="519" spans="1:7" x14ac:dyDescent="0.25">
      <c r="A519" s="17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IFERROR(VLOOKUP(B519,'Diciembre 2023'!$B$2:$G$5822,4,0),"")</f>
        <v>BM</v>
      </c>
    </row>
    <row r="520" spans="1:7" x14ac:dyDescent="0.25">
      <c r="A520" s="17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IFERROR(VLOOKUP(B520,'Diciembre 2023'!$B$2:$G$5822,4,0),"")</f>
        <v>BM</v>
      </c>
    </row>
    <row r="521" spans="1:7" x14ac:dyDescent="0.25">
      <c r="A521" s="17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IFERROR(VLOOKUP(B521,'Diciembre 2023'!$B$2:$G$5822,4,0),"")</f>
        <v>BM</v>
      </c>
    </row>
    <row r="522" spans="1:7" x14ac:dyDescent="0.25">
      <c r="A522" s="18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IFERROR(VLOOKUP(B522,'Diciembre 2023'!$B$2:$G$5822,4,0),"")</f>
        <v>BM</v>
      </c>
    </row>
    <row r="523" spans="1:7" x14ac:dyDescent="0.25">
      <c r="A523" s="17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IFERROR(VLOOKUP(B523,'Diciembre 2023'!$B$2:$G$5822,4,0),"")</f>
        <v>BM</v>
      </c>
    </row>
    <row r="524" spans="1:7" x14ac:dyDescent="0.25">
      <c r="A524" s="17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IFERROR(VLOOKUP(B524,'Diciembre 2023'!$B$2:$G$5822,4,0),"")</f>
        <v>BM</v>
      </c>
    </row>
    <row r="525" spans="1:7" x14ac:dyDescent="0.25">
      <c r="A525" s="17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IFERROR(VLOOKUP(B525,'Diciembre 2023'!$B$2:$G$5822,4,0),"")</f>
        <v>BM</v>
      </c>
    </row>
    <row r="526" spans="1:7" x14ac:dyDescent="0.25">
      <c r="A526" s="17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IFERROR(VLOOKUP(B526,'Diciembre 2023'!$B$2:$G$5822,4,0),"")</f>
        <v>BM</v>
      </c>
    </row>
    <row r="527" spans="1:7" x14ac:dyDescent="0.25">
      <c r="A527" s="17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IFERROR(VLOOKUP(B527,'Diciembre 2023'!$B$2:$G$5822,4,0),"")</f>
        <v>BM</v>
      </c>
    </row>
    <row r="528" spans="1:7" x14ac:dyDescent="0.25">
      <c r="A528" s="17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IFERROR(VLOOKUP(B528,'Diciembre 2023'!$B$2:$G$5822,4,0),"")</f>
        <v>BM</v>
      </c>
    </row>
    <row r="529" spans="1:7" x14ac:dyDescent="0.25">
      <c r="A529" s="17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IFERROR(VLOOKUP(B529,'Diciembre 2023'!$B$2:$G$5822,4,0),"")</f>
        <v>ACTPETS</v>
      </c>
    </row>
    <row r="530" spans="1:7" x14ac:dyDescent="0.25">
      <c r="A530" s="17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IFERROR(VLOOKUP(B530,'Diciembre 2023'!$B$2:$G$5822,4,0),"")</f>
        <v>BM</v>
      </c>
    </row>
    <row r="531" spans="1:7" x14ac:dyDescent="0.25">
      <c r="A531" s="17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IFERROR(VLOOKUP(B531,'Diciembre 2023'!$B$2:$G$5822,4,0),"")</f>
        <v>DPAPET</v>
      </c>
    </row>
    <row r="532" spans="1:7" x14ac:dyDescent="0.25">
      <c r="A532" s="17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IFERROR(VLOOKUP(B532,'Diciembre 2023'!$B$2:$G$5822,4,0),"")</f>
        <v>BM</v>
      </c>
    </row>
    <row r="533" spans="1:7" x14ac:dyDescent="0.25">
      <c r="A533" s="17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IFERROR(VLOOKUP(B533,'Diciembre 2023'!$B$2:$G$5822,4,0),"")</f>
        <v>BM</v>
      </c>
    </row>
    <row r="534" spans="1:7" x14ac:dyDescent="0.25">
      <c r="A534" s="17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IFERROR(VLOOKUP(B534,'Diciembre 2023'!$B$2:$G$5822,4,0),"")</f>
        <v>BM</v>
      </c>
    </row>
    <row r="535" spans="1:7" x14ac:dyDescent="0.25">
      <c r="A535" s="17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IFERROR(VLOOKUP(B535,'Diciembre 2023'!$B$2:$G$5822,4,0),"")</f>
        <v>BM</v>
      </c>
    </row>
    <row r="536" spans="1:7" x14ac:dyDescent="0.25">
      <c r="A536" s="17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IFERROR(VLOOKUP(B536,'Diciembre 2023'!$B$2:$G$5822,4,0),"")</f>
        <v>BM</v>
      </c>
    </row>
    <row r="537" spans="1:7" x14ac:dyDescent="0.25">
      <c r="A537" s="17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IFERROR(VLOOKUP(B537,'Diciembre 2023'!$B$2:$G$5822,4,0),"")</f>
        <v>BM</v>
      </c>
    </row>
    <row r="538" spans="1:7" x14ac:dyDescent="0.25">
      <c r="A538" s="17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IFERROR(VLOOKUP(B538,'Diciembre 2023'!$B$2:$G$5822,4,0),"")</f>
        <v>INACTBM</v>
      </c>
    </row>
    <row r="539" spans="1:7" x14ac:dyDescent="0.25">
      <c r="A539" s="17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IFERROR(VLOOKUP(B539,'Diciembre 2023'!$B$2:$G$5822,4,0),"")</f>
        <v>BM</v>
      </c>
    </row>
    <row r="540" spans="1:7" x14ac:dyDescent="0.25">
      <c r="A540" s="17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IFERROR(VLOOKUP(B540,'Diciembre 2023'!$B$2:$G$5822,4,0),"")</f>
        <v>BM</v>
      </c>
    </row>
    <row r="541" spans="1:7" x14ac:dyDescent="0.25">
      <c r="A541" s="17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IFERROR(VLOOKUP(B541,'Diciembre 2023'!$B$2:$G$5822,4,0),"")</f>
        <v>BM</v>
      </c>
    </row>
    <row r="542" spans="1:7" x14ac:dyDescent="0.25">
      <c r="A542" s="17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IFERROR(VLOOKUP(B542,'Diciembre 2023'!$B$2:$G$5822,4,0),"")</f>
        <v>INACTGAS</v>
      </c>
    </row>
    <row r="543" spans="1:7" x14ac:dyDescent="0.25">
      <c r="A543" s="18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IFERROR(VLOOKUP(B543,'Diciembre 2023'!$B$2:$G$5822,4,0),"")</f>
        <v>INACTGAS</v>
      </c>
    </row>
    <row r="544" spans="1:7" x14ac:dyDescent="0.25">
      <c r="A544" s="17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IFERROR(VLOOKUP(B544,'Diciembre 2023'!$B$2:$G$5822,4,0),"")</f>
        <v>BM</v>
      </c>
    </row>
    <row r="545" spans="1:7" x14ac:dyDescent="0.25">
      <c r="A545" s="17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IFERROR(VLOOKUP(B545,'Diciembre 2023'!$B$2:$G$5822,4,0),"")</f>
        <v>ATAPET</v>
      </c>
    </row>
    <row r="546" spans="1:7" x14ac:dyDescent="0.25">
      <c r="A546" s="17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IFERROR(VLOOKUP(B546,'Diciembre 2023'!$B$2:$G$5822,4,0),"")</f>
        <v>ACTPETS</v>
      </c>
    </row>
    <row r="547" spans="1:7" x14ac:dyDescent="0.25">
      <c r="A547" s="17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IFERROR(VLOOKUP(B547,'Diciembre 2023'!$B$2:$G$5822,4,0),"")</f>
        <v>BM</v>
      </c>
    </row>
    <row r="548" spans="1:7" x14ac:dyDescent="0.25">
      <c r="A548" s="17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IFERROR(VLOOKUP(B548,'Diciembre 2023'!$B$2:$G$5822,4,0),"")</f>
        <v>DPAPET</v>
      </c>
    </row>
    <row r="549" spans="1:7" x14ac:dyDescent="0.25">
      <c r="A549" s="17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IFERROR(VLOOKUP(B549,'Diciembre 2023'!$B$2:$G$5822,4,0),"")</f>
        <v>BM</v>
      </c>
    </row>
    <row r="550" spans="1:7" x14ac:dyDescent="0.25">
      <c r="A550" s="17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IFERROR(VLOOKUP(B550,'Diciembre 2023'!$B$2:$G$5822,4,0),"")</f>
        <v>BM</v>
      </c>
    </row>
    <row r="551" spans="1:7" x14ac:dyDescent="0.25">
      <c r="A551" s="17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IFERROR(VLOOKUP(B551,'Diciembre 2023'!$B$2:$G$5822,4,0),"")</f>
        <v>BM</v>
      </c>
    </row>
    <row r="552" spans="1:7" x14ac:dyDescent="0.25">
      <c r="A552" s="17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IFERROR(VLOOKUP(B552,'Diciembre 2023'!$B$2:$G$5822,4,0),"")</f>
        <v>ATAPET</v>
      </c>
    </row>
    <row r="553" spans="1:7" x14ac:dyDescent="0.25">
      <c r="A553" s="17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IFERROR(VLOOKUP(B553,'Diciembre 2023'!$B$2:$G$5822,4,0),"")</f>
        <v>DPAPET</v>
      </c>
    </row>
    <row r="554" spans="1:7" x14ac:dyDescent="0.25">
      <c r="A554" s="17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IFERROR(VLOOKUP(B554,'Diciembre 2023'!$B$2:$G$5822,4,0),"")</f>
        <v>BM</v>
      </c>
    </row>
    <row r="555" spans="1:7" x14ac:dyDescent="0.25">
      <c r="A555" s="17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IFERROR(VLOOKUP(B555,'Diciembre 2023'!$B$2:$G$5822,4,0),"")</f>
        <v>BM</v>
      </c>
    </row>
    <row r="556" spans="1:7" x14ac:dyDescent="0.25">
      <c r="A556" s="17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IFERROR(VLOOKUP(B556,'Diciembre 2023'!$B$2:$G$5822,4,0),"")</f>
        <v>INACTGAS</v>
      </c>
    </row>
    <row r="557" spans="1:7" x14ac:dyDescent="0.25">
      <c r="A557" s="17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IFERROR(VLOOKUP(B557,'Diciembre 2023'!$B$2:$G$5822,4,0),"")</f>
        <v>APA_PC</v>
      </c>
    </row>
    <row r="558" spans="1:7" x14ac:dyDescent="0.25">
      <c r="A558" s="17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IFERROR(VLOOKUP(B558,'Diciembre 2023'!$B$2:$G$5822,4,0),"")</f>
        <v>BM</v>
      </c>
    </row>
    <row r="559" spans="1:7" x14ac:dyDescent="0.25">
      <c r="A559" s="17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IFERROR(VLOOKUP(B559,'Diciembre 2023'!$B$2:$G$5822,4,0),"")</f>
        <v>BM</v>
      </c>
    </row>
    <row r="560" spans="1:7" x14ac:dyDescent="0.25">
      <c r="A560" s="17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IFERROR(VLOOKUP(B560,'Diciembre 2023'!$B$2:$G$5822,4,0),"")</f>
        <v>BM</v>
      </c>
    </row>
    <row r="561" spans="1:7" x14ac:dyDescent="0.25">
      <c r="A561" s="17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IFERROR(VLOOKUP(B561,'Diciembre 2023'!$B$2:$G$5822,4,0),"")</f>
        <v>INACTBM</v>
      </c>
    </row>
    <row r="562" spans="1:7" x14ac:dyDescent="0.25">
      <c r="A562" s="17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IFERROR(VLOOKUP(B562,'Diciembre 2023'!$B$2:$G$5822,4,0),"")</f>
        <v>ATAPET</v>
      </c>
    </row>
    <row r="563" spans="1:7" x14ac:dyDescent="0.25">
      <c r="A563" s="17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IFERROR(VLOOKUP(B563,'Diciembre 2023'!$B$2:$G$5822,4,0),"")</f>
        <v>BM</v>
      </c>
    </row>
    <row r="564" spans="1:7" x14ac:dyDescent="0.25">
      <c r="A564" s="17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IFERROR(VLOOKUP(B564,'Diciembre 2023'!$B$2:$G$5822,4,0),"")</f>
        <v>BM</v>
      </c>
    </row>
    <row r="565" spans="1:7" x14ac:dyDescent="0.25">
      <c r="A565" s="17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IFERROR(VLOOKUP(B565,'Diciembre 2023'!$B$2:$G$5822,4,0),"")</f>
        <v>BM</v>
      </c>
    </row>
    <row r="566" spans="1:7" x14ac:dyDescent="0.25">
      <c r="A566" s="17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IFERROR(VLOOKUP(B566,'Diciembre 2023'!$B$2:$G$5822,4,0),"")</f>
        <v>BM</v>
      </c>
    </row>
    <row r="567" spans="1:7" x14ac:dyDescent="0.25">
      <c r="A567" s="17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IFERROR(VLOOKUP(B567,'Diciembre 2023'!$B$2:$G$5822,4,0),"")</f>
        <v>BM</v>
      </c>
    </row>
    <row r="568" spans="1:7" x14ac:dyDescent="0.25">
      <c r="A568" s="17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IFERROR(VLOOKUP(B568,'Diciembre 2023'!$B$2:$G$5822,4,0),"")</f>
        <v>BM</v>
      </c>
    </row>
    <row r="569" spans="1:7" x14ac:dyDescent="0.25">
      <c r="A569" s="17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IFERROR(VLOOKUP(B569,'Diciembre 2023'!$B$2:$G$5822,4,0),"")</f>
        <v>BM</v>
      </c>
    </row>
    <row r="570" spans="1:7" x14ac:dyDescent="0.25">
      <c r="A570" s="17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IFERROR(VLOOKUP(B570,'Diciembre 2023'!$B$2:$G$5822,4,0),"")</f>
        <v>BM</v>
      </c>
    </row>
    <row r="571" spans="1:7" x14ac:dyDescent="0.25">
      <c r="A571" s="17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IFERROR(VLOOKUP(B571,'Diciembre 2023'!$B$2:$G$5822,4,0),"")</f>
        <v>BM</v>
      </c>
    </row>
    <row r="572" spans="1:7" x14ac:dyDescent="0.25">
      <c r="A572" s="17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IFERROR(VLOOKUP(B572,'Diciembre 2023'!$B$2:$G$5822,4,0),"")</f>
        <v>INACTBM</v>
      </c>
    </row>
    <row r="573" spans="1:7" x14ac:dyDescent="0.25">
      <c r="A573" s="17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IFERROR(VLOOKUP(B573,'Diciembre 2023'!$B$2:$G$5822,4,0),"")</f>
        <v>BM</v>
      </c>
    </row>
    <row r="574" spans="1:7" x14ac:dyDescent="0.25">
      <c r="A574" s="17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IFERROR(VLOOKUP(B574,'Diciembre 2023'!$B$2:$G$5822,4,0),"")</f>
        <v>BM</v>
      </c>
    </row>
    <row r="575" spans="1:7" x14ac:dyDescent="0.25">
      <c r="A575" s="17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IFERROR(VLOOKUP(B575,'Diciembre 2023'!$B$2:$G$5822,4,0),"")</f>
        <v>BM</v>
      </c>
    </row>
    <row r="576" spans="1:7" x14ac:dyDescent="0.25">
      <c r="A576" s="17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IFERROR(VLOOKUP(B576,'Diciembre 2023'!$B$2:$G$5822,4,0),"")</f>
        <v>BM</v>
      </c>
    </row>
    <row r="577" spans="1:7" x14ac:dyDescent="0.25">
      <c r="A577" s="17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IFERROR(VLOOKUP(B577,'Diciembre 2023'!$B$2:$G$5822,4,0),"")</f>
        <v>BM</v>
      </c>
    </row>
    <row r="578" spans="1:7" x14ac:dyDescent="0.25">
      <c r="A578" s="17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IFERROR(VLOOKUP(B578,'Diciembre 2023'!$B$2:$G$5822,4,0),"")</f>
        <v>BM</v>
      </c>
    </row>
    <row r="579" spans="1:7" x14ac:dyDescent="0.25">
      <c r="A579" s="17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IFERROR(VLOOKUP(B579,'Diciembre 2023'!$B$2:$G$5822,4,0),"")</f>
        <v>BM</v>
      </c>
    </row>
    <row r="580" spans="1:7" x14ac:dyDescent="0.25">
      <c r="A580" s="17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IFERROR(VLOOKUP(B580,'Diciembre 2023'!$B$2:$G$5822,4,0),"")</f>
        <v>ACTPETS</v>
      </c>
    </row>
    <row r="581" spans="1:7" x14ac:dyDescent="0.25">
      <c r="A581" s="17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IFERROR(VLOOKUP(B581,'Diciembre 2023'!$B$2:$G$5822,4,0),"")</f>
        <v>BM</v>
      </c>
    </row>
    <row r="582" spans="1:7" x14ac:dyDescent="0.25">
      <c r="A582" s="17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IFERROR(VLOOKUP(B582,'Diciembre 2023'!$B$2:$G$5822,4,0),"")</f>
        <v>DPAPET</v>
      </c>
    </row>
    <row r="583" spans="1:7" x14ac:dyDescent="0.25">
      <c r="A583" s="17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IFERROR(VLOOKUP(B583,'Diciembre 2023'!$B$2:$G$5822,4,0),"")</f>
        <v>INACTBM</v>
      </c>
    </row>
    <row r="584" spans="1:7" x14ac:dyDescent="0.25">
      <c r="A584" s="17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IFERROR(VLOOKUP(B584,'Diciembre 2023'!$B$2:$G$5822,4,0),"")</f>
        <v>BM</v>
      </c>
    </row>
    <row r="585" spans="1:7" x14ac:dyDescent="0.25">
      <c r="A585" s="17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IFERROR(VLOOKUP(B585,'Diciembre 2023'!$B$2:$G$5822,4,0),"")</f>
        <v>ACTPETS</v>
      </c>
    </row>
    <row r="586" spans="1:7" x14ac:dyDescent="0.25">
      <c r="A586" s="17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IFERROR(VLOOKUP(B586,'Diciembre 2023'!$B$2:$G$5822,4,0),"")</f>
        <v>BM</v>
      </c>
    </row>
    <row r="587" spans="1:7" x14ac:dyDescent="0.25">
      <c r="A587" s="17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IFERROR(VLOOKUP(B587,'Diciembre 2023'!$B$2:$G$5822,4,0),"")</f>
        <v>ATAPET</v>
      </c>
    </row>
    <row r="588" spans="1:7" x14ac:dyDescent="0.25">
      <c r="A588" s="17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IFERROR(VLOOKUP(B588,'Diciembre 2023'!$B$2:$G$5822,4,0),"")</f>
        <v>APA_CNPC</v>
      </c>
    </row>
    <row r="589" spans="1:7" x14ac:dyDescent="0.25">
      <c r="A589" s="17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IFERROR(VLOOKUP(B589,'Diciembre 2023'!$B$2:$G$5822,4,0),"")</f>
        <v>BM</v>
      </c>
    </row>
    <row r="590" spans="1:7" x14ac:dyDescent="0.25">
      <c r="A590" s="17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IFERROR(VLOOKUP(B590,'Diciembre 2023'!$B$2:$G$5822,4,0),"")</f>
        <v>BM</v>
      </c>
    </row>
    <row r="591" spans="1:7" x14ac:dyDescent="0.25">
      <c r="A591" s="17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IFERROR(VLOOKUP(B591,'Diciembre 2023'!$B$2:$G$5822,4,0),"")</f>
        <v>BM</v>
      </c>
    </row>
    <row r="592" spans="1:7" x14ac:dyDescent="0.25">
      <c r="A592" s="17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IFERROR(VLOOKUP(B592,'Diciembre 2023'!$B$2:$G$5822,4,0),"")</f>
        <v>INACTBM</v>
      </c>
    </row>
    <row r="593" spans="1:7" x14ac:dyDescent="0.25">
      <c r="A593" s="17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IFERROR(VLOOKUP(B593,'Diciembre 2023'!$B$2:$G$5822,4,0),"")</f>
        <v>ACTPETS</v>
      </c>
    </row>
    <row r="594" spans="1:7" x14ac:dyDescent="0.25">
      <c r="A594" s="17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IFERROR(VLOOKUP(B594,'Diciembre 2023'!$B$2:$G$5822,4,0),"")</f>
        <v>BM</v>
      </c>
    </row>
    <row r="595" spans="1:7" x14ac:dyDescent="0.25">
      <c r="A595" s="17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IFERROR(VLOOKUP(B595,'Diciembre 2023'!$B$2:$G$5822,4,0),"")</f>
        <v>BM</v>
      </c>
    </row>
    <row r="596" spans="1:7" x14ac:dyDescent="0.25">
      <c r="A596" s="17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IFERROR(VLOOKUP(B596,'Diciembre 2023'!$B$2:$G$5822,4,0),"")</f>
        <v>INACTBM</v>
      </c>
    </row>
    <row r="597" spans="1:7" x14ac:dyDescent="0.25">
      <c r="A597" s="17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IFERROR(VLOOKUP(B597,'Diciembre 2023'!$B$2:$G$5822,4,0),"")</f>
        <v>BCP</v>
      </c>
    </row>
    <row r="598" spans="1:7" x14ac:dyDescent="0.25">
      <c r="A598" s="17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IFERROR(VLOOKUP(B598,'Diciembre 2023'!$B$2:$G$5822,4,0),"")</f>
        <v>BM</v>
      </c>
    </row>
    <row r="599" spans="1:7" x14ac:dyDescent="0.25">
      <c r="A599" s="17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IFERROR(VLOOKUP(B599,'Diciembre 2023'!$B$2:$G$5822,4,0),"")</f>
        <v>BM</v>
      </c>
    </row>
    <row r="600" spans="1:7" x14ac:dyDescent="0.25">
      <c r="A600" s="17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IFERROR(VLOOKUP(B600,'Diciembre 2023'!$B$2:$G$5822,4,0),"")</f>
        <v>BM</v>
      </c>
    </row>
    <row r="601" spans="1:7" x14ac:dyDescent="0.25">
      <c r="A601" s="17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IFERROR(VLOOKUP(B601,'Diciembre 2023'!$B$2:$G$5822,4,0),"")</f>
        <v>BM</v>
      </c>
    </row>
    <row r="602" spans="1:7" x14ac:dyDescent="0.25">
      <c r="A602" s="17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IFERROR(VLOOKUP(B602,'Diciembre 2023'!$B$2:$G$5822,4,0),"")</f>
        <v>BM</v>
      </c>
    </row>
    <row r="603" spans="1:7" x14ac:dyDescent="0.25">
      <c r="A603" s="17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IFERROR(VLOOKUP(B603,'Diciembre 2023'!$B$2:$G$5822,4,0),"")</f>
        <v>BM</v>
      </c>
    </row>
    <row r="604" spans="1:7" x14ac:dyDescent="0.25">
      <c r="A604" s="17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IFERROR(VLOOKUP(B604,'Diciembre 2023'!$B$2:$G$5822,4,0),"")</f>
        <v>ACTPETS</v>
      </c>
    </row>
    <row r="605" spans="1:7" x14ac:dyDescent="0.25">
      <c r="A605" s="17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IFERROR(VLOOKUP(B605,'Diciembre 2023'!$B$2:$G$5822,4,0),"")</f>
        <v>BM</v>
      </c>
    </row>
    <row r="606" spans="1:7" x14ac:dyDescent="0.25">
      <c r="A606" s="17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IFERROR(VLOOKUP(B606,'Diciembre 2023'!$B$2:$G$5822,4,0),"")</f>
        <v>BM</v>
      </c>
    </row>
    <row r="607" spans="1:7" x14ac:dyDescent="0.25">
      <c r="A607" s="17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IFERROR(VLOOKUP(B607,'Diciembre 2023'!$B$2:$G$5822,4,0),"")</f>
        <v>BM</v>
      </c>
    </row>
    <row r="608" spans="1:7" x14ac:dyDescent="0.25">
      <c r="A608" s="17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IFERROR(VLOOKUP(B608,'Diciembre 2023'!$B$2:$G$5822,4,0),"")</f>
        <v>BM</v>
      </c>
    </row>
    <row r="609" spans="1:7" x14ac:dyDescent="0.25">
      <c r="A609" s="17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IFERROR(VLOOKUP(B609,'Diciembre 2023'!$B$2:$G$5822,4,0),"")</f>
        <v>BM</v>
      </c>
    </row>
    <row r="610" spans="1:7" x14ac:dyDescent="0.25">
      <c r="A610" s="17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IFERROR(VLOOKUP(B610,'Diciembre 2023'!$B$2:$G$5822,4,0),"")</f>
        <v>BM</v>
      </c>
    </row>
    <row r="611" spans="1:7" x14ac:dyDescent="0.25">
      <c r="A611" s="17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IFERROR(VLOOKUP(B611,'Diciembre 2023'!$B$2:$G$5822,4,0),"")</f>
        <v>BM</v>
      </c>
    </row>
    <row r="612" spans="1:7" x14ac:dyDescent="0.25">
      <c r="A612" s="17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IFERROR(VLOOKUP(B612,'Diciembre 2023'!$B$2:$G$5822,4,0),"")</f>
        <v>BM</v>
      </c>
    </row>
    <row r="613" spans="1:7" x14ac:dyDescent="0.25">
      <c r="A613" s="17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IFERROR(VLOOKUP(B613,'Diciembre 2023'!$B$2:$G$5822,4,0),"")</f>
        <v>BM</v>
      </c>
    </row>
    <row r="614" spans="1:7" x14ac:dyDescent="0.25">
      <c r="A614" s="17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IFERROR(VLOOKUP(B614,'Diciembre 2023'!$B$2:$G$5822,4,0),"")</f>
        <v>BM</v>
      </c>
    </row>
    <row r="615" spans="1:7" x14ac:dyDescent="0.25">
      <c r="A615" s="17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IFERROR(VLOOKUP(B615,'Diciembre 2023'!$B$2:$G$5822,4,0),"")</f>
        <v>BM</v>
      </c>
    </row>
    <row r="616" spans="1:7" x14ac:dyDescent="0.25">
      <c r="A616" s="17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IFERROR(VLOOKUP(B616,'Diciembre 2023'!$B$2:$G$5822,4,0),"")</f>
        <v>BM</v>
      </c>
    </row>
    <row r="617" spans="1:7" x14ac:dyDescent="0.25">
      <c r="A617" s="17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IFERROR(VLOOKUP(B617,'Diciembre 2023'!$B$2:$G$5822,4,0),"")</f>
        <v>BM</v>
      </c>
    </row>
    <row r="618" spans="1:7" x14ac:dyDescent="0.25">
      <c r="A618" s="17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IFERROR(VLOOKUP(B618,'Diciembre 2023'!$B$2:$G$5822,4,0),"")</f>
        <v>BM</v>
      </c>
    </row>
    <row r="619" spans="1:7" x14ac:dyDescent="0.25">
      <c r="A619" s="17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IFERROR(VLOOKUP(B619,'Diciembre 2023'!$B$2:$G$5822,4,0),"")</f>
        <v>BM</v>
      </c>
    </row>
    <row r="620" spans="1:7" x14ac:dyDescent="0.25">
      <c r="A620" s="17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IFERROR(VLOOKUP(B620,'Diciembre 2023'!$B$2:$G$5822,4,0),"")</f>
        <v>BM</v>
      </c>
    </row>
    <row r="621" spans="1:7" x14ac:dyDescent="0.25">
      <c r="A621" s="17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IFERROR(VLOOKUP(B621,'Diciembre 2023'!$B$2:$G$5822,4,0),"")</f>
        <v>INACTBCP</v>
      </c>
    </row>
    <row r="622" spans="1:7" x14ac:dyDescent="0.25">
      <c r="A622" s="17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IFERROR(VLOOKUP(B622,'Diciembre 2023'!$B$2:$G$5822,4,0),"")</f>
        <v>BM</v>
      </c>
    </row>
    <row r="623" spans="1:7" x14ac:dyDescent="0.25">
      <c r="A623" s="17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IFERROR(VLOOKUP(B623,'Diciembre 2023'!$B$2:$G$5822,4,0),"")</f>
        <v>BM</v>
      </c>
    </row>
    <row r="624" spans="1:7" x14ac:dyDescent="0.25">
      <c r="A624" s="17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IFERROR(VLOOKUP(B624,'Diciembre 2023'!$B$2:$G$5822,4,0),"")</f>
        <v>BM</v>
      </c>
    </row>
    <row r="625" spans="1:7" x14ac:dyDescent="0.25">
      <c r="A625" s="17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IFERROR(VLOOKUP(B625,'Diciembre 2023'!$B$2:$G$5822,4,0),"")</f>
        <v>BM</v>
      </c>
    </row>
    <row r="626" spans="1:7" x14ac:dyDescent="0.25">
      <c r="A626" s="17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IFERROR(VLOOKUP(B626,'Diciembre 2023'!$B$2:$G$5822,4,0),"")</f>
        <v>BM</v>
      </c>
    </row>
    <row r="627" spans="1:7" x14ac:dyDescent="0.25">
      <c r="A627" s="17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IFERROR(VLOOKUP(B627,'Diciembre 2023'!$B$2:$G$5822,4,0),"")</f>
        <v>BM</v>
      </c>
    </row>
    <row r="628" spans="1:7" x14ac:dyDescent="0.25">
      <c r="A628" s="17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IFERROR(VLOOKUP(B628,'Diciembre 2023'!$B$2:$G$5822,4,0),"")</f>
        <v>BM</v>
      </c>
    </row>
    <row r="629" spans="1:7" x14ac:dyDescent="0.25">
      <c r="A629" s="17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IFERROR(VLOOKUP(B629,'Diciembre 2023'!$B$2:$G$5822,4,0),"")</f>
        <v>INACTBM</v>
      </c>
    </row>
    <row r="630" spans="1:7" x14ac:dyDescent="0.25">
      <c r="A630" s="17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IFERROR(VLOOKUP(B630,'Diciembre 2023'!$B$2:$G$5822,4,0),"")</f>
        <v>BM</v>
      </c>
    </row>
    <row r="631" spans="1:7" x14ac:dyDescent="0.25">
      <c r="A631" s="17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IFERROR(VLOOKUP(B631,'Diciembre 2023'!$B$2:$G$5822,4,0),"")</f>
        <v>BM</v>
      </c>
    </row>
    <row r="632" spans="1:7" x14ac:dyDescent="0.25">
      <c r="A632" s="17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IFERROR(VLOOKUP(B632,'Diciembre 2023'!$B$2:$G$5822,4,0),"")</f>
        <v>BM</v>
      </c>
    </row>
    <row r="633" spans="1:7" x14ac:dyDescent="0.25">
      <c r="A633" s="17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IFERROR(VLOOKUP(B633,'Diciembre 2023'!$B$2:$G$5822,4,0),"")</f>
        <v>BM</v>
      </c>
    </row>
    <row r="634" spans="1:7" x14ac:dyDescent="0.25">
      <c r="A634" s="17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IFERROR(VLOOKUP(B634,'Diciembre 2023'!$B$2:$G$5822,4,0),"")</f>
        <v>BM</v>
      </c>
    </row>
    <row r="635" spans="1:7" x14ac:dyDescent="0.25">
      <c r="A635" s="17"/>
      <c r="B635" s="4" t="s">
        <v>675</v>
      </c>
      <c r="C635" s="4" t="s">
        <v>109</v>
      </c>
      <c r="D635" s="4" t="s">
        <v>110</v>
      </c>
      <c r="E635" s="4" t="s">
        <v>111</v>
      </c>
      <c r="F635" s="4" t="s">
        <v>112</v>
      </c>
      <c r="G635" s="5" t="str">
        <f>IFERROR(VLOOKUP(B635,'Diciembre 2023'!$B$2:$G$5822,4,0),"")</f>
        <v>ACTINYA</v>
      </c>
    </row>
    <row r="636" spans="1:7" x14ac:dyDescent="0.25">
      <c r="A636" s="17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IFERROR(VLOOKUP(B636,'Diciembre 2023'!$B$2:$G$5822,4,0),"")</f>
        <v>BM</v>
      </c>
    </row>
    <row r="637" spans="1:7" x14ac:dyDescent="0.25">
      <c r="A637" s="17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IFERROR(VLOOKUP(B637,'Diciembre 2023'!$B$2:$G$5822,4,0),"")</f>
        <v>BM</v>
      </c>
    </row>
    <row r="638" spans="1:7" x14ac:dyDescent="0.25">
      <c r="A638" s="17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IFERROR(VLOOKUP(B638,'Diciembre 2023'!$B$2:$G$5822,4,0),"")</f>
        <v>BCP</v>
      </c>
    </row>
    <row r="639" spans="1:7" x14ac:dyDescent="0.25">
      <c r="A639" s="17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IFERROR(VLOOKUP(B639,'Diciembre 2023'!$B$2:$G$5822,4,0),"")</f>
        <v>BM</v>
      </c>
    </row>
    <row r="640" spans="1:7" x14ac:dyDescent="0.25">
      <c r="A640" s="17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IFERROR(VLOOKUP(B640,'Diciembre 2023'!$B$2:$G$5822,4,0),"")</f>
        <v>APA_PC</v>
      </c>
    </row>
    <row r="641" spans="1:7" x14ac:dyDescent="0.25">
      <c r="A641" s="17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IFERROR(VLOOKUP(B641,'Diciembre 2023'!$B$2:$G$5822,4,0),"")</f>
        <v>APA_PC</v>
      </c>
    </row>
    <row r="642" spans="1:7" x14ac:dyDescent="0.25">
      <c r="A642" s="17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IFERROR(VLOOKUP(B642,'Diciembre 2023'!$B$2:$G$5822,4,0),"")</f>
        <v>BM</v>
      </c>
    </row>
    <row r="643" spans="1:7" x14ac:dyDescent="0.25">
      <c r="A643" s="17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IFERROR(VLOOKUP(B643,'Diciembre 2023'!$B$2:$G$5822,4,0),"")</f>
        <v>BM</v>
      </c>
    </row>
    <row r="644" spans="1:7" x14ac:dyDescent="0.25">
      <c r="A644" s="17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IFERROR(VLOOKUP(B644,'Diciembre 2023'!$B$2:$G$5822,4,0),"")</f>
        <v>INACTBCP</v>
      </c>
    </row>
    <row r="645" spans="1:7" x14ac:dyDescent="0.25">
      <c r="A645" s="17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IFERROR(VLOOKUP(B645,'Diciembre 2023'!$B$2:$G$5822,4,0),"")</f>
        <v>APA_PC</v>
      </c>
    </row>
    <row r="646" spans="1:7" x14ac:dyDescent="0.25">
      <c r="A646" s="17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IFERROR(VLOOKUP(B646,'Diciembre 2023'!$B$2:$G$5822,4,0),"")</f>
        <v>INACTINYA</v>
      </c>
    </row>
    <row r="647" spans="1:7" x14ac:dyDescent="0.25">
      <c r="A647" s="17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IFERROR(VLOOKUP(B647,'Diciembre 2023'!$B$2:$G$5822,4,0),"")</f>
        <v>APA_PC</v>
      </c>
    </row>
    <row r="648" spans="1:7" x14ac:dyDescent="0.25">
      <c r="A648" s="17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IFERROR(VLOOKUP(B648,'Diciembre 2023'!$B$2:$G$5822,4,0),"")</f>
        <v>ATAPET</v>
      </c>
    </row>
    <row r="649" spans="1:7" x14ac:dyDescent="0.25">
      <c r="A649" s="17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IFERROR(VLOOKUP(B649,'Diciembre 2023'!$B$2:$G$5822,4,0),"")</f>
        <v>APA_CNPC</v>
      </c>
    </row>
    <row r="650" spans="1:7" x14ac:dyDescent="0.25">
      <c r="A650" s="17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IFERROR(VLOOKUP(B650,'Diciembre 2023'!$B$2:$G$5822,4,0),"")</f>
        <v>INACTBM</v>
      </c>
    </row>
    <row r="651" spans="1:7" x14ac:dyDescent="0.25">
      <c r="A651" s="17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IFERROR(VLOOKUP(B651,'Diciembre 2023'!$B$2:$G$5822,4,0),"")</f>
        <v>ATAPET</v>
      </c>
    </row>
    <row r="652" spans="1:7" x14ac:dyDescent="0.25">
      <c r="A652" s="17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IFERROR(VLOOKUP(B652,'Diciembre 2023'!$B$2:$G$5822,4,0),"")</f>
        <v>APA_PC</v>
      </c>
    </row>
    <row r="653" spans="1:7" x14ac:dyDescent="0.25">
      <c r="A653" s="17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IFERROR(VLOOKUP(B653,'Diciembre 2023'!$B$2:$G$5822,4,0),"")</f>
        <v>APA_PC</v>
      </c>
    </row>
    <row r="654" spans="1:7" x14ac:dyDescent="0.25">
      <c r="A654" s="17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IFERROR(VLOOKUP(B654,'Diciembre 2023'!$B$2:$G$5822,4,0),"")</f>
        <v>ATAPET</v>
      </c>
    </row>
    <row r="655" spans="1:7" x14ac:dyDescent="0.25">
      <c r="A655" s="17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IFERROR(VLOOKUP(B655,'Diciembre 2023'!$B$2:$G$5822,4,0),"")</f>
        <v>BM</v>
      </c>
    </row>
    <row r="656" spans="1:7" x14ac:dyDescent="0.25">
      <c r="A656" s="17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IFERROR(VLOOKUP(B656,'Diciembre 2023'!$B$2:$G$5822,4,0),"")</f>
        <v>APA_PC</v>
      </c>
    </row>
    <row r="657" spans="1:7" x14ac:dyDescent="0.25">
      <c r="A657" s="17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IFERROR(VLOOKUP(B657,'Diciembre 2023'!$B$2:$G$5822,4,0),"")</f>
        <v>ATAPET</v>
      </c>
    </row>
    <row r="658" spans="1:7" x14ac:dyDescent="0.25">
      <c r="A658" s="17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IFERROR(VLOOKUP(B658,'Diciembre 2023'!$B$2:$G$5822,4,0),"")</f>
        <v>ATAPET</v>
      </c>
    </row>
    <row r="659" spans="1:7" x14ac:dyDescent="0.25">
      <c r="A659" s="17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IFERROR(VLOOKUP(B659,'Diciembre 2023'!$B$2:$G$5822,4,0),"")</f>
        <v>ATAPET</v>
      </c>
    </row>
    <row r="660" spans="1:7" x14ac:dyDescent="0.25">
      <c r="A660" s="17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IFERROR(VLOOKUP(B660,'Diciembre 2023'!$B$2:$G$5822,4,0),"")</f>
        <v>APA_PC</v>
      </c>
    </row>
    <row r="661" spans="1:7" x14ac:dyDescent="0.25">
      <c r="A661" s="17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IFERROR(VLOOKUP(B661,'Diciembre 2023'!$B$2:$G$5822,4,0),"")</f>
        <v>BM</v>
      </c>
    </row>
    <row r="662" spans="1:7" x14ac:dyDescent="0.25">
      <c r="A662" s="17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IFERROR(VLOOKUP(B662,'Diciembre 2023'!$B$2:$G$5822,4,0),"")</f>
        <v>APA_PC</v>
      </c>
    </row>
    <row r="663" spans="1:7" x14ac:dyDescent="0.25">
      <c r="A663" s="17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IFERROR(VLOOKUP(B663,'Diciembre 2023'!$B$2:$G$5822,4,0),"")</f>
        <v>APA_PC</v>
      </c>
    </row>
    <row r="664" spans="1:7" x14ac:dyDescent="0.25">
      <c r="A664" s="17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IFERROR(VLOOKUP(B664,'Diciembre 2023'!$B$2:$G$5822,4,0),"")</f>
        <v>APA_PC</v>
      </c>
    </row>
    <row r="665" spans="1:7" x14ac:dyDescent="0.25">
      <c r="A665" s="17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IFERROR(VLOOKUP(B665,'Diciembre 2023'!$B$2:$G$5822,4,0),"")</f>
        <v>APA_PC</v>
      </c>
    </row>
    <row r="666" spans="1:7" x14ac:dyDescent="0.25">
      <c r="A666" s="17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IFERROR(VLOOKUP(B666,'Diciembre 2023'!$B$2:$G$5822,4,0),"")</f>
        <v>DPAPET</v>
      </c>
    </row>
    <row r="667" spans="1:7" x14ac:dyDescent="0.25">
      <c r="A667" s="17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IFERROR(VLOOKUP(B667,'Diciembre 2023'!$B$2:$G$5822,4,0),"")</f>
        <v>ATAPET</v>
      </c>
    </row>
    <row r="668" spans="1:7" x14ac:dyDescent="0.25">
      <c r="A668" s="17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IFERROR(VLOOKUP(B668,'Diciembre 2023'!$B$2:$G$5822,4,0),"")</f>
        <v>APA_CNPC</v>
      </c>
    </row>
    <row r="669" spans="1:7" x14ac:dyDescent="0.25">
      <c r="A669" s="17"/>
      <c r="B669" s="4" t="s">
        <v>709</v>
      </c>
      <c r="C669" s="4" t="s">
        <v>14</v>
      </c>
      <c r="D669" s="4" t="s">
        <v>15</v>
      </c>
      <c r="E669" s="4" t="s">
        <v>16</v>
      </c>
      <c r="F669" s="4" t="s">
        <v>14</v>
      </c>
      <c r="G669" s="5" t="str">
        <f>IFERROR(VLOOKUP(B669,'Diciembre 2023'!$B$2:$G$5822,4,0),"")</f>
        <v>ATAPET</v>
      </c>
    </row>
    <row r="670" spans="1:7" x14ac:dyDescent="0.25">
      <c r="A670" s="17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IFERROR(VLOOKUP(B670,'Diciembre 2023'!$B$2:$G$5822,4,0),"")</f>
        <v>INACTPETF</v>
      </c>
    </row>
    <row r="671" spans="1:7" x14ac:dyDescent="0.25">
      <c r="A671" s="17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IFERROR(VLOOKUP(B671,'Diciembre 2023'!$B$2:$G$5822,4,0),"")</f>
        <v>APA_CNPC</v>
      </c>
    </row>
    <row r="672" spans="1:7" x14ac:dyDescent="0.25">
      <c r="A672" s="17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IFERROR(VLOOKUP(B672,'Diciembre 2023'!$B$2:$G$5822,4,0),"")</f>
        <v>APA_PC</v>
      </c>
    </row>
    <row r="673" spans="1:7" x14ac:dyDescent="0.25">
      <c r="A673" s="17"/>
      <c r="B673" s="4" t="s">
        <v>713</v>
      </c>
      <c r="C673" s="4" t="s">
        <v>109</v>
      </c>
      <c r="D673" s="4" t="s">
        <v>110</v>
      </c>
      <c r="E673" s="4" t="s">
        <v>111</v>
      </c>
      <c r="F673" s="4" t="s">
        <v>112</v>
      </c>
      <c r="G673" s="5" t="str">
        <f>IFERROR(VLOOKUP(B673,'Diciembre 2023'!$B$2:$G$5822,4,0),"")</f>
        <v>ACTINYA</v>
      </c>
    </row>
    <row r="674" spans="1:7" x14ac:dyDescent="0.25">
      <c r="A674" s="17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IFERROR(VLOOKUP(B674,'Diciembre 2023'!$B$2:$G$5822,4,0),"")</f>
        <v>BM</v>
      </c>
    </row>
    <row r="675" spans="1:7" x14ac:dyDescent="0.25">
      <c r="A675" s="17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IFERROR(VLOOKUP(B675,'Diciembre 2023'!$B$2:$G$5822,4,0),"")</f>
        <v>BCP</v>
      </c>
    </row>
    <row r="676" spans="1:7" x14ac:dyDescent="0.25">
      <c r="A676" s="17"/>
      <c r="B676" s="4" t="s">
        <v>716</v>
      </c>
      <c r="C676" s="4" t="s">
        <v>35</v>
      </c>
      <c r="D676" s="4" t="s">
        <v>35</v>
      </c>
      <c r="E676" s="4" t="s">
        <v>686</v>
      </c>
      <c r="F676" s="4" t="s">
        <v>112</v>
      </c>
      <c r="G676" s="5" t="str">
        <f>IFERROR(VLOOKUP(B676,'Diciembre 2023'!$B$2:$G$5822,4,0),"")</f>
        <v>INACTINYA</v>
      </c>
    </row>
    <row r="677" spans="1:7" x14ac:dyDescent="0.25">
      <c r="A677" s="17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IFERROR(VLOOKUP(B677,'Diciembre 2023'!$B$2:$G$5822,4,0),"")</f>
        <v>INACTBM</v>
      </c>
    </row>
    <row r="678" spans="1:7" x14ac:dyDescent="0.25">
      <c r="A678" s="17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IFERROR(VLOOKUP(B678,'Diciembre 2023'!$B$2:$G$5822,4,0),"")</f>
        <v>INACTBM</v>
      </c>
    </row>
    <row r="679" spans="1:7" x14ac:dyDescent="0.25">
      <c r="A679" s="17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IFERROR(VLOOKUP(B679,'Diciembre 2023'!$B$2:$G$5822,4,0),"")</f>
        <v>APA_PC</v>
      </c>
    </row>
    <row r="680" spans="1:7" x14ac:dyDescent="0.25">
      <c r="A680" s="17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IFERROR(VLOOKUP(B680,'Diciembre 2023'!$B$2:$G$5822,4,0),"")</f>
        <v>BM</v>
      </c>
    </row>
    <row r="681" spans="1:7" x14ac:dyDescent="0.25">
      <c r="A681" s="17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IFERROR(VLOOKUP(B681,'Diciembre 2023'!$B$2:$G$5822,4,0),"")</f>
        <v>BM</v>
      </c>
    </row>
    <row r="682" spans="1:7" x14ac:dyDescent="0.25">
      <c r="A682" s="17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IFERROR(VLOOKUP(B682,'Diciembre 2023'!$B$2:$G$5822,4,0),"")</f>
        <v>APA_PC</v>
      </c>
    </row>
    <row r="683" spans="1:7" x14ac:dyDescent="0.25">
      <c r="A683" s="17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IFERROR(VLOOKUP(B683,'Diciembre 2023'!$B$2:$G$5822,4,0),"")</f>
        <v>APA_PC</v>
      </c>
    </row>
    <row r="684" spans="1:7" x14ac:dyDescent="0.25">
      <c r="A684" s="17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IFERROR(VLOOKUP(B684,'Diciembre 2023'!$B$2:$G$5822,4,0),"")</f>
        <v>INACTBM</v>
      </c>
    </row>
    <row r="685" spans="1:7" x14ac:dyDescent="0.25">
      <c r="A685" s="17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IFERROR(VLOOKUP(B685,'Diciembre 2023'!$B$2:$G$5822,4,0),"")</f>
        <v>APA_PC</v>
      </c>
    </row>
    <row r="686" spans="1:7" x14ac:dyDescent="0.25">
      <c r="A686" s="17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IFERROR(VLOOKUP(B686,'Diciembre 2023'!$B$2:$G$5822,4,0),"")</f>
        <v>BM</v>
      </c>
    </row>
    <row r="687" spans="1:7" x14ac:dyDescent="0.25">
      <c r="A687" s="17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IFERROR(VLOOKUP(B687,'Diciembre 2023'!$B$2:$G$5822,4,0),"")</f>
        <v>APA_PC</v>
      </c>
    </row>
    <row r="688" spans="1:7" x14ac:dyDescent="0.25">
      <c r="A688" s="17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IFERROR(VLOOKUP(B688,'Diciembre 2023'!$B$2:$G$5822,4,0),"")</f>
        <v>BM</v>
      </c>
    </row>
    <row r="689" spans="1:7" x14ac:dyDescent="0.25">
      <c r="A689" s="17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IFERROR(VLOOKUP(B689,'Diciembre 2023'!$B$2:$G$5822,4,0),"")</f>
        <v>ATAPET</v>
      </c>
    </row>
    <row r="690" spans="1:7" x14ac:dyDescent="0.25">
      <c r="A690" s="17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IFERROR(VLOOKUP(B690,'Diciembre 2023'!$B$2:$G$5822,4,0),"")</f>
        <v>ATAPET</v>
      </c>
    </row>
    <row r="691" spans="1:7" x14ac:dyDescent="0.25">
      <c r="A691" s="17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IFERROR(VLOOKUP(B691,'Diciembre 2023'!$B$2:$G$5822,4,0),"")</f>
        <v>APA_PC</v>
      </c>
    </row>
    <row r="692" spans="1:7" x14ac:dyDescent="0.25">
      <c r="A692" s="17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IFERROR(VLOOKUP(B692,'Diciembre 2023'!$B$2:$G$5822,4,0),"")</f>
        <v>ATAPET</v>
      </c>
    </row>
    <row r="693" spans="1:7" x14ac:dyDescent="0.25">
      <c r="A693" s="17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IFERROR(VLOOKUP(B693,'Diciembre 2023'!$B$2:$G$5822,4,0),"")</f>
        <v>INACTBM</v>
      </c>
    </row>
    <row r="694" spans="1:7" x14ac:dyDescent="0.25">
      <c r="A694" s="17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IFERROR(VLOOKUP(B694,'Diciembre 2023'!$B$2:$G$5822,4,0),"")</f>
        <v>ATAPET</v>
      </c>
    </row>
    <row r="695" spans="1:7" x14ac:dyDescent="0.25">
      <c r="A695" s="17"/>
      <c r="B695" s="4" t="s">
        <v>735</v>
      </c>
      <c r="C695" s="4" t="s">
        <v>14</v>
      </c>
      <c r="D695" s="4" t="s">
        <v>15</v>
      </c>
      <c r="E695" s="4" t="s">
        <v>16</v>
      </c>
      <c r="F695" s="4" t="s">
        <v>14</v>
      </c>
      <c r="G695" s="5" t="str">
        <f>IFERROR(VLOOKUP(B695,'Diciembre 2023'!$B$2:$G$5822,4,0),"")</f>
        <v>ATAPET</v>
      </c>
    </row>
    <row r="696" spans="1:7" x14ac:dyDescent="0.25">
      <c r="A696" s="17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IFERROR(VLOOKUP(B696,'Diciembre 2023'!$B$2:$G$5822,4,0),"")</f>
        <v>APA_CNPC</v>
      </c>
    </row>
    <row r="697" spans="1:7" x14ac:dyDescent="0.25">
      <c r="A697" s="17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IFERROR(VLOOKUP(B697,'Diciembre 2023'!$B$2:$G$5822,4,0),"")</f>
        <v>APA_CNPC</v>
      </c>
    </row>
    <row r="698" spans="1:7" x14ac:dyDescent="0.25">
      <c r="A698" s="17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IFERROR(VLOOKUP(B698,'Diciembre 2023'!$B$2:$G$5822,4,0),"")</f>
        <v>INACTBM</v>
      </c>
    </row>
    <row r="699" spans="1:7" x14ac:dyDescent="0.25">
      <c r="A699" s="17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IFERROR(VLOOKUP(B699,'Diciembre 2023'!$B$2:$G$5822,4,0),"")</f>
        <v>ATAPET</v>
      </c>
    </row>
    <row r="700" spans="1:7" x14ac:dyDescent="0.25">
      <c r="A700" s="17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IFERROR(VLOOKUP(B700,'Diciembre 2023'!$B$2:$G$5822,4,0),"")</f>
        <v>APA_PC</v>
      </c>
    </row>
    <row r="701" spans="1:7" x14ac:dyDescent="0.25">
      <c r="A701" s="17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IFERROR(VLOOKUP(B701,'Diciembre 2023'!$B$2:$G$5822,4,0),"")</f>
        <v>ATAPET</v>
      </c>
    </row>
    <row r="702" spans="1:7" x14ac:dyDescent="0.25">
      <c r="A702" s="17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IFERROR(VLOOKUP(B702,'Diciembre 2023'!$B$2:$G$5822,4,0),"")</f>
        <v>APA_PC</v>
      </c>
    </row>
    <row r="703" spans="1:7" x14ac:dyDescent="0.25">
      <c r="A703" s="17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IFERROR(VLOOKUP(B703,'Diciembre 2023'!$B$2:$G$5822,4,0),"")</f>
        <v>APA_CNPC</v>
      </c>
    </row>
    <row r="704" spans="1:7" x14ac:dyDescent="0.25">
      <c r="A704" s="17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IFERROR(VLOOKUP(B704,'Diciembre 2023'!$B$2:$G$5822,4,0),"")</f>
        <v>ATAPET</v>
      </c>
    </row>
    <row r="705" spans="1:7" x14ac:dyDescent="0.25">
      <c r="A705" s="17"/>
      <c r="B705" s="4" t="s">
        <v>745</v>
      </c>
      <c r="C705" s="4" t="s">
        <v>14</v>
      </c>
      <c r="D705" s="4" t="s">
        <v>15</v>
      </c>
      <c r="E705" s="4" t="s">
        <v>16</v>
      </c>
      <c r="F705" s="4" t="s">
        <v>14</v>
      </c>
      <c r="G705" s="5" t="str">
        <f>IFERROR(VLOOKUP(B705,'Diciembre 2023'!$B$2:$G$5822,4,0),"")</f>
        <v>ATAPET</v>
      </c>
    </row>
    <row r="706" spans="1:7" x14ac:dyDescent="0.25">
      <c r="A706" s="17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IFERROR(VLOOKUP(B706,'Diciembre 2023'!$B$2:$G$5822,4,0),"")</f>
        <v>APA_PC</v>
      </c>
    </row>
    <row r="707" spans="1:7" x14ac:dyDescent="0.25">
      <c r="A707" s="17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IFERROR(VLOOKUP(B707,'Diciembre 2023'!$B$2:$G$5822,4,0),"")</f>
        <v>BM</v>
      </c>
    </row>
    <row r="708" spans="1:7" x14ac:dyDescent="0.25">
      <c r="A708" s="17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IFERROR(VLOOKUP(B708,'Diciembre 2023'!$B$2:$G$5822,4,0),"")</f>
        <v>APA_PC</v>
      </c>
    </row>
    <row r="709" spans="1:7" x14ac:dyDescent="0.25">
      <c r="A709" s="17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IFERROR(VLOOKUP(B709,'Diciembre 2023'!$B$2:$G$5822,4,0),"")</f>
        <v>APA_PC</v>
      </c>
    </row>
    <row r="710" spans="1:7" x14ac:dyDescent="0.25">
      <c r="A710" s="17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IFERROR(VLOOKUP(B710,'Diciembre 2023'!$B$2:$G$5822,4,0),"")</f>
        <v>APA_PC</v>
      </c>
    </row>
    <row r="711" spans="1:7" x14ac:dyDescent="0.25">
      <c r="A711" s="17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IFERROR(VLOOKUP(B711,'Diciembre 2023'!$B$2:$G$5822,4,0),"")</f>
        <v>INACTPETF</v>
      </c>
    </row>
    <row r="712" spans="1:7" x14ac:dyDescent="0.25">
      <c r="A712" s="17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IFERROR(VLOOKUP(B712,'Diciembre 2023'!$B$2:$G$5822,4,0),"")</f>
        <v>APA_PC</v>
      </c>
    </row>
    <row r="713" spans="1:7" x14ac:dyDescent="0.25">
      <c r="A713" s="17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IFERROR(VLOOKUP(B713,'Diciembre 2023'!$B$2:$G$5822,4,0),"")</f>
        <v>APA_PC</v>
      </c>
    </row>
    <row r="714" spans="1:7" x14ac:dyDescent="0.25">
      <c r="A714" s="17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IFERROR(VLOOKUP(B714,'Diciembre 2023'!$B$2:$G$5822,4,0),"")</f>
        <v>ATAPET</v>
      </c>
    </row>
    <row r="715" spans="1:7" x14ac:dyDescent="0.25">
      <c r="A715" s="17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IFERROR(VLOOKUP(B715,'Diciembre 2023'!$B$2:$G$5822,4,0),"")</f>
        <v>APA_PC</v>
      </c>
    </row>
    <row r="716" spans="1:7" x14ac:dyDescent="0.25">
      <c r="A716" s="17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IFERROR(VLOOKUP(B716,'Diciembre 2023'!$B$2:$G$5822,4,0),"")</f>
        <v>ATAPET</v>
      </c>
    </row>
    <row r="717" spans="1:7" x14ac:dyDescent="0.25">
      <c r="A717" s="17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IFERROR(VLOOKUP(B717,'Diciembre 2023'!$B$2:$G$5822,4,0),"")</f>
        <v>APA_CNPC</v>
      </c>
    </row>
    <row r="718" spans="1:7" x14ac:dyDescent="0.25">
      <c r="A718" s="17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IFERROR(VLOOKUP(B718,'Diciembre 2023'!$B$2:$G$5822,4,0),"")</f>
        <v>APA_CNPC</v>
      </c>
    </row>
    <row r="719" spans="1:7" x14ac:dyDescent="0.25">
      <c r="A719" s="17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IFERROR(VLOOKUP(B719,'Diciembre 2023'!$B$2:$G$5822,4,0),"")</f>
        <v>ATAPET</v>
      </c>
    </row>
    <row r="720" spans="1:7" x14ac:dyDescent="0.25">
      <c r="A720" s="17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IFERROR(VLOOKUP(B720,'Diciembre 2023'!$B$2:$G$5822,4,0),"")</f>
        <v>APA_PC</v>
      </c>
    </row>
    <row r="721" spans="1:7" x14ac:dyDescent="0.25">
      <c r="A721" s="17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IFERROR(VLOOKUP(B721,'Diciembre 2023'!$B$2:$G$5822,4,0),"")</f>
        <v>INACTINYA</v>
      </c>
    </row>
    <row r="722" spans="1:7" x14ac:dyDescent="0.25">
      <c r="A722" s="17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IFERROR(VLOOKUP(B722,'Diciembre 2023'!$B$2:$G$5822,4,0),"")</f>
        <v>APA_PC</v>
      </c>
    </row>
    <row r="723" spans="1:7" x14ac:dyDescent="0.25">
      <c r="A723" s="17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IFERROR(VLOOKUP(B723,'Diciembre 2023'!$B$2:$G$5822,4,0),"")</f>
        <v>APA_PC</v>
      </c>
    </row>
    <row r="724" spans="1:7" x14ac:dyDescent="0.25">
      <c r="A724" s="17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IFERROR(VLOOKUP(B724,'Diciembre 2023'!$B$2:$G$5822,4,0),"")</f>
        <v>APA_CNPC</v>
      </c>
    </row>
    <row r="725" spans="1:7" x14ac:dyDescent="0.25">
      <c r="A725" s="17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IFERROR(VLOOKUP(B725,'Diciembre 2023'!$B$2:$G$5822,4,0),"")</f>
        <v>APA_PC</v>
      </c>
    </row>
    <row r="726" spans="1:7" x14ac:dyDescent="0.25">
      <c r="A726" s="17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IFERROR(VLOOKUP(B726,'Diciembre 2023'!$B$2:$G$5822,4,0),"")</f>
        <v>ATAPET</v>
      </c>
    </row>
    <row r="727" spans="1:7" x14ac:dyDescent="0.25">
      <c r="A727" s="17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IFERROR(VLOOKUP(B727,'Diciembre 2023'!$B$2:$G$5822,4,0),"")</f>
        <v>APA_PC</v>
      </c>
    </row>
    <row r="728" spans="1:7" x14ac:dyDescent="0.25">
      <c r="A728" s="17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IFERROR(VLOOKUP(B728,'Diciembre 2023'!$B$2:$G$5822,4,0),"")</f>
        <v>APA_PC</v>
      </c>
    </row>
    <row r="729" spans="1:7" x14ac:dyDescent="0.25">
      <c r="A729" s="17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IFERROR(VLOOKUP(B729,'Diciembre 2023'!$B$2:$G$5822,4,0),"")</f>
        <v>INACTBM</v>
      </c>
    </row>
    <row r="730" spans="1:7" x14ac:dyDescent="0.25">
      <c r="A730" s="17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IFERROR(VLOOKUP(B730,'Diciembre 2023'!$B$2:$G$5822,4,0),"")</f>
        <v>ATAPET</v>
      </c>
    </row>
    <row r="731" spans="1:7" x14ac:dyDescent="0.25">
      <c r="A731" s="17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IFERROR(VLOOKUP(B731,'Diciembre 2023'!$B$2:$G$5822,4,0),"")</f>
        <v>APA_PC</v>
      </c>
    </row>
    <row r="732" spans="1:7" x14ac:dyDescent="0.25">
      <c r="A732" s="17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IFERROR(VLOOKUP(B732,'Diciembre 2023'!$B$2:$G$5822,4,0),"")</f>
        <v>BCP</v>
      </c>
    </row>
    <row r="733" spans="1:7" x14ac:dyDescent="0.25">
      <c r="A733" s="17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IFERROR(VLOOKUP(B733,'Diciembre 2023'!$B$2:$G$5822,4,0),"")</f>
        <v>BCP</v>
      </c>
    </row>
    <row r="734" spans="1:7" x14ac:dyDescent="0.25">
      <c r="A734" s="17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IFERROR(VLOOKUP(B734,'Diciembre 2023'!$B$2:$G$5822,4,0),"")</f>
        <v>BM</v>
      </c>
    </row>
    <row r="735" spans="1:7" x14ac:dyDescent="0.25">
      <c r="A735" s="17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IFERROR(VLOOKUP(B735,'Diciembre 2023'!$B$2:$G$5822,4,0),"")</f>
        <v>APA_PB</v>
      </c>
    </row>
    <row r="736" spans="1:7" x14ac:dyDescent="0.25">
      <c r="A736" s="17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IFERROR(VLOOKUP(B736,'Diciembre 2023'!$B$2:$G$5822,4,0),"")</f>
        <v>APA_PC</v>
      </c>
    </row>
    <row r="737" spans="1:7" x14ac:dyDescent="0.25">
      <c r="A737" s="17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IFERROR(VLOOKUP(B737,'Diciembre 2023'!$B$2:$G$5822,4,0),"")</f>
        <v>BM</v>
      </c>
    </row>
    <row r="738" spans="1:7" x14ac:dyDescent="0.25">
      <c r="A738" s="17"/>
      <c r="B738" s="4" t="s">
        <v>779</v>
      </c>
      <c r="C738" s="4" t="s">
        <v>14</v>
      </c>
      <c r="D738" s="4" t="s">
        <v>15</v>
      </c>
      <c r="E738" s="4" t="s">
        <v>16</v>
      </c>
      <c r="F738" s="4" t="s">
        <v>14</v>
      </c>
      <c r="G738" s="5" t="str">
        <f>IFERROR(VLOOKUP(B738,'Diciembre 2023'!$B$2:$G$5822,4,0),"")</f>
        <v>ATAPET</v>
      </c>
    </row>
    <row r="739" spans="1:7" x14ac:dyDescent="0.25">
      <c r="A739" s="17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IFERROR(VLOOKUP(B739,'Diciembre 2023'!$B$2:$G$5822,4,0),"")</f>
        <v>INACTPETF</v>
      </c>
    </row>
    <row r="740" spans="1:7" x14ac:dyDescent="0.25">
      <c r="A740" s="17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IFERROR(VLOOKUP(B740,'Diciembre 2023'!$B$2:$G$5822,4,0),"")</f>
        <v>APA_PC</v>
      </c>
    </row>
    <row r="741" spans="1:7" x14ac:dyDescent="0.25">
      <c r="A741" s="17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IFERROR(VLOOKUP(B741,'Diciembre 2023'!$B$2:$G$5822,4,0),"")</f>
        <v>ACTPETF</v>
      </c>
    </row>
    <row r="742" spans="1:7" x14ac:dyDescent="0.25">
      <c r="A742" s="17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IFERROR(VLOOKUP(B742,'Diciembre 2023'!$B$2:$G$5822,4,0),"")</f>
        <v>ATAINY</v>
      </c>
    </row>
    <row r="743" spans="1:7" x14ac:dyDescent="0.25">
      <c r="A743" s="17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IFERROR(VLOOKUP(B743,'Diciembre 2023'!$B$2:$G$5822,4,0),"")</f>
        <v>APA_PC</v>
      </c>
    </row>
    <row r="744" spans="1:7" x14ac:dyDescent="0.25">
      <c r="A744" s="17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IFERROR(VLOOKUP(B744,'Diciembre 2023'!$B$2:$G$5822,4,0),"")</f>
        <v>APA_PC</v>
      </c>
    </row>
    <row r="745" spans="1:7" x14ac:dyDescent="0.25">
      <c r="A745" s="17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IFERROR(VLOOKUP(B745,'Diciembre 2023'!$B$2:$G$5822,4,0),"")</f>
        <v>ACTPETF</v>
      </c>
    </row>
    <row r="746" spans="1:7" x14ac:dyDescent="0.25">
      <c r="A746" s="17"/>
      <c r="B746" s="4" t="s">
        <v>787</v>
      </c>
      <c r="C746" s="4" t="s">
        <v>35</v>
      </c>
      <c r="D746" s="4" t="s">
        <v>35</v>
      </c>
      <c r="E746" s="4" t="s">
        <v>57</v>
      </c>
      <c r="F746" s="4" t="s">
        <v>100</v>
      </c>
      <c r="G746" s="5" t="str">
        <f>IFERROR(VLOOKUP(B746,'Diciembre 2023'!$B$2:$G$5822,4,0),"")</f>
        <v>INACTBM</v>
      </c>
    </row>
    <row r="747" spans="1:7" x14ac:dyDescent="0.25">
      <c r="A747" s="17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IFERROR(VLOOKUP(B747,'Diciembre 2023'!$B$2:$G$5822,4,0),"")</f>
        <v>INACTBM</v>
      </c>
    </row>
    <row r="748" spans="1:7" x14ac:dyDescent="0.25">
      <c r="A748" s="17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IFERROR(VLOOKUP(B748,'Diciembre 2023'!$B$2:$G$5822,4,0),"")</f>
        <v>ATAPET</v>
      </c>
    </row>
    <row r="749" spans="1:7" x14ac:dyDescent="0.25">
      <c r="A749" s="17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IFERROR(VLOOKUP(B749,'Diciembre 2023'!$B$2:$G$5822,4,0),"")</f>
        <v>INACTPETF</v>
      </c>
    </row>
    <row r="750" spans="1:7" x14ac:dyDescent="0.25">
      <c r="A750" s="17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IFERROR(VLOOKUP(B750,'Diciembre 2023'!$B$2:$G$5822,4,0),"")</f>
        <v>INACTBM</v>
      </c>
    </row>
    <row r="751" spans="1:7" x14ac:dyDescent="0.25">
      <c r="A751" s="17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IFERROR(VLOOKUP(B751,'Diciembre 2023'!$B$2:$G$5822,4,0),"")</f>
        <v>INACTBM</v>
      </c>
    </row>
    <row r="752" spans="1:7" x14ac:dyDescent="0.25">
      <c r="A752" s="17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IFERROR(VLOOKUP(B752,'Diciembre 2023'!$B$2:$G$5822,4,0),"")</f>
        <v>ATAPET</v>
      </c>
    </row>
    <row r="753" spans="1:7" x14ac:dyDescent="0.25">
      <c r="A753" s="17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IFERROR(VLOOKUP(B753,'Diciembre 2023'!$B$2:$G$5822,4,0),"")</f>
        <v>BM</v>
      </c>
    </row>
    <row r="754" spans="1:7" x14ac:dyDescent="0.25">
      <c r="A754" s="17"/>
      <c r="B754" s="4" t="s">
        <v>795</v>
      </c>
      <c r="C754" s="4" t="s">
        <v>14</v>
      </c>
      <c r="D754" s="4" t="s">
        <v>15</v>
      </c>
      <c r="E754" s="4" t="s">
        <v>98</v>
      </c>
      <c r="F754" s="4" t="s">
        <v>14</v>
      </c>
      <c r="G754" s="5" t="str">
        <f>IFERROR(VLOOKUP(B754,'Diciembre 2023'!$B$2:$G$5822,4,0),"")</f>
        <v>ATAINY</v>
      </c>
    </row>
    <row r="755" spans="1:7" x14ac:dyDescent="0.25">
      <c r="A755" s="17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IFERROR(VLOOKUP(B755,'Diciembre 2023'!$B$2:$G$5822,4,0),"")</f>
        <v>APA_PC</v>
      </c>
    </row>
    <row r="756" spans="1:7" x14ac:dyDescent="0.25">
      <c r="A756" s="17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IFERROR(VLOOKUP(B756,'Diciembre 2023'!$B$2:$G$5822,4,0),"")</f>
        <v>APA_PC</v>
      </c>
    </row>
    <row r="757" spans="1:7" x14ac:dyDescent="0.25">
      <c r="A757" s="17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IFERROR(VLOOKUP(B757,'Diciembre 2023'!$B$2:$G$5822,4,0),"")</f>
        <v>APA_CNPC</v>
      </c>
    </row>
    <row r="758" spans="1:7" x14ac:dyDescent="0.25">
      <c r="A758" s="17"/>
      <c r="B758" s="4" t="s">
        <v>799</v>
      </c>
      <c r="C758" s="4" t="s">
        <v>14</v>
      </c>
      <c r="D758" s="4" t="s">
        <v>15</v>
      </c>
      <c r="E758" s="4" t="s">
        <v>16</v>
      </c>
      <c r="F758" s="4" t="s">
        <v>14</v>
      </c>
      <c r="G758" s="5" t="str">
        <f>IFERROR(VLOOKUP(B758,'Diciembre 2023'!$B$2:$G$5822,4,0),"")</f>
        <v>ATAPET</v>
      </c>
    </row>
    <row r="759" spans="1:7" x14ac:dyDescent="0.25">
      <c r="A759" s="17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IFERROR(VLOOKUP(B759,'Diciembre 2023'!$B$2:$G$5822,4,0),"")</f>
        <v>ACTPETF</v>
      </c>
    </row>
    <row r="760" spans="1:7" x14ac:dyDescent="0.25">
      <c r="A760" s="17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IFERROR(VLOOKUP(B760,'Diciembre 2023'!$B$2:$G$5822,4,0),"")</f>
        <v>APA_CNPC</v>
      </c>
    </row>
    <row r="761" spans="1:7" x14ac:dyDescent="0.25">
      <c r="A761" s="17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IFERROR(VLOOKUP(B761,'Diciembre 2023'!$B$2:$G$5822,4,0),"")</f>
        <v>ATAPET</v>
      </c>
    </row>
    <row r="762" spans="1:7" x14ac:dyDescent="0.25">
      <c r="A762" s="17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IFERROR(VLOOKUP(B762,'Diciembre 2023'!$B$2:$G$5822,4,0),"")</f>
        <v>DPAPET</v>
      </c>
    </row>
    <row r="763" spans="1:7" x14ac:dyDescent="0.25">
      <c r="A763" s="17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IFERROR(VLOOKUP(B763,'Diciembre 2023'!$B$2:$G$5822,4,0),"")</f>
        <v>APA_PC</v>
      </c>
    </row>
    <row r="764" spans="1:7" x14ac:dyDescent="0.25">
      <c r="A764" s="17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IFERROR(VLOOKUP(B764,'Diciembre 2023'!$B$2:$G$5822,4,0),"")</f>
        <v>APA_PC</v>
      </c>
    </row>
    <row r="765" spans="1:7" x14ac:dyDescent="0.25">
      <c r="A765" s="17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IFERROR(VLOOKUP(B765,'Diciembre 2023'!$B$2:$G$5822,4,0),"")</f>
        <v>BM</v>
      </c>
    </row>
    <row r="766" spans="1:7" x14ac:dyDescent="0.25">
      <c r="A766" s="17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IFERROR(VLOOKUP(B766,'Diciembre 2023'!$B$2:$G$5822,4,0),"")</f>
        <v>ACTINYA</v>
      </c>
    </row>
    <row r="767" spans="1:7" x14ac:dyDescent="0.25">
      <c r="A767" s="17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IFERROR(VLOOKUP(B767,'Diciembre 2023'!$B$2:$G$5822,4,0),"")</f>
        <v>ATAPET</v>
      </c>
    </row>
    <row r="768" spans="1:7" x14ac:dyDescent="0.25">
      <c r="A768" s="17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IFERROR(VLOOKUP(B768,'Diciembre 2023'!$B$2:$G$5822,4,0),"")</f>
        <v>APA_PC</v>
      </c>
    </row>
    <row r="769" spans="1:7" x14ac:dyDescent="0.25">
      <c r="A769" s="17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IFERROR(VLOOKUP(B769,'Diciembre 2023'!$B$2:$G$5822,4,0),"")</f>
        <v>APA_PC</v>
      </c>
    </row>
    <row r="770" spans="1:7" x14ac:dyDescent="0.25">
      <c r="A770" s="17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IFERROR(VLOOKUP(B770,'Diciembre 2023'!$B$2:$G$5822,4,0),"")</f>
        <v>INACTBM</v>
      </c>
    </row>
    <row r="771" spans="1:7" x14ac:dyDescent="0.25">
      <c r="A771" s="17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IFERROR(VLOOKUP(B771,'Diciembre 2023'!$B$2:$G$5822,4,0),"")</f>
        <v>INACTINYA</v>
      </c>
    </row>
    <row r="772" spans="1:7" x14ac:dyDescent="0.25">
      <c r="A772" s="17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IFERROR(VLOOKUP(B772,'Diciembre 2023'!$B$2:$G$5822,4,0),"")</f>
        <v>APA_PC</v>
      </c>
    </row>
    <row r="773" spans="1:7" x14ac:dyDescent="0.25">
      <c r="A773" s="17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IFERROR(VLOOKUP(B773,'Diciembre 2023'!$B$2:$G$5822,4,0),"")</f>
        <v>ACTINYA</v>
      </c>
    </row>
    <row r="774" spans="1:7" x14ac:dyDescent="0.25">
      <c r="A774" s="17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IFERROR(VLOOKUP(B774,'Diciembre 2023'!$B$2:$G$5822,4,0),"")</f>
        <v>APA_PC</v>
      </c>
    </row>
    <row r="775" spans="1:7" x14ac:dyDescent="0.25">
      <c r="A775" s="17"/>
      <c r="B775" s="4" t="s">
        <v>816</v>
      </c>
      <c r="C775" s="4" t="s">
        <v>14</v>
      </c>
      <c r="D775" s="4" t="s">
        <v>15</v>
      </c>
      <c r="E775" s="4" t="s">
        <v>16</v>
      </c>
      <c r="F775" s="4" t="s">
        <v>14</v>
      </c>
      <c r="G775" s="5" t="str">
        <f>IFERROR(VLOOKUP(B775,'Diciembre 2023'!$B$2:$G$5822,4,0),"")</f>
        <v>ATAPET</v>
      </c>
    </row>
    <row r="776" spans="1:7" x14ac:dyDescent="0.25">
      <c r="A776" s="17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IFERROR(VLOOKUP(B776,'Diciembre 2023'!$B$2:$G$5822,4,0),"")</f>
        <v>APA_PC</v>
      </c>
    </row>
    <row r="777" spans="1:7" x14ac:dyDescent="0.25">
      <c r="A777" s="17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IFERROR(VLOOKUP(B777,'Diciembre 2023'!$B$2:$G$5822,4,0),"")</f>
        <v>BM</v>
      </c>
    </row>
    <row r="778" spans="1:7" x14ac:dyDescent="0.25">
      <c r="A778" s="17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IFERROR(VLOOKUP(B778,'Diciembre 2023'!$B$2:$G$5822,4,0),"")</f>
        <v>BM</v>
      </c>
    </row>
    <row r="779" spans="1:7" x14ac:dyDescent="0.25">
      <c r="A779" s="17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IFERROR(VLOOKUP(B779,'Diciembre 2023'!$B$2:$G$5822,4,0),"")</f>
        <v>BM</v>
      </c>
    </row>
    <row r="780" spans="1:7" x14ac:dyDescent="0.25">
      <c r="A780" s="17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IFERROR(VLOOKUP(B780,'Diciembre 2023'!$B$2:$G$5822,4,0),"")</f>
        <v>BM</v>
      </c>
    </row>
    <row r="781" spans="1:7" x14ac:dyDescent="0.25">
      <c r="A781" s="17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IFERROR(VLOOKUP(B781,'Diciembre 2023'!$B$2:$G$5822,4,0),"")</f>
        <v>APA_CNPC</v>
      </c>
    </row>
    <row r="782" spans="1:7" x14ac:dyDescent="0.25">
      <c r="A782" s="17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IFERROR(VLOOKUP(B782,'Diciembre 2023'!$B$2:$G$5822,4,0),"")</f>
        <v>BO</v>
      </c>
    </row>
    <row r="783" spans="1:7" x14ac:dyDescent="0.25">
      <c r="A783" s="17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IFERROR(VLOOKUP(B783,'Diciembre 2023'!$B$2:$G$5822,4,0),"")</f>
        <v>APA_PB</v>
      </c>
    </row>
    <row r="784" spans="1:7" x14ac:dyDescent="0.25">
      <c r="A784" s="17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IFERROR(VLOOKUP(B784,'Diciembre 2023'!$B$2:$G$5822,4,0),"")</f>
        <v>INACTINYA</v>
      </c>
    </row>
    <row r="785" spans="1:7" x14ac:dyDescent="0.25">
      <c r="A785" s="17"/>
      <c r="B785" s="4" t="s">
        <v>827</v>
      </c>
      <c r="C785" s="4" t="s">
        <v>35</v>
      </c>
      <c r="D785" s="4" t="s">
        <v>35</v>
      </c>
      <c r="E785" s="4" t="s">
        <v>686</v>
      </c>
      <c r="F785" s="4" t="s">
        <v>112</v>
      </c>
      <c r="G785" s="5" t="str">
        <f>IFERROR(VLOOKUP(B785,'Diciembre 2023'!$B$2:$G$5822,4,0),"")</f>
        <v>INACTINYA</v>
      </c>
    </row>
    <row r="786" spans="1:7" x14ac:dyDescent="0.25">
      <c r="A786" s="17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IFERROR(VLOOKUP(B786,'Diciembre 2023'!$B$2:$G$5822,4,0),"")</f>
        <v>BM</v>
      </c>
    </row>
    <row r="787" spans="1:7" x14ac:dyDescent="0.25">
      <c r="A787" s="17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IFERROR(VLOOKUP(B787,'Diciembre 2023'!$B$2:$G$5822,4,0),"")</f>
        <v>APA_PC</v>
      </c>
    </row>
    <row r="788" spans="1:7" x14ac:dyDescent="0.25">
      <c r="A788" s="17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IFERROR(VLOOKUP(B788,'Diciembre 2023'!$B$2:$G$5822,4,0),"")</f>
        <v>APA_PC</v>
      </c>
    </row>
    <row r="789" spans="1:7" x14ac:dyDescent="0.25">
      <c r="A789" s="17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IFERROR(VLOOKUP(B789,'Diciembre 2023'!$B$2:$G$5822,4,0),"")</f>
        <v>APA_PC</v>
      </c>
    </row>
    <row r="790" spans="1:7" x14ac:dyDescent="0.25">
      <c r="A790" s="17"/>
      <c r="B790" s="4" t="s">
        <v>832</v>
      </c>
      <c r="C790" s="4" t="s">
        <v>24</v>
      </c>
      <c r="D790" s="4" t="s">
        <v>25</v>
      </c>
      <c r="E790" s="4" t="s">
        <v>26</v>
      </c>
      <c r="F790" s="4" t="s">
        <v>21</v>
      </c>
      <c r="G790" s="5" t="str">
        <f>IFERROR(VLOOKUP(B790,'Diciembre 2023'!$B$2:$G$5822,4,0),"")</f>
        <v>ACTPETF</v>
      </c>
    </row>
    <row r="791" spans="1:7" x14ac:dyDescent="0.25">
      <c r="A791" s="17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IFERROR(VLOOKUP(B791,'Diciembre 2023'!$B$2:$G$5822,4,0),"")</f>
        <v>BM</v>
      </c>
    </row>
    <row r="792" spans="1:7" x14ac:dyDescent="0.25">
      <c r="A792" s="17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IFERROR(VLOOKUP(B792,'Diciembre 2023'!$B$2:$G$5822,4,0),"")</f>
        <v>APA_CNPC</v>
      </c>
    </row>
    <row r="793" spans="1:7" x14ac:dyDescent="0.25">
      <c r="A793" s="17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IFERROR(VLOOKUP(B793,'Diciembre 2023'!$B$2:$G$5822,4,0),"")</f>
        <v>DPAPET</v>
      </c>
    </row>
    <row r="794" spans="1:7" x14ac:dyDescent="0.25">
      <c r="A794" s="17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IFERROR(VLOOKUP(B794,'Diciembre 2023'!$B$2:$G$5822,4,0),"")</f>
        <v>ACTPETS</v>
      </c>
    </row>
    <row r="795" spans="1:7" x14ac:dyDescent="0.25">
      <c r="A795" s="17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IFERROR(VLOOKUP(B795,'Diciembre 2023'!$B$2:$G$5822,4,0),"")</f>
        <v>ATAPET</v>
      </c>
    </row>
    <row r="796" spans="1:7" x14ac:dyDescent="0.25">
      <c r="A796" s="17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IFERROR(VLOOKUP(B796,'Diciembre 2023'!$B$2:$G$5822,4,0),"")</f>
        <v>APA_PC</v>
      </c>
    </row>
    <row r="797" spans="1:7" x14ac:dyDescent="0.25">
      <c r="A797" s="17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IFERROR(VLOOKUP(B797,'Diciembre 2023'!$B$2:$G$5822,4,0),"")</f>
        <v>ATAPET</v>
      </c>
    </row>
    <row r="798" spans="1:7" x14ac:dyDescent="0.25">
      <c r="A798" s="17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IFERROR(VLOOKUP(B798,'Diciembre 2023'!$B$2:$G$5822,4,0),"")</f>
        <v>INACTPETF</v>
      </c>
    </row>
    <row r="799" spans="1:7" x14ac:dyDescent="0.25">
      <c r="A799" s="17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IFERROR(VLOOKUP(B799,'Diciembre 2023'!$B$2:$G$5822,4,0),"")</f>
        <v>INACTBM</v>
      </c>
    </row>
    <row r="800" spans="1:7" x14ac:dyDescent="0.25">
      <c r="A800" s="17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IFERROR(VLOOKUP(B800,'Diciembre 2023'!$B$2:$G$5822,4,0),"")</f>
        <v>BM</v>
      </c>
    </row>
    <row r="801" spans="1:7" x14ac:dyDescent="0.25">
      <c r="A801" s="17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IFERROR(VLOOKUP(B801,'Diciembre 2023'!$B$2:$G$5822,4,0),"")</f>
        <v>INACTBM</v>
      </c>
    </row>
    <row r="802" spans="1:7" x14ac:dyDescent="0.25">
      <c r="A802" s="17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IFERROR(VLOOKUP(B802,'Diciembre 2023'!$B$2:$G$5822,4,0),"")</f>
        <v>ATAPET</v>
      </c>
    </row>
    <row r="803" spans="1:7" x14ac:dyDescent="0.25">
      <c r="A803" s="17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IFERROR(VLOOKUP(B803,'Diciembre 2023'!$B$2:$G$5822,4,0),"")</f>
        <v>BM</v>
      </c>
    </row>
    <row r="804" spans="1:7" x14ac:dyDescent="0.25">
      <c r="A804" s="17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IFERROR(VLOOKUP(B804,'Diciembre 2023'!$B$2:$G$5822,4,0),"")</f>
        <v>ATAPET</v>
      </c>
    </row>
    <row r="805" spans="1:7" x14ac:dyDescent="0.25">
      <c r="A805" s="17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IFERROR(VLOOKUP(B805,'Diciembre 2023'!$B$2:$G$5822,4,0),"")</f>
        <v>APA_PC</v>
      </c>
    </row>
    <row r="806" spans="1:7" x14ac:dyDescent="0.25">
      <c r="A806" s="17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IFERROR(VLOOKUP(B806,'Diciembre 2023'!$B$2:$G$5822,4,0),"")</f>
        <v>ATAPET</v>
      </c>
    </row>
    <row r="807" spans="1:7" x14ac:dyDescent="0.25">
      <c r="A807" s="17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IFERROR(VLOOKUP(B807,'Diciembre 2023'!$B$2:$G$5822,4,0),"")</f>
        <v>APA_PC</v>
      </c>
    </row>
    <row r="808" spans="1:7" x14ac:dyDescent="0.25">
      <c r="A808" s="17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IFERROR(VLOOKUP(B808,'Diciembre 2023'!$B$2:$G$5822,4,0),"")</f>
        <v>APA_PC</v>
      </c>
    </row>
    <row r="809" spans="1:7" x14ac:dyDescent="0.25">
      <c r="A809" s="17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IFERROR(VLOOKUP(B809,'Diciembre 2023'!$B$2:$G$5822,4,0),"")</f>
        <v>INACTINYA</v>
      </c>
    </row>
    <row r="810" spans="1:7" x14ac:dyDescent="0.25">
      <c r="A810" s="17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IFERROR(VLOOKUP(B810,'Diciembre 2023'!$B$2:$G$5822,4,0),"")</f>
        <v>ACTINYA</v>
      </c>
    </row>
    <row r="811" spans="1:7" x14ac:dyDescent="0.25">
      <c r="A811" s="17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IFERROR(VLOOKUP(B811,'Diciembre 2023'!$B$2:$G$5822,4,0),"")</f>
        <v>APA_PC</v>
      </c>
    </row>
    <row r="812" spans="1:7" x14ac:dyDescent="0.25">
      <c r="A812" s="17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IFERROR(VLOOKUP(B812,'Diciembre 2023'!$B$2:$G$5822,4,0),"")</f>
        <v>BM</v>
      </c>
    </row>
    <row r="813" spans="1:7" x14ac:dyDescent="0.25">
      <c r="A813" s="17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IFERROR(VLOOKUP(B813,'Diciembre 2023'!$B$2:$G$5822,4,0),"")</f>
        <v>BM</v>
      </c>
    </row>
    <row r="814" spans="1:7" x14ac:dyDescent="0.25">
      <c r="A814" s="17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IFERROR(VLOOKUP(B814,'Diciembre 2023'!$B$2:$G$5822,4,0),"")</f>
        <v>INACTBM</v>
      </c>
    </row>
    <row r="815" spans="1:7" x14ac:dyDescent="0.25">
      <c r="A815" s="17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IFERROR(VLOOKUP(B815,'Diciembre 2023'!$B$2:$G$5822,4,0),"")</f>
        <v>BM</v>
      </c>
    </row>
    <row r="816" spans="1:7" x14ac:dyDescent="0.25">
      <c r="A816" s="17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IFERROR(VLOOKUP(B816,'Diciembre 2023'!$B$2:$G$5822,4,0),"")</f>
        <v>BM</v>
      </c>
    </row>
    <row r="817" spans="1:7" x14ac:dyDescent="0.25">
      <c r="A817" s="17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IFERROR(VLOOKUP(B817,'Diciembre 2023'!$B$2:$G$5822,4,0),"")</f>
        <v>BM</v>
      </c>
    </row>
    <row r="818" spans="1:7" x14ac:dyDescent="0.25">
      <c r="A818" s="17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IFERROR(VLOOKUP(B818,'Diciembre 2023'!$B$2:$G$5822,4,0),"")</f>
        <v>BM</v>
      </c>
    </row>
    <row r="819" spans="1:7" x14ac:dyDescent="0.25">
      <c r="A819" s="17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IFERROR(VLOOKUP(B819,'Diciembre 2023'!$B$2:$G$5822,4,0),"")</f>
        <v>BM</v>
      </c>
    </row>
    <row r="820" spans="1:7" x14ac:dyDescent="0.25">
      <c r="A820" s="17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IFERROR(VLOOKUP(B820,'Diciembre 2023'!$B$2:$G$5822,4,0),"")</f>
        <v>BM</v>
      </c>
    </row>
    <row r="821" spans="1:7" x14ac:dyDescent="0.25">
      <c r="A821" s="17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IFERROR(VLOOKUP(B821,'Diciembre 2023'!$B$2:$G$5822,4,0),"")</f>
        <v>BM</v>
      </c>
    </row>
    <row r="822" spans="1:7" x14ac:dyDescent="0.25">
      <c r="A822" s="17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IFERROR(VLOOKUP(B822,'Diciembre 2023'!$B$2:$G$5822,4,0),"")</f>
        <v>BM</v>
      </c>
    </row>
    <row r="823" spans="1:7" x14ac:dyDescent="0.25">
      <c r="A823" s="17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IFERROR(VLOOKUP(B823,'Diciembre 2023'!$B$2:$G$5822,4,0),"")</f>
        <v>INACTBM</v>
      </c>
    </row>
    <row r="824" spans="1:7" x14ac:dyDescent="0.25">
      <c r="A824" s="17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IFERROR(VLOOKUP(B824,'Diciembre 2023'!$B$2:$G$5822,4,0),"")</f>
        <v>BM</v>
      </c>
    </row>
    <row r="825" spans="1:7" x14ac:dyDescent="0.25">
      <c r="A825" s="17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IFERROR(VLOOKUP(B825,'Diciembre 2023'!$B$2:$G$5822,4,0),"")</f>
        <v>BM</v>
      </c>
    </row>
    <row r="826" spans="1:7" x14ac:dyDescent="0.25">
      <c r="A826" s="17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tr">
        <f>IFERROR(VLOOKUP(B826,'Diciembre 2023'!$B$2:$G$5822,4,0),"")</f>
        <v>INACTBM</v>
      </c>
    </row>
    <row r="827" spans="1:7" x14ac:dyDescent="0.25">
      <c r="A827" s="17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IFERROR(VLOOKUP(B827,'Diciembre 2023'!$B$2:$G$5822,4,0),"")</f>
        <v>BM</v>
      </c>
    </row>
    <row r="828" spans="1:7" x14ac:dyDescent="0.25">
      <c r="A828" s="17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IFERROR(VLOOKUP(B828,'Diciembre 2023'!$B$2:$G$5822,4,0),"")</f>
        <v>BM</v>
      </c>
    </row>
    <row r="829" spans="1:7" x14ac:dyDescent="0.25">
      <c r="A829" s="17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IFERROR(VLOOKUP(B829,'Diciembre 2023'!$B$2:$G$5822,4,0),"")</f>
        <v>BM</v>
      </c>
    </row>
    <row r="830" spans="1:7" x14ac:dyDescent="0.25">
      <c r="A830" s="17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IFERROR(VLOOKUP(B830,'Diciembre 2023'!$B$2:$G$5822,4,0),"")</f>
        <v>INACTBM</v>
      </c>
    </row>
    <row r="831" spans="1:7" x14ac:dyDescent="0.25">
      <c r="A831" s="17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IFERROR(VLOOKUP(B831,'Diciembre 2023'!$B$2:$G$5822,4,0),"")</f>
        <v>BM</v>
      </c>
    </row>
    <row r="832" spans="1:7" x14ac:dyDescent="0.25">
      <c r="A832" s="17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IFERROR(VLOOKUP(B832,'Diciembre 2023'!$B$2:$G$5822,4,0),"")</f>
        <v>INACTBM</v>
      </c>
    </row>
    <row r="833" spans="1:7" x14ac:dyDescent="0.25">
      <c r="A833" s="17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IFERROR(VLOOKUP(B833,'Diciembre 2023'!$B$2:$G$5822,4,0),"")</f>
        <v>BM</v>
      </c>
    </row>
    <row r="834" spans="1:7" x14ac:dyDescent="0.25">
      <c r="A834" s="17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IFERROR(VLOOKUP(B834,'Diciembre 2023'!$B$2:$G$5822,4,0),"")</f>
        <v>INACTBM</v>
      </c>
    </row>
    <row r="835" spans="1:7" x14ac:dyDescent="0.25">
      <c r="A835" s="17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IFERROR(VLOOKUP(B835,'Diciembre 2023'!$B$2:$G$5822,4,0),"")</f>
        <v>BM</v>
      </c>
    </row>
    <row r="836" spans="1:7" x14ac:dyDescent="0.25">
      <c r="A836" s="17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IFERROR(VLOOKUP(B836,'Diciembre 2023'!$B$2:$G$5822,4,0),"")</f>
        <v>INACTBM</v>
      </c>
    </row>
    <row r="837" spans="1:7" x14ac:dyDescent="0.25">
      <c r="A837" s="17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IFERROR(VLOOKUP(B837,'Diciembre 2023'!$B$2:$G$5822,4,0),"")</f>
        <v>INACTBM</v>
      </c>
    </row>
    <row r="838" spans="1:7" x14ac:dyDescent="0.25">
      <c r="A838" s="17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IFERROR(VLOOKUP(B838,'Diciembre 2023'!$B$2:$G$5822,4,0),"")</f>
        <v>INACTBM</v>
      </c>
    </row>
    <row r="839" spans="1:7" x14ac:dyDescent="0.25">
      <c r="A839" s="17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IFERROR(VLOOKUP(B839,'Diciembre 2023'!$B$2:$G$5822,4,0),"")</f>
        <v>BM</v>
      </c>
    </row>
    <row r="840" spans="1:7" x14ac:dyDescent="0.25">
      <c r="A840" s="17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IFERROR(VLOOKUP(B840,'Diciembre 2023'!$B$2:$G$5822,4,0),"")</f>
        <v>BM</v>
      </c>
    </row>
    <row r="841" spans="1:7" x14ac:dyDescent="0.25">
      <c r="A841" s="17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IFERROR(VLOOKUP(B841,'Diciembre 2023'!$B$2:$G$5822,4,0),"")</f>
        <v>BM</v>
      </c>
    </row>
    <row r="842" spans="1:7" x14ac:dyDescent="0.25">
      <c r="A842" s="17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IFERROR(VLOOKUP(B842,'Diciembre 2023'!$B$2:$G$5822,4,0),"")</f>
        <v>BM</v>
      </c>
    </row>
    <row r="843" spans="1:7" x14ac:dyDescent="0.25">
      <c r="A843" s="17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IFERROR(VLOOKUP(B843,'Diciembre 2023'!$B$2:$G$5822,4,0),"")</f>
        <v>BM</v>
      </c>
    </row>
    <row r="844" spans="1:7" x14ac:dyDescent="0.25">
      <c r="A844" s="17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IFERROR(VLOOKUP(B844,'Diciembre 2023'!$B$2:$G$5822,4,0),"")</f>
        <v>BM</v>
      </c>
    </row>
    <row r="845" spans="1:7" x14ac:dyDescent="0.25">
      <c r="A845" s="17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IFERROR(VLOOKUP(B845,'Diciembre 2023'!$B$2:$G$5822,4,0),"")</f>
        <v>BM</v>
      </c>
    </row>
    <row r="846" spans="1:7" x14ac:dyDescent="0.25">
      <c r="A846" s="17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IFERROR(VLOOKUP(B846,'Diciembre 2023'!$B$2:$G$5822,4,0),"")</f>
        <v>BM</v>
      </c>
    </row>
    <row r="847" spans="1:7" x14ac:dyDescent="0.25">
      <c r="A847" s="17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IFERROR(VLOOKUP(B847,'Diciembre 2023'!$B$2:$G$5822,4,0),"")</f>
        <v>BM</v>
      </c>
    </row>
    <row r="848" spans="1:7" x14ac:dyDescent="0.25">
      <c r="A848" s="17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IFERROR(VLOOKUP(B848,'Diciembre 2023'!$B$2:$G$5822,4,0),"")</f>
        <v>BM</v>
      </c>
    </row>
    <row r="849" spans="1:7" x14ac:dyDescent="0.25">
      <c r="A849" s="17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IFERROR(VLOOKUP(B849,'Diciembre 2023'!$B$2:$G$5822,4,0),"")</f>
        <v>BM</v>
      </c>
    </row>
    <row r="850" spans="1:7" x14ac:dyDescent="0.25">
      <c r="A850" s="17"/>
      <c r="B850" s="4" t="s">
        <v>5564</v>
      </c>
      <c r="C850" s="4" t="s">
        <v>11</v>
      </c>
      <c r="D850" s="4" t="s">
        <v>11</v>
      </c>
      <c r="E850" s="4" t="s">
        <v>11</v>
      </c>
      <c r="F850" s="4" t="s">
        <v>120</v>
      </c>
      <c r="G850" s="5" t="str">
        <f>IFERROR(VLOOKUP(B850,'Diciembre 2023'!$B$2:$G$5822,4,0),"")</f>
        <v>BM</v>
      </c>
    </row>
    <row r="851" spans="1:7" x14ac:dyDescent="0.25">
      <c r="A851" s="17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IFERROR(VLOOKUP(B851,'Diciembre 2023'!$B$2:$G$5822,4,0),"")</f>
        <v>BM</v>
      </c>
    </row>
    <row r="852" spans="1:7" x14ac:dyDescent="0.25">
      <c r="A852" s="17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IFERROR(VLOOKUP(B852,'Diciembre 2023'!$B$2:$G$5822,4,0),"")</f>
        <v>BM</v>
      </c>
    </row>
    <row r="853" spans="1:7" x14ac:dyDescent="0.25">
      <c r="A853" s="17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IFERROR(VLOOKUP(B853,'Diciembre 2023'!$B$2:$G$5822,4,0),"")</f>
        <v>BM</v>
      </c>
    </row>
    <row r="854" spans="1:7" x14ac:dyDescent="0.25">
      <c r="A854" s="17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IFERROR(VLOOKUP(B854,'Diciembre 2023'!$B$2:$G$5822,4,0),"")</f>
        <v>BM</v>
      </c>
    </row>
    <row r="855" spans="1:7" x14ac:dyDescent="0.25">
      <c r="A855" s="17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IFERROR(VLOOKUP(B855,'Diciembre 2023'!$B$2:$G$5822,4,0),"")</f>
        <v>BM</v>
      </c>
    </row>
    <row r="856" spans="1:7" x14ac:dyDescent="0.25">
      <c r="A856" s="17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IFERROR(VLOOKUP(B856,'Diciembre 2023'!$B$2:$G$5822,4,0),"")</f>
        <v>BM</v>
      </c>
    </row>
    <row r="857" spans="1:7" x14ac:dyDescent="0.25">
      <c r="A857" s="17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IFERROR(VLOOKUP(B857,'Diciembre 2023'!$B$2:$G$5822,4,0),"")</f>
        <v>BM</v>
      </c>
    </row>
    <row r="858" spans="1:7" x14ac:dyDescent="0.25">
      <c r="A858" s="17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IFERROR(VLOOKUP(B858,'Diciembre 2023'!$B$2:$G$5822,4,0),"")</f>
        <v>INACTBM</v>
      </c>
    </row>
    <row r="859" spans="1:7" x14ac:dyDescent="0.25">
      <c r="A859" s="17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IFERROR(VLOOKUP(B859,'Diciembre 2023'!$B$2:$G$5822,4,0),"")</f>
        <v>BM</v>
      </c>
    </row>
    <row r="860" spans="1:7" x14ac:dyDescent="0.25">
      <c r="A860" s="17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IFERROR(VLOOKUP(B860,'Diciembre 2023'!$B$2:$G$5822,4,0),"")</f>
        <v>BM</v>
      </c>
    </row>
    <row r="861" spans="1:7" x14ac:dyDescent="0.25">
      <c r="A861" s="17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IFERROR(VLOOKUP(B861,'Diciembre 2023'!$B$2:$G$5822,4,0),"")</f>
        <v>BM</v>
      </c>
    </row>
    <row r="862" spans="1:7" x14ac:dyDescent="0.25">
      <c r="A862" s="17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IFERROR(VLOOKUP(B862,'Diciembre 2023'!$B$2:$G$5822,4,0),"")</f>
        <v>BM</v>
      </c>
    </row>
    <row r="863" spans="1:7" x14ac:dyDescent="0.25">
      <c r="A863" s="17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IFERROR(VLOOKUP(B863,'Diciembre 2023'!$B$2:$G$5822,4,0),"")</f>
        <v>INACTBM</v>
      </c>
    </row>
    <row r="864" spans="1:7" x14ac:dyDescent="0.25">
      <c r="A864" s="17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IFERROR(VLOOKUP(B864,'Diciembre 2023'!$B$2:$G$5822,4,0),"")</f>
        <v>BM</v>
      </c>
    </row>
    <row r="865" spans="1:7" x14ac:dyDescent="0.25">
      <c r="A865" s="17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IFERROR(VLOOKUP(B865,'Diciembre 2023'!$B$2:$G$5822,4,0),"")</f>
        <v>INACTBM</v>
      </c>
    </row>
    <row r="866" spans="1:7" x14ac:dyDescent="0.25">
      <c r="A866" s="17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IFERROR(VLOOKUP(B866,'Diciembre 2023'!$B$2:$G$5822,4,0),"")</f>
        <v>BM</v>
      </c>
    </row>
    <row r="867" spans="1:7" x14ac:dyDescent="0.25">
      <c r="A867" s="17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IFERROR(VLOOKUP(B867,'Diciembre 2023'!$B$2:$G$5822,4,0),"")</f>
        <v>BM</v>
      </c>
    </row>
    <row r="868" spans="1:7" x14ac:dyDescent="0.25">
      <c r="A868" s="17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IFERROR(VLOOKUP(B868,'Diciembre 2023'!$B$2:$G$5822,4,0),"")</f>
        <v>BM</v>
      </c>
    </row>
    <row r="869" spans="1:7" x14ac:dyDescent="0.25">
      <c r="A869" s="17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IFERROR(VLOOKUP(B869,'Diciembre 2023'!$B$2:$G$5822,4,0),"")</f>
        <v>BM</v>
      </c>
    </row>
    <row r="870" spans="1:7" x14ac:dyDescent="0.25">
      <c r="A870" s="17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IFERROR(VLOOKUP(B870,'Diciembre 2023'!$B$2:$G$5822,4,0),"")</f>
        <v>BM</v>
      </c>
    </row>
    <row r="871" spans="1:7" x14ac:dyDescent="0.25">
      <c r="A871" s="17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IFERROR(VLOOKUP(B871,'Diciembre 2023'!$B$2:$G$5822,4,0),"")</f>
        <v>BM</v>
      </c>
    </row>
    <row r="872" spans="1:7" x14ac:dyDescent="0.25">
      <c r="A872" s="17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IFERROR(VLOOKUP(B872,'Diciembre 2023'!$B$2:$G$5822,4,0),"")</f>
        <v>BM</v>
      </c>
    </row>
    <row r="873" spans="1:7" x14ac:dyDescent="0.25">
      <c r="A873" s="17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IFERROR(VLOOKUP(B873,'Diciembre 2023'!$B$2:$G$5822,4,0),"")</f>
        <v>BM</v>
      </c>
    </row>
    <row r="874" spans="1:7" x14ac:dyDescent="0.25">
      <c r="A874" s="17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IFERROR(VLOOKUP(B874,'Diciembre 2023'!$B$2:$G$5822,4,0),"")</f>
        <v>BM</v>
      </c>
    </row>
    <row r="875" spans="1:7" x14ac:dyDescent="0.25">
      <c r="A875" s="17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IFERROR(VLOOKUP(B875,'Diciembre 2023'!$B$2:$G$5822,4,0),"")</f>
        <v>BM</v>
      </c>
    </row>
    <row r="876" spans="1:7" x14ac:dyDescent="0.25">
      <c r="A876" s="17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IFERROR(VLOOKUP(B876,'Diciembre 2023'!$B$2:$G$5822,4,0),"")</f>
        <v>BM</v>
      </c>
    </row>
    <row r="877" spans="1:7" x14ac:dyDescent="0.25">
      <c r="A877" s="17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IFERROR(VLOOKUP(B877,'Diciembre 2023'!$B$2:$G$5822,4,0),"")</f>
        <v>BM</v>
      </c>
    </row>
    <row r="878" spans="1:7" x14ac:dyDescent="0.25">
      <c r="A878" s="17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IFERROR(VLOOKUP(B878,'Diciembre 2023'!$B$2:$G$5822,4,0),"")</f>
        <v>BM</v>
      </c>
    </row>
    <row r="879" spans="1:7" x14ac:dyDescent="0.25">
      <c r="A879" s="17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IFERROR(VLOOKUP(B879,'Diciembre 2023'!$B$2:$G$5822,4,0),"")</f>
        <v>BM</v>
      </c>
    </row>
    <row r="880" spans="1:7" x14ac:dyDescent="0.25">
      <c r="A880" s="17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IFERROR(VLOOKUP(B880,'Diciembre 2023'!$B$2:$G$5822,4,0),"")</f>
        <v>BM</v>
      </c>
    </row>
    <row r="881" spans="1:7" x14ac:dyDescent="0.25">
      <c r="A881" s="17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IFERROR(VLOOKUP(B881,'Diciembre 2023'!$B$2:$G$5822,4,0),"")</f>
        <v>BM</v>
      </c>
    </row>
    <row r="882" spans="1:7" x14ac:dyDescent="0.25">
      <c r="A882" s="17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IFERROR(VLOOKUP(B882,'Diciembre 2023'!$B$2:$G$5822,4,0),"")</f>
        <v>BM</v>
      </c>
    </row>
    <row r="883" spans="1:7" x14ac:dyDescent="0.25">
      <c r="A883" s="17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5" t="str">
        <f>IFERROR(VLOOKUP(B883,'Diciembre 2023'!$B$2:$G$5822,4,0),"")</f>
        <v>BM</v>
      </c>
    </row>
    <row r="884" spans="1:7" x14ac:dyDescent="0.25">
      <c r="A884" s="17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IFERROR(VLOOKUP(B884,'Diciembre 2023'!$B$2:$G$5822,4,0),"")</f>
        <v>BM</v>
      </c>
    </row>
    <row r="885" spans="1:7" x14ac:dyDescent="0.25">
      <c r="A885" s="17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IFERROR(VLOOKUP(B885,'Diciembre 2023'!$B$2:$G$5822,4,0),"")</f>
        <v>BM</v>
      </c>
    </row>
    <row r="886" spans="1:7" x14ac:dyDescent="0.25">
      <c r="A886" s="17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IFERROR(VLOOKUP(B886,'Diciembre 2023'!$B$2:$G$5822,4,0),"")</f>
        <v>BM</v>
      </c>
    </row>
    <row r="887" spans="1:7" x14ac:dyDescent="0.25">
      <c r="A887" s="17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IFERROR(VLOOKUP(B887,'Diciembre 2023'!$B$2:$G$5822,4,0),"")</f>
        <v>BM</v>
      </c>
    </row>
    <row r="888" spans="1:7" x14ac:dyDescent="0.25">
      <c r="A888" s="17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IFERROR(VLOOKUP(B888,'Diciembre 2023'!$B$2:$G$5822,4,0),"")</f>
        <v>INACTBM</v>
      </c>
    </row>
    <row r="889" spans="1:7" x14ac:dyDescent="0.25">
      <c r="A889" s="17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IFERROR(VLOOKUP(B889,'Diciembre 2023'!$B$2:$G$5822,4,0),"")</f>
        <v>BM</v>
      </c>
    </row>
    <row r="890" spans="1:7" x14ac:dyDescent="0.25">
      <c r="A890" s="17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IFERROR(VLOOKUP(B890,'Diciembre 2023'!$B$2:$G$5822,4,0),"")</f>
        <v>BM</v>
      </c>
    </row>
    <row r="891" spans="1:7" x14ac:dyDescent="0.25">
      <c r="A891" s="17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IFERROR(VLOOKUP(B891,'Diciembre 2023'!$B$2:$G$5822,4,0),"")</f>
        <v>BM</v>
      </c>
    </row>
    <row r="892" spans="1:7" x14ac:dyDescent="0.25">
      <c r="A892" s="17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IFERROR(VLOOKUP(B892,'Diciembre 2023'!$B$2:$G$5822,4,0),"")</f>
        <v>BM</v>
      </c>
    </row>
    <row r="893" spans="1:7" x14ac:dyDescent="0.25">
      <c r="A893" s="17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IFERROR(VLOOKUP(B893,'Diciembre 2023'!$B$2:$G$5822,4,0),"")</f>
        <v>INACTBM</v>
      </c>
    </row>
    <row r="894" spans="1:7" x14ac:dyDescent="0.25">
      <c r="A894" s="17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IFERROR(VLOOKUP(B894,'Diciembre 2023'!$B$2:$G$5822,4,0),"")</f>
        <v>BM</v>
      </c>
    </row>
    <row r="895" spans="1:7" x14ac:dyDescent="0.25">
      <c r="A895" s="17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IFERROR(VLOOKUP(B895,'Diciembre 2023'!$B$2:$G$5822,4,0),"")</f>
        <v>BM</v>
      </c>
    </row>
    <row r="896" spans="1:7" x14ac:dyDescent="0.25">
      <c r="A896" s="17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IFERROR(VLOOKUP(B896,'Diciembre 2023'!$B$2:$G$5822,4,0),"")</f>
        <v>BM</v>
      </c>
    </row>
    <row r="897" spans="1:7" x14ac:dyDescent="0.25">
      <c r="A897" s="17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IFERROR(VLOOKUP(B897,'Diciembre 2023'!$B$2:$G$5822,4,0),"")</f>
        <v>BM</v>
      </c>
    </row>
    <row r="898" spans="1:7" x14ac:dyDescent="0.25">
      <c r="A898" s="17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IFERROR(VLOOKUP(B898,'Diciembre 2023'!$B$2:$G$5822,4,0),"")</f>
        <v>BM</v>
      </c>
    </row>
    <row r="899" spans="1:7" x14ac:dyDescent="0.25">
      <c r="A899" s="17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IFERROR(VLOOKUP(B899,'Diciembre 2023'!$B$2:$G$5822,4,0),"")</f>
        <v>BM</v>
      </c>
    </row>
    <row r="900" spans="1:7" x14ac:dyDescent="0.25">
      <c r="A900" s="17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IFERROR(VLOOKUP(B900,'Diciembre 2023'!$B$2:$G$5822,4,0),"")</f>
        <v>BM</v>
      </c>
    </row>
    <row r="901" spans="1:7" x14ac:dyDescent="0.25">
      <c r="A901" s="17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IFERROR(VLOOKUP(B901,'Diciembre 2023'!$B$2:$G$5822,4,0),"")</f>
        <v>BM</v>
      </c>
    </row>
    <row r="902" spans="1:7" x14ac:dyDescent="0.25">
      <c r="A902" s="17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IFERROR(VLOOKUP(B902,'Diciembre 2023'!$B$2:$G$5822,4,0),"")</f>
        <v>BM</v>
      </c>
    </row>
    <row r="903" spans="1:7" x14ac:dyDescent="0.25">
      <c r="A903" s="17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IFERROR(VLOOKUP(B903,'Diciembre 2023'!$B$2:$G$5822,4,0),"")</f>
        <v>BM</v>
      </c>
    </row>
    <row r="904" spans="1:7" x14ac:dyDescent="0.25">
      <c r="A904" s="17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IFERROR(VLOOKUP(B904,'Diciembre 2023'!$B$2:$G$5822,4,0),"")</f>
        <v>BM</v>
      </c>
    </row>
    <row r="905" spans="1:7" x14ac:dyDescent="0.25">
      <c r="A905" s="17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IFERROR(VLOOKUP(B905,'Diciembre 2023'!$B$2:$G$5822,4,0),"")</f>
        <v>BM</v>
      </c>
    </row>
    <row r="906" spans="1:7" x14ac:dyDescent="0.25">
      <c r="A906" s="17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IFERROR(VLOOKUP(B906,'Diciembre 2023'!$B$2:$G$5822,4,0),"")</f>
        <v>BM</v>
      </c>
    </row>
    <row r="907" spans="1:7" x14ac:dyDescent="0.25">
      <c r="A907" s="17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IFERROR(VLOOKUP(B907,'Diciembre 2023'!$B$2:$G$5822,4,0),"")</f>
        <v>BM</v>
      </c>
    </row>
    <row r="908" spans="1:7" x14ac:dyDescent="0.25">
      <c r="A908" s="17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IFERROR(VLOOKUP(B908,'Diciembre 2023'!$B$2:$G$5822,4,0),"")</f>
        <v>BM</v>
      </c>
    </row>
    <row r="909" spans="1:7" x14ac:dyDescent="0.25">
      <c r="A909" s="17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IFERROR(VLOOKUP(B909,'Diciembre 2023'!$B$2:$G$5822,4,0),"")</f>
        <v>BM</v>
      </c>
    </row>
    <row r="910" spans="1:7" x14ac:dyDescent="0.25">
      <c r="A910" s="17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IFERROR(VLOOKUP(B910,'Diciembre 2023'!$B$2:$G$5822,4,0),"")</f>
        <v>BM</v>
      </c>
    </row>
    <row r="911" spans="1:7" x14ac:dyDescent="0.25">
      <c r="A911" s="17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IFERROR(VLOOKUP(B911,'Diciembre 2023'!$B$2:$G$5822,4,0),"")</f>
        <v>BM</v>
      </c>
    </row>
    <row r="912" spans="1:7" x14ac:dyDescent="0.25">
      <c r="A912" s="17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IFERROR(VLOOKUP(B912,'Diciembre 2023'!$B$2:$G$5822,4,0),"")</f>
        <v>BM</v>
      </c>
    </row>
    <row r="913" spans="1:7" x14ac:dyDescent="0.25">
      <c r="A913" s="17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IFERROR(VLOOKUP(B913,'Diciembre 2023'!$B$2:$G$5822,4,0),"")</f>
        <v>BM</v>
      </c>
    </row>
    <row r="914" spans="1:7" x14ac:dyDescent="0.25">
      <c r="A914" s="17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IFERROR(VLOOKUP(B914,'Diciembre 2023'!$B$2:$G$5822,4,0),"")</f>
        <v>BM</v>
      </c>
    </row>
    <row r="915" spans="1:7" x14ac:dyDescent="0.25">
      <c r="A915" s="17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IFERROR(VLOOKUP(B915,'Diciembre 2023'!$B$2:$G$5822,4,0),"")</f>
        <v>BM</v>
      </c>
    </row>
    <row r="916" spans="1:7" x14ac:dyDescent="0.25">
      <c r="A916" s="17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IFERROR(VLOOKUP(B916,'Diciembre 2023'!$B$2:$G$5822,4,0),"")</f>
        <v>BM</v>
      </c>
    </row>
    <row r="917" spans="1:7" x14ac:dyDescent="0.25">
      <c r="A917" s="17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IFERROR(VLOOKUP(B917,'Diciembre 2023'!$B$2:$G$5822,4,0),"")</f>
        <v>INACTBM</v>
      </c>
    </row>
    <row r="918" spans="1:7" x14ac:dyDescent="0.25">
      <c r="A918" s="17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IFERROR(VLOOKUP(B918,'Diciembre 2023'!$B$2:$G$5822,4,0),"")</f>
        <v>INACTBM</v>
      </c>
    </row>
    <row r="919" spans="1:7" x14ac:dyDescent="0.25">
      <c r="A919" s="17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IFERROR(VLOOKUP(B919,'Diciembre 2023'!$B$2:$G$5822,4,0),"")</f>
        <v>BM</v>
      </c>
    </row>
    <row r="920" spans="1:7" x14ac:dyDescent="0.25">
      <c r="A920" s="17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IFERROR(VLOOKUP(B920,'Diciembre 2023'!$B$2:$G$5822,4,0),"")</f>
        <v>INACTBM</v>
      </c>
    </row>
    <row r="921" spans="1:7" x14ac:dyDescent="0.25">
      <c r="A921" s="17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IFERROR(VLOOKUP(B921,'Diciembre 2023'!$B$2:$G$5822,4,0),"")</f>
        <v>BM</v>
      </c>
    </row>
    <row r="922" spans="1:7" x14ac:dyDescent="0.25">
      <c r="A922" s="17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IFERROR(VLOOKUP(B922,'Diciembre 2023'!$B$2:$G$5822,4,0),"")</f>
        <v>BM</v>
      </c>
    </row>
    <row r="923" spans="1:7" x14ac:dyDescent="0.25">
      <c r="A923" s="17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IFERROR(VLOOKUP(B923,'Diciembre 2023'!$B$2:$G$5822,4,0),"")</f>
        <v>BM</v>
      </c>
    </row>
    <row r="924" spans="1:7" x14ac:dyDescent="0.25">
      <c r="A924" s="17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IFERROR(VLOOKUP(B924,'Diciembre 2023'!$B$2:$G$5822,4,0),"")</f>
        <v>BM</v>
      </c>
    </row>
    <row r="925" spans="1:7" x14ac:dyDescent="0.25">
      <c r="A925" s="17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IFERROR(VLOOKUP(B925,'Diciembre 2023'!$B$2:$G$5822,4,0),"")</f>
        <v>BM</v>
      </c>
    </row>
    <row r="926" spans="1:7" x14ac:dyDescent="0.25">
      <c r="A926" s="17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IFERROR(VLOOKUP(B926,'Diciembre 2023'!$B$2:$G$5822,4,0),"")</f>
        <v>BM</v>
      </c>
    </row>
    <row r="927" spans="1:7" x14ac:dyDescent="0.25">
      <c r="A927" s="17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IFERROR(VLOOKUP(B927,'Diciembre 2023'!$B$2:$G$5822,4,0),"")</f>
        <v>BM</v>
      </c>
    </row>
    <row r="928" spans="1:7" x14ac:dyDescent="0.25">
      <c r="A928" s="17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IFERROR(VLOOKUP(B928,'Diciembre 2023'!$B$2:$G$5822,4,0),"")</f>
        <v>BM</v>
      </c>
    </row>
    <row r="929" spans="1:7" x14ac:dyDescent="0.25">
      <c r="A929" s="17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IFERROR(VLOOKUP(B929,'Diciembre 2023'!$B$2:$G$5822,4,0),"")</f>
        <v>BM</v>
      </c>
    </row>
    <row r="930" spans="1:7" x14ac:dyDescent="0.25">
      <c r="A930" s="17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IFERROR(VLOOKUP(B930,'Diciembre 2023'!$B$2:$G$5822,4,0),"")</f>
        <v>BM</v>
      </c>
    </row>
    <row r="931" spans="1:7" x14ac:dyDescent="0.25">
      <c r="A931" s="17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IFERROR(VLOOKUP(B931,'Diciembre 2023'!$B$2:$G$5822,4,0),"")</f>
        <v>BM</v>
      </c>
    </row>
    <row r="932" spans="1:7" x14ac:dyDescent="0.25">
      <c r="A932" s="17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IFERROR(VLOOKUP(B932,'Diciembre 2023'!$B$2:$G$5822,4,0),"")</f>
        <v>BM</v>
      </c>
    </row>
    <row r="933" spans="1:7" x14ac:dyDescent="0.25">
      <c r="A933" s="17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IFERROR(VLOOKUP(B933,'Diciembre 2023'!$B$2:$G$5822,4,0),"")</f>
        <v>BM</v>
      </c>
    </row>
    <row r="934" spans="1:7" x14ac:dyDescent="0.25">
      <c r="A934" s="17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IFERROR(VLOOKUP(B934,'Diciembre 2023'!$B$2:$G$5822,4,0),"")</f>
        <v>BM</v>
      </c>
    </row>
    <row r="935" spans="1:7" x14ac:dyDescent="0.25">
      <c r="A935" s="17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IFERROR(VLOOKUP(B935,'Diciembre 2023'!$B$2:$G$5822,4,0),"")</f>
        <v>BM</v>
      </c>
    </row>
    <row r="936" spans="1:7" x14ac:dyDescent="0.25">
      <c r="A936" s="17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IFERROR(VLOOKUP(B936,'Diciembre 2023'!$B$2:$G$5822,4,0),"")</f>
        <v>BM</v>
      </c>
    </row>
    <row r="937" spans="1:7" x14ac:dyDescent="0.25">
      <c r="A937" s="17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IFERROR(VLOOKUP(B937,'Diciembre 2023'!$B$2:$G$5822,4,0),"")</f>
        <v>BM</v>
      </c>
    </row>
    <row r="938" spans="1:7" x14ac:dyDescent="0.25">
      <c r="A938" s="17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IFERROR(VLOOKUP(B938,'Diciembre 2023'!$B$2:$G$5822,4,0),"")</f>
        <v>BM</v>
      </c>
    </row>
    <row r="939" spans="1:7" x14ac:dyDescent="0.25">
      <c r="A939" s="17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IFERROR(VLOOKUP(B939,'Diciembre 2023'!$B$2:$G$5822,4,0),"")</f>
        <v>BM</v>
      </c>
    </row>
    <row r="940" spans="1:7" x14ac:dyDescent="0.25">
      <c r="A940" s="17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IFERROR(VLOOKUP(B940,'Diciembre 2023'!$B$2:$G$5822,4,0),"")</f>
        <v>BM</v>
      </c>
    </row>
    <row r="941" spans="1:7" x14ac:dyDescent="0.25">
      <c r="A941" s="17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IFERROR(VLOOKUP(B941,'Diciembre 2023'!$B$2:$G$5822,4,0),"")</f>
        <v>BM</v>
      </c>
    </row>
    <row r="942" spans="1:7" x14ac:dyDescent="0.25">
      <c r="A942" s="17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IFERROR(VLOOKUP(B942,'Diciembre 2023'!$B$2:$G$5822,4,0),"")</f>
        <v>BM</v>
      </c>
    </row>
    <row r="943" spans="1:7" x14ac:dyDescent="0.25">
      <c r="A943" s="17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IFERROR(VLOOKUP(B943,'Diciembre 2023'!$B$2:$G$5822,4,0),"")</f>
        <v>BM</v>
      </c>
    </row>
    <row r="944" spans="1:7" x14ac:dyDescent="0.25">
      <c r="A944" s="17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IFERROR(VLOOKUP(B944,'Diciembre 2023'!$B$2:$G$5822,4,0),"")</f>
        <v>BM</v>
      </c>
    </row>
    <row r="945" spans="1:7" x14ac:dyDescent="0.25">
      <c r="A945" s="17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IFERROR(VLOOKUP(B945,'Diciembre 2023'!$B$2:$G$5822,4,0),"")</f>
        <v>BM</v>
      </c>
    </row>
    <row r="946" spans="1:7" x14ac:dyDescent="0.25">
      <c r="A946" s="17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IFERROR(VLOOKUP(B946,'Diciembre 2023'!$B$2:$G$5822,4,0),"")</f>
        <v>BM</v>
      </c>
    </row>
    <row r="947" spans="1:7" x14ac:dyDescent="0.25">
      <c r="A947" s="17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IFERROR(VLOOKUP(B947,'Diciembre 2023'!$B$2:$G$5822,4,0),"")</f>
        <v>BM</v>
      </c>
    </row>
    <row r="948" spans="1:7" x14ac:dyDescent="0.25">
      <c r="A948" s="17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IFERROR(VLOOKUP(B948,'Diciembre 2023'!$B$2:$G$5822,4,0),"")</f>
        <v>BM</v>
      </c>
    </row>
    <row r="949" spans="1:7" x14ac:dyDescent="0.25">
      <c r="A949" s="17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IFERROR(VLOOKUP(B949,'Diciembre 2023'!$B$2:$G$5822,4,0),"")</f>
        <v>BM</v>
      </c>
    </row>
    <row r="950" spans="1:7" x14ac:dyDescent="0.25">
      <c r="A950" s="17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IFERROR(VLOOKUP(B950,'Diciembre 2023'!$B$2:$G$5822,4,0),"")</f>
        <v>BM</v>
      </c>
    </row>
    <row r="951" spans="1:7" x14ac:dyDescent="0.25">
      <c r="A951" s="17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IFERROR(VLOOKUP(B951,'Diciembre 2023'!$B$2:$G$5822,4,0),"")</f>
        <v>BM</v>
      </c>
    </row>
    <row r="952" spans="1:7" x14ac:dyDescent="0.25">
      <c r="A952" s="17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IFERROR(VLOOKUP(B952,'Diciembre 2023'!$B$2:$G$5822,4,0),"")</f>
        <v>BM</v>
      </c>
    </row>
    <row r="953" spans="1:7" x14ac:dyDescent="0.25">
      <c r="A953" s="17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IFERROR(VLOOKUP(B953,'Diciembre 2023'!$B$2:$G$5822,4,0),"")</f>
        <v>BM</v>
      </c>
    </row>
    <row r="954" spans="1:7" x14ac:dyDescent="0.25">
      <c r="A954" s="17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IFERROR(VLOOKUP(B954,'Diciembre 2023'!$B$2:$G$5822,4,0),"")</f>
        <v>BM</v>
      </c>
    </row>
    <row r="955" spans="1:7" x14ac:dyDescent="0.25">
      <c r="A955" s="17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IFERROR(VLOOKUP(B955,'Diciembre 2023'!$B$2:$G$5822,4,0),"")</f>
        <v>BM</v>
      </c>
    </row>
    <row r="956" spans="1:7" x14ac:dyDescent="0.25">
      <c r="A956" s="17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IFERROR(VLOOKUP(B956,'Diciembre 2023'!$B$2:$G$5822,4,0),"")</f>
        <v>BM</v>
      </c>
    </row>
    <row r="957" spans="1:7" x14ac:dyDescent="0.25">
      <c r="A957" s="17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IFERROR(VLOOKUP(B957,'Diciembre 2023'!$B$2:$G$5822,4,0),"")</f>
        <v>BM</v>
      </c>
    </row>
    <row r="958" spans="1:7" x14ac:dyDescent="0.25">
      <c r="A958" s="17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IFERROR(VLOOKUP(B958,'Diciembre 2023'!$B$2:$G$5822,4,0),"")</f>
        <v>BM</v>
      </c>
    </row>
    <row r="959" spans="1:7" x14ac:dyDescent="0.25">
      <c r="A959" s="17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IFERROR(VLOOKUP(B959,'Diciembre 2023'!$B$2:$G$5822,4,0),"")</f>
        <v>BM</v>
      </c>
    </row>
    <row r="960" spans="1:7" x14ac:dyDescent="0.25">
      <c r="A960" s="17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IFERROR(VLOOKUP(B960,'Diciembre 2023'!$B$2:$G$5822,4,0),"")</f>
        <v>BM</v>
      </c>
    </row>
    <row r="961" spans="1:7" x14ac:dyDescent="0.25">
      <c r="A961" s="17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IFERROR(VLOOKUP(B961,'Diciembre 2023'!$B$2:$G$5822,4,0),"")</f>
        <v>BM</v>
      </c>
    </row>
    <row r="962" spans="1:7" x14ac:dyDescent="0.25">
      <c r="A962" s="17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IFERROR(VLOOKUP(B962,'Diciembre 2023'!$B$2:$G$5822,4,0),"")</f>
        <v>BM</v>
      </c>
    </row>
    <row r="963" spans="1:7" x14ac:dyDescent="0.25">
      <c r="A963" s="17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IFERROR(VLOOKUP(B963,'Diciembre 2023'!$B$2:$G$5822,4,0),"")</f>
        <v>BM</v>
      </c>
    </row>
    <row r="964" spans="1:7" x14ac:dyDescent="0.25">
      <c r="A964" s="17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IFERROR(VLOOKUP(B964,'Diciembre 2023'!$B$2:$G$5822,4,0),"")</f>
        <v>BM</v>
      </c>
    </row>
    <row r="965" spans="1:7" x14ac:dyDescent="0.25">
      <c r="A965" s="17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IFERROR(VLOOKUP(B965,'Diciembre 2023'!$B$2:$G$5822,4,0),"")</f>
        <v>BM</v>
      </c>
    </row>
    <row r="966" spans="1:7" x14ac:dyDescent="0.25">
      <c r="A966" s="17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IFERROR(VLOOKUP(B966,'Diciembre 2023'!$B$2:$G$5822,4,0),"")</f>
        <v>BM</v>
      </c>
    </row>
    <row r="967" spans="1:7" x14ac:dyDescent="0.25">
      <c r="A967" s="17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IFERROR(VLOOKUP(B967,'Diciembre 2023'!$B$2:$G$5822,4,0),"")</f>
        <v>BM</v>
      </c>
    </row>
    <row r="968" spans="1:7" x14ac:dyDescent="0.25">
      <c r="A968" s="17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IFERROR(VLOOKUP(B968,'Diciembre 2023'!$B$2:$G$5822,4,0),"")</f>
        <v>BM</v>
      </c>
    </row>
    <row r="969" spans="1:7" x14ac:dyDescent="0.25">
      <c r="A969" s="17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IFERROR(VLOOKUP(B969,'Diciembre 2023'!$B$2:$G$5822,4,0),"")</f>
        <v>BM</v>
      </c>
    </row>
    <row r="970" spans="1:7" x14ac:dyDescent="0.25">
      <c r="A970" s="17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IFERROR(VLOOKUP(B970,'Diciembre 2023'!$B$2:$G$5822,4,0),"")</f>
        <v>BM</v>
      </c>
    </row>
    <row r="971" spans="1:7" x14ac:dyDescent="0.25">
      <c r="A971" s="17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IFERROR(VLOOKUP(B971,'Diciembre 2023'!$B$2:$G$5822,4,0),"")</f>
        <v>BM</v>
      </c>
    </row>
    <row r="972" spans="1:7" x14ac:dyDescent="0.25">
      <c r="A972" s="17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IFERROR(VLOOKUP(B972,'Diciembre 2023'!$B$2:$G$5822,4,0),"")</f>
        <v>BM</v>
      </c>
    </row>
    <row r="973" spans="1:7" x14ac:dyDescent="0.25">
      <c r="A973" s="17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IFERROR(VLOOKUP(B973,'Diciembre 2023'!$B$2:$G$5822,4,0),"")</f>
        <v>BM</v>
      </c>
    </row>
    <row r="974" spans="1:7" x14ac:dyDescent="0.25">
      <c r="A974" s="17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IFERROR(VLOOKUP(B974,'Diciembre 2023'!$B$2:$G$5822,4,0),"")</f>
        <v>BM</v>
      </c>
    </row>
    <row r="975" spans="1:7" x14ac:dyDescent="0.25">
      <c r="A975" s="17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IFERROR(VLOOKUP(B975,'Diciembre 2023'!$B$2:$G$5822,4,0),"")</f>
        <v>BM</v>
      </c>
    </row>
    <row r="976" spans="1:7" x14ac:dyDescent="0.25">
      <c r="A976" s="17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IFERROR(VLOOKUP(B976,'Diciembre 2023'!$B$2:$G$5822,4,0),"")</f>
        <v>BM</v>
      </c>
    </row>
    <row r="977" spans="1:7" x14ac:dyDescent="0.25">
      <c r="A977" s="17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IFERROR(VLOOKUP(B977,'Diciembre 2023'!$B$2:$G$5822,4,0),"")</f>
        <v>BM</v>
      </c>
    </row>
    <row r="978" spans="1:7" x14ac:dyDescent="0.25">
      <c r="A978" s="17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IFERROR(VLOOKUP(B978,'Diciembre 2023'!$B$2:$G$5822,4,0),"")</f>
        <v>BM</v>
      </c>
    </row>
    <row r="979" spans="1:7" x14ac:dyDescent="0.25">
      <c r="A979" s="17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IFERROR(VLOOKUP(B979,'Diciembre 2023'!$B$2:$G$5822,4,0),"")</f>
        <v>BM</v>
      </c>
    </row>
    <row r="980" spans="1:7" x14ac:dyDescent="0.25">
      <c r="A980" s="17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IFERROR(VLOOKUP(B980,'Diciembre 2023'!$B$2:$G$5822,4,0),"")</f>
        <v>INACTBM</v>
      </c>
    </row>
    <row r="981" spans="1:7" x14ac:dyDescent="0.25">
      <c r="A981" s="17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IFERROR(VLOOKUP(B981,'Diciembre 2023'!$B$2:$G$5822,4,0),"")</f>
        <v>BM</v>
      </c>
    </row>
    <row r="982" spans="1:7" x14ac:dyDescent="0.25">
      <c r="A982" s="17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IFERROR(VLOOKUP(B982,'Diciembre 2023'!$B$2:$G$5822,4,0),"")</f>
        <v>BM</v>
      </c>
    </row>
    <row r="983" spans="1:7" x14ac:dyDescent="0.25">
      <c r="A983" s="17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IFERROR(VLOOKUP(B983,'Diciembre 2023'!$B$2:$G$5822,4,0),"")</f>
        <v>BM</v>
      </c>
    </row>
    <row r="984" spans="1:7" x14ac:dyDescent="0.25">
      <c r="A984" s="17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IFERROR(VLOOKUP(B984,'Diciembre 2023'!$B$2:$G$5822,4,0),"")</f>
        <v>BM</v>
      </c>
    </row>
    <row r="985" spans="1:7" x14ac:dyDescent="0.25">
      <c r="A985" s="17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IFERROR(VLOOKUP(B985,'Diciembre 2023'!$B$2:$G$5822,4,0),"")</f>
        <v>BM</v>
      </c>
    </row>
    <row r="986" spans="1:7" x14ac:dyDescent="0.25">
      <c r="A986" s="17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IFERROR(VLOOKUP(B986,'Diciembre 2023'!$B$2:$G$5822,4,0),"")</f>
        <v>BM</v>
      </c>
    </row>
    <row r="987" spans="1:7" x14ac:dyDescent="0.25">
      <c r="A987" s="17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IFERROR(VLOOKUP(B987,'Diciembre 2023'!$B$2:$G$5822,4,0),"")</f>
        <v>BM</v>
      </c>
    </row>
    <row r="988" spans="1:7" x14ac:dyDescent="0.25">
      <c r="A988" s="17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IFERROR(VLOOKUP(B988,'Diciembre 2023'!$B$2:$G$5822,4,0),"")</f>
        <v>BM</v>
      </c>
    </row>
    <row r="989" spans="1:7" x14ac:dyDescent="0.25">
      <c r="A989" s="17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IFERROR(VLOOKUP(B989,'Diciembre 2023'!$B$2:$G$5822,4,0),"")</f>
        <v>BM</v>
      </c>
    </row>
    <row r="990" spans="1:7" x14ac:dyDescent="0.25">
      <c r="A990" s="17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IFERROR(VLOOKUP(B990,'Diciembre 2023'!$B$2:$G$5822,4,0),"")</f>
        <v>INACTBM</v>
      </c>
    </row>
    <row r="991" spans="1:7" x14ac:dyDescent="0.25">
      <c r="A991" s="17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IFERROR(VLOOKUP(B991,'Diciembre 2023'!$B$2:$G$5822,4,0),"")</f>
        <v>BM</v>
      </c>
    </row>
    <row r="992" spans="1:7" x14ac:dyDescent="0.25">
      <c r="A992" s="17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IFERROR(VLOOKUP(B992,'Diciembre 2023'!$B$2:$G$5822,4,0),"")</f>
        <v>BM</v>
      </c>
    </row>
    <row r="993" spans="1:7" x14ac:dyDescent="0.25">
      <c r="A993" s="17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IFERROR(VLOOKUP(B993,'Diciembre 2023'!$B$2:$G$5822,4,0),"")</f>
        <v>BM</v>
      </c>
    </row>
    <row r="994" spans="1:7" x14ac:dyDescent="0.25">
      <c r="A994" s="17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IFERROR(VLOOKUP(B994,'Diciembre 2023'!$B$2:$G$5822,4,0),"")</f>
        <v>INACTBM</v>
      </c>
    </row>
    <row r="995" spans="1:7" x14ac:dyDescent="0.25">
      <c r="A995" s="17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IFERROR(VLOOKUP(B995,'Diciembre 2023'!$B$2:$G$5822,4,0),"")</f>
        <v>BM</v>
      </c>
    </row>
    <row r="996" spans="1:7" x14ac:dyDescent="0.25">
      <c r="A996" s="17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IFERROR(VLOOKUP(B996,'Diciembre 2023'!$B$2:$G$5822,4,0),"")</f>
        <v>BM</v>
      </c>
    </row>
    <row r="997" spans="1:7" x14ac:dyDescent="0.25">
      <c r="A997" s="17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IFERROR(VLOOKUP(B997,'Diciembre 2023'!$B$2:$G$5822,4,0),"")</f>
        <v>BM</v>
      </c>
    </row>
    <row r="998" spans="1:7" x14ac:dyDescent="0.25">
      <c r="A998" s="17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IFERROR(VLOOKUP(B998,'Diciembre 2023'!$B$2:$G$5822,4,0),"")</f>
        <v>BM</v>
      </c>
    </row>
    <row r="999" spans="1:7" x14ac:dyDescent="0.25">
      <c r="A999" s="17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IFERROR(VLOOKUP(B999,'Diciembre 2023'!$B$2:$G$5822,4,0),"")</f>
        <v>BM</v>
      </c>
    </row>
    <row r="1000" spans="1:7" x14ac:dyDescent="0.25">
      <c r="A1000" s="17"/>
      <c r="B1000" s="4" t="s">
        <v>888</v>
      </c>
      <c r="C1000" s="4" t="s">
        <v>14</v>
      </c>
      <c r="D1000" s="4" t="s">
        <v>15</v>
      </c>
      <c r="E1000" s="4" t="s">
        <v>263</v>
      </c>
      <c r="F1000" s="4" t="s">
        <v>14</v>
      </c>
      <c r="G1000" s="5" t="str">
        <f>IFERROR(VLOOKUP(B1000,'Diciembre 2023'!$B$2:$G$5822,4,0),"")</f>
        <v>ATAGAS</v>
      </c>
    </row>
    <row r="1001" spans="1:7" x14ac:dyDescent="0.25">
      <c r="A1001" s="17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IFERROR(VLOOKUP(B1001,'Diciembre 2023'!$B$2:$G$5822,4,0),"")</f>
        <v>DPAPET</v>
      </c>
    </row>
    <row r="1002" spans="1:7" x14ac:dyDescent="0.25">
      <c r="A1002" s="17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IFERROR(VLOOKUP(B1002,'Diciembre 2023'!$B$2:$G$5822,4,0),"")</f>
        <v>DPAPET</v>
      </c>
    </row>
    <row r="1003" spans="1:7" x14ac:dyDescent="0.25">
      <c r="A1003" s="17"/>
      <c r="B1003" s="4" t="s">
        <v>891</v>
      </c>
      <c r="C1003" s="4" t="s">
        <v>14</v>
      </c>
      <c r="D1003" s="4" t="s">
        <v>15</v>
      </c>
      <c r="E1003" s="4" t="s">
        <v>16</v>
      </c>
      <c r="F1003" s="4" t="s">
        <v>14</v>
      </c>
      <c r="G1003" s="5" t="str">
        <f>IFERROR(VLOOKUP(B1003,'Diciembre 2023'!$B$2:$G$5822,4,0),"")</f>
        <v>ATAPET</v>
      </c>
    </row>
    <row r="1004" spans="1:7" x14ac:dyDescent="0.25">
      <c r="A1004" s="17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IFERROR(VLOOKUP(B1004,'Diciembre 2023'!$B$2:$G$5822,4,0),"")</f>
        <v>INACTGAS</v>
      </c>
    </row>
    <row r="1005" spans="1:7" x14ac:dyDescent="0.25">
      <c r="A1005" s="17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IFERROR(VLOOKUP(B1005,'Diciembre 2023'!$B$2:$G$5822,4,0),"")</f>
        <v>DPAPET</v>
      </c>
    </row>
    <row r="1006" spans="1:7" x14ac:dyDescent="0.25">
      <c r="A1006" s="17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IFERROR(VLOOKUP(B1006,'Diciembre 2023'!$B$2:$G$5822,4,0),"")</f>
        <v>ATAPET</v>
      </c>
    </row>
    <row r="1007" spans="1:7" x14ac:dyDescent="0.25">
      <c r="A1007" s="17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IFERROR(VLOOKUP(B1007,'Diciembre 2023'!$B$2:$G$5822,4,0),"")</f>
        <v>ACTPETS</v>
      </c>
    </row>
    <row r="1008" spans="1:7" x14ac:dyDescent="0.25">
      <c r="A1008" s="17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IFERROR(VLOOKUP(B1008,'Diciembre 2023'!$B$2:$G$5822,4,0),"")</f>
        <v>APA_PC</v>
      </c>
    </row>
    <row r="1009" spans="1:7" x14ac:dyDescent="0.25">
      <c r="A1009" s="17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IFERROR(VLOOKUP(B1009,'Diciembre 2023'!$B$2:$G$5822,4,0),"")</f>
        <v>APA_PC</v>
      </c>
    </row>
    <row r="1010" spans="1:7" x14ac:dyDescent="0.25">
      <c r="A1010" s="17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IFERROR(VLOOKUP(B1010,'Diciembre 2023'!$B$2:$G$5822,4,0),"")</f>
        <v>APA_PC</v>
      </c>
    </row>
    <row r="1011" spans="1:7" x14ac:dyDescent="0.25">
      <c r="A1011" s="17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IFERROR(VLOOKUP(B1011,'Diciembre 2023'!$B$2:$G$5822,4,0),"")</f>
        <v>APA_PC</v>
      </c>
    </row>
    <row r="1012" spans="1:7" x14ac:dyDescent="0.25">
      <c r="A1012" s="17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IFERROR(VLOOKUP(B1012,'Diciembre 2023'!$B$2:$G$5822,4,0),"")</f>
        <v>DPAPET</v>
      </c>
    </row>
    <row r="1013" spans="1:7" x14ac:dyDescent="0.25">
      <c r="A1013" s="17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IFERROR(VLOOKUP(B1013,'Diciembre 2023'!$B$2:$G$5822,4,0),"")</f>
        <v>DPAPET</v>
      </c>
    </row>
    <row r="1014" spans="1:7" x14ac:dyDescent="0.25">
      <c r="A1014" s="17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IFERROR(VLOOKUP(B1014,'Diciembre 2023'!$B$2:$G$5822,4,0),"")</f>
        <v>APA_PC</v>
      </c>
    </row>
    <row r="1015" spans="1:7" x14ac:dyDescent="0.25">
      <c r="A1015" s="17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IFERROR(VLOOKUP(B1015,'Diciembre 2023'!$B$2:$G$5822,4,0),"")</f>
        <v>APA_PC</v>
      </c>
    </row>
    <row r="1016" spans="1:7" x14ac:dyDescent="0.25">
      <c r="A1016" s="17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IFERROR(VLOOKUP(B1016,'Diciembre 2023'!$B$2:$G$5822,4,0),"")</f>
        <v>APA_PC</v>
      </c>
    </row>
    <row r="1017" spans="1:7" x14ac:dyDescent="0.25">
      <c r="A1017" s="17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IFERROR(VLOOKUP(B1017,'Diciembre 2023'!$B$2:$G$5822,4,0),"")</f>
        <v>APA_PC</v>
      </c>
    </row>
    <row r="1018" spans="1:7" x14ac:dyDescent="0.25">
      <c r="A1018" s="17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IFERROR(VLOOKUP(B1018,'Diciembre 2023'!$B$2:$G$5822,4,0),"")</f>
        <v>APA_PC</v>
      </c>
    </row>
    <row r="1019" spans="1:7" x14ac:dyDescent="0.25">
      <c r="A1019" s="17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IFERROR(VLOOKUP(B1019,'Diciembre 2023'!$B$2:$G$5822,4,0),"")</f>
        <v>APA_PC</v>
      </c>
    </row>
    <row r="1020" spans="1:7" x14ac:dyDescent="0.25">
      <c r="A1020" s="17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IFERROR(VLOOKUP(B1020,'Diciembre 2023'!$B$2:$G$5822,4,0),"")</f>
        <v>ATAPET</v>
      </c>
    </row>
    <row r="1021" spans="1:7" x14ac:dyDescent="0.25">
      <c r="A1021" s="17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IFERROR(VLOOKUP(B1021,'Diciembre 2023'!$B$2:$G$5822,4,0),"")</f>
        <v>APA_PC</v>
      </c>
    </row>
    <row r="1022" spans="1:7" x14ac:dyDescent="0.25">
      <c r="A1022" s="17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IFERROR(VLOOKUP(B1022,'Diciembre 2023'!$B$2:$G$5822,4,0),"")</f>
        <v>APA_PC</v>
      </c>
    </row>
    <row r="1023" spans="1:7" x14ac:dyDescent="0.25">
      <c r="A1023" s="17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IFERROR(VLOOKUP(B1023,'Diciembre 2023'!$B$2:$G$5822,4,0),"")</f>
        <v>APA_PC</v>
      </c>
    </row>
    <row r="1024" spans="1:7" x14ac:dyDescent="0.25">
      <c r="A1024" s="17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IFERROR(VLOOKUP(B1024,'Diciembre 2023'!$B$2:$G$5822,4,0),"")</f>
        <v>APA_PC</v>
      </c>
    </row>
    <row r="1025" spans="1:7" x14ac:dyDescent="0.25">
      <c r="A1025" s="17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IFERROR(VLOOKUP(B1025,'Diciembre 2023'!$B$2:$G$5822,4,0),"")</f>
        <v>APA_PC</v>
      </c>
    </row>
    <row r="1026" spans="1:7" x14ac:dyDescent="0.25">
      <c r="A1026" s="17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IFERROR(VLOOKUP(B1026,'Diciembre 2023'!$B$2:$G$5822,4,0),"")</f>
        <v>APA_PC</v>
      </c>
    </row>
    <row r="1027" spans="1:7" x14ac:dyDescent="0.25">
      <c r="A1027" s="17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IFERROR(VLOOKUP(B1027,'Diciembre 2023'!$B$2:$G$5822,4,0),"")</f>
        <v>APA_PC</v>
      </c>
    </row>
    <row r="1028" spans="1:7" x14ac:dyDescent="0.25">
      <c r="A1028" s="17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IFERROR(VLOOKUP(B1028,'Diciembre 2023'!$B$2:$G$5822,4,0),"")</f>
        <v>ATAPET</v>
      </c>
    </row>
    <row r="1029" spans="1:7" x14ac:dyDescent="0.25">
      <c r="A1029" s="17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IFERROR(VLOOKUP(B1029,'Diciembre 2023'!$B$2:$G$5822,4,0),"")</f>
        <v>ACTPETS</v>
      </c>
    </row>
    <row r="1030" spans="1:7" x14ac:dyDescent="0.25">
      <c r="A1030" s="17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IFERROR(VLOOKUP(B1030,'Diciembre 2023'!$B$2:$G$5822,4,0),"")</f>
        <v>APA_PC</v>
      </c>
    </row>
    <row r="1031" spans="1:7" x14ac:dyDescent="0.25">
      <c r="A1031" s="17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IFERROR(VLOOKUP(B1031,'Diciembre 2023'!$B$2:$G$5822,4,0),"")</f>
        <v>APA_PC</v>
      </c>
    </row>
    <row r="1032" spans="1:7" x14ac:dyDescent="0.25">
      <c r="A1032" s="17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IFERROR(VLOOKUP(B1032,'Diciembre 2023'!$B$2:$G$5822,4,0),"")</f>
        <v>DPAPET</v>
      </c>
    </row>
    <row r="1033" spans="1:7" x14ac:dyDescent="0.25">
      <c r="A1033" s="17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IFERROR(VLOOKUP(B1033,'Diciembre 2023'!$B$2:$G$5822,4,0),"")</f>
        <v>APAPET</v>
      </c>
    </row>
    <row r="1034" spans="1:7" x14ac:dyDescent="0.25">
      <c r="A1034" s="17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IFERROR(VLOOKUP(B1034,'Diciembre 2023'!$B$2:$G$5822,4,0),"")</f>
        <v>APA_PC</v>
      </c>
    </row>
    <row r="1035" spans="1:7" x14ac:dyDescent="0.25">
      <c r="A1035" s="17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IFERROR(VLOOKUP(B1035,'Diciembre 2023'!$B$2:$G$5822,4,0),"")</f>
        <v>APA_PC</v>
      </c>
    </row>
    <row r="1036" spans="1:7" x14ac:dyDescent="0.25">
      <c r="A1036" s="17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IFERROR(VLOOKUP(B1036,'Diciembre 2023'!$B$2:$G$5822,4,0),"")</f>
        <v>ATAPET</v>
      </c>
    </row>
    <row r="1037" spans="1:7" x14ac:dyDescent="0.25">
      <c r="A1037" s="17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IFERROR(VLOOKUP(B1037,'Diciembre 2023'!$B$2:$G$5822,4,0),"")</f>
        <v>APA_PC</v>
      </c>
    </row>
    <row r="1038" spans="1:7" x14ac:dyDescent="0.25">
      <c r="A1038" s="17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IFERROR(VLOOKUP(B1038,'Diciembre 2023'!$B$2:$G$5822,4,0),"")</f>
        <v>APA_PC</v>
      </c>
    </row>
    <row r="1039" spans="1:7" x14ac:dyDescent="0.25">
      <c r="A1039" s="17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IFERROR(VLOOKUP(B1039,'Diciembre 2023'!$B$2:$G$5822,4,0),"")</f>
        <v>APAPET</v>
      </c>
    </row>
    <row r="1040" spans="1:7" x14ac:dyDescent="0.25">
      <c r="A1040" s="17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IFERROR(VLOOKUP(B1040,'Diciembre 2023'!$B$2:$G$5822,4,0),"")</f>
        <v>APA_PC</v>
      </c>
    </row>
    <row r="1041" spans="1:7" x14ac:dyDescent="0.25">
      <c r="A1041" s="17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IFERROR(VLOOKUP(B1041,'Diciembre 2023'!$B$2:$G$5822,4,0),"")</f>
        <v>APA_PC</v>
      </c>
    </row>
    <row r="1042" spans="1:7" x14ac:dyDescent="0.25">
      <c r="A1042" s="17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IFERROR(VLOOKUP(B1042,'Diciembre 2023'!$B$2:$G$5822,4,0),"")</f>
        <v>APA_PC</v>
      </c>
    </row>
    <row r="1043" spans="1:7" x14ac:dyDescent="0.25">
      <c r="A1043" s="17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IFERROR(VLOOKUP(B1043,'Diciembre 2023'!$B$2:$G$5822,4,0),"")</f>
        <v>APAPET</v>
      </c>
    </row>
    <row r="1044" spans="1:7" x14ac:dyDescent="0.25">
      <c r="A1044" s="17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IFERROR(VLOOKUP(B1044,'Diciembre 2023'!$B$2:$G$5822,4,0),"")</f>
        <v>APA_PC</v>
      </c>
    </row>
    <row r="1045" spans="1:7" x14ac:dyDescent="0.25">
      <c r="A1045" s="17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IFERROR(VLOOKUP(B1045,'Diciembre 2023'!$B$2:$G$5822,4,0),"")</f>
        <v>APA_PC</v>
      </c>
    </row>
    <row r="1046" spans="1:7" x14ac:dyDescent="0.25">
      <c r="A1046" s="17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IFERROR(VLOOKUP(B1046,'Diciembre 2023'!$B$2:$G$5822,4,0),"")</f>
        <v>APA_PC</v>
      </c>
    </row>
    <row r="1047" spans="1:7" x14ac:dyDescent="0.25">
      <c r="A1047" s="17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IFERROR(VLOOKUP(B1047,'Diciembre 2023'!$B$2:$G$5822,4,0),"")</f>
        <v>APA_PC</v>
      </c>
    </row>
    <row r="1048" spans="1:7" x14ac:dyDescent="0.25">
      <c r="A1048" s="17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IFERROR(VLOOKUP(B1048,'Diciembre 2023'!$B$2:$G$5822,4,0),"")</f>
        <v>APA_PC</v>
      </c>
    </row>
    <row r="1049" spans="1:7" x14ac:dyDescent="0.25">
      <c r="A1049" s="17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IFERROR(VLOOKUP(B1049,'Diciembre 2023'!$B$2:$G$5822,4,0),"")</f>
        <v>APAPET</v>
      </c>
    </row>
    <row r="1050" spans="1:7" x14ac:dyDescent="0.25">
      <c r="A1050" s="17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IFERROR(VLOOKUP(B1050,'Diciembre 2023'!$B$2:$G$5822,4,0),"")</f>
        <v>APAPET</v>
      </c>
    </row>
    <row r="1051" spans="1:7" x14ac:dyDescent="0.25">
      <c r="A1051" s="17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IFERROR(VLOOKUP(B1051,'Diciembre 2023'!$B$2:$G$5822,4,0),"")</f>
        <v>APAPET</v>
      </c>
    </row>
    <row r="1052" spans="1:7" x14ac:dyDescent="0.25">
      <c r="A1052" s="17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IFERROR(VLOOKUP(B1052,'Diciembre 2023'!$B$2:$G$5822,4,0),"")</f>
        <v>APA_PC</v>
      </c>
    </row>
    <row r="1053" spans="1:7" x14ac:dyDescent="0.25">
      <c r="A1053" s="17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IFERROR(VLOOKUP(B1053,'Diciembre 2023'!$B$2:$G$5822,4,0),"")</f>
        <v>DPAPET</v>
      </c>
    </row>
    <row r="1054" spans="1:7" x14ac:dyDescent="0.25">
      <c r="A1054" s="17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IFERROR(VLOOKUP(B1054,'Diciembre 2023'!$B$2:$G$5822,4,0),"")</f>
        <v>DPAPET</v>
      </c>
    </row>
    <row r="1055" spans="1:7" x14ac:dyDescent="0.25">
      <c r="A1055" s="17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IFERROR(VLOOKUP(B1055,'Diciembre 2023'!$B$2:$G$5822,4,0),"")</f>
        <v>APA_PC</v>
      </c>
    </row>
    <row r="1056" spans="1:7" x14ac:dyDescent="0.25">
      <c r="A1056" s="17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IFERROR(VLOOKUP(B1056,'Diciembre 2023'!$B$2:$G$5822,4,0),"")</f>
        <v>APA_PC</v>
      </c>
    </row>
    <row r="1057" spans="1:7" x14ac:dyDescent="0.25">
      <c r="A1057" s="17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IFERROR(VLOOKUP(B1057,'Diciembre 2023'!$B$2:$G$5822,4,0),"")</f>
        <v>APAPET</v>
      </c>
    </row>
    <row r="1058" spans="1:7" x14ac:dyDescent="0.25">
      <c r="A1058" s="17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IFERROR(VLOOKUP(B1058,'Diciembre 2023'!$B$2:$G$5822,4,0),"")</f>
        <v>APA_PC</v>
      </c>
    </row>
    <row r="1059" spans="1:7" x14ac:dyDescent="0.25">
      <c r="A1059" s="17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IFERROR(VLOOKUP(B1059,'Diciembre 2023'!$B$2:$G$5822,4,0),"")</f>
        <v>APA_PC</v>
      </c>
    </row>
    <row r="1060" spans="1:7" x14ac:dyDescent="0.25">
      <c r="A1060" s="17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IFERROR(VLOOKUP(B1060,'Diciembre 2023'!$B$2:$G$5822,4,0),"")</f>
        <v>ACTPETS</v>
      </c>
    </row>
    <row r="1061" spans="1:7" x14ac:dyDescent="0.25">
      <c r="A1061" s="17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IFERROR(VLOOKUP(B1061,'Diciembre 2023'!$B$2:$G$5822,4,0),"")</f>
        <v>APA_PC</v>
      </c>
    </row>
    <row r="1062" spans="1:7" x14ac:dyDescent="0.25">
      <c r="A1062" s="17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IFERROR(VLOOKUP(B1062,'Diciembre 2023'!$B$2:$G$5822,4,0),"")</f>
        <v>INACTPETS</v>
      </c>
    </row>
    <row r="1063" spans="1:7" x14ac:dyDescent="0.25">
      <c r="A1063" s="17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IFERROR(VLOOKUP(B1063,'Diciembre 2023'!$B$2:$G$5822,4,0),"")</f>
        <v>APA_PC</v>
      </c>
    </row>
    <row r="1064" spans="1:7" x14ac:dyDescent="0.25">
      <c r="A1064" s="17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IFERROR(VLOOKUP(B1064,'Diciembre 2023'!$B$2:$G$5822,4,0),"")</f>
        <v>ACTPETS</v>
      </c>
    </row>
    <row r="1065" spans="1:7" x14ac:dyDescent="0.25">
      <c r="A1065" s="17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IFERROR(VLOOKUP(B1065,'Diciembre 2023'!$B$2:$G$5822,4,0),"")</f>
        <v>ATAPET</v>
      </c>
    </row>
    <row r="1066" spans="1:7" x14ac:dyDescent="0.25">
      <c r="A1066" s="17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IFERROR(VLOOKUP(B1066,'Diciembre 2023'!$B$2:$G$5822,4,0),"")</f>
        <v>INACTPETS</v>
      </c>
    </row>
    <row r="1067" spans="1:7" x14ac:dyDescent="0.25">
      <c r="A1067" s="17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IFERROR(VLOOKUP(B1067,'Diciembre 2023'!$B$2:$G$5822,4,0),"")</f>
        <v>BM</v>
      </c>
    </row>
    <row r="1068" spans="1:7" x14ac:dyDescent="0.25">
      <c r="A1068" s="17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IFERROR(VLOOKUP(B1068,'Diciembre 2023'!$B$2:$G$5822,4,0),"")</f>
        <v>APA_PC</v>
      </c>
    </row>
    <row r="1069" spans="1:7" x14ac:dyDescent="0.25">
      <c r="A1069" s="17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IFERROR(VLOOKUP(B1069,'Diciembre 2023'!$B$2:$G$5822,4,0),"")</f>
        <v>ACTPETS</v>
      </c>
    </row>
    <row r="1070" spans="1:7" x14ac:dyDescent="0.25">
      <c r="A1070" s="17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IFERROR(VLOOKUP(B1070,'Diciembre 2023'!$B$2:$G$5822,4,0),"")</f>
        <v>BM</v>
      </c>
    </row>
    <row r="1071" spans="1:7" x14ac:dyDescent="0.25">
      <c r="A1071" s="17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IFERROR(VLOOKUP(B1071,'Diciembre 2023'!$B$2:$G$5822,4,0),"")</f>
        <v>ACTPETS</v>
      </c>
    </row>
    <row r="1072" spans="1:7" x14ac:dyDescent="0.25">
      <c r="A1072" s="17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IFERROR(VLOOKUP(B1072,'Diciembre 2023'!$B$2:$G$5822,4,0),"")</f>
        <v>DPAPET</v>
      </c>
    </row>
    <row r="1073" spans="1:7" x14ac:dyDescent="0.25">
      <c r="A1073" s="17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IFERROR(VLOOKUP(B1073,'Diciembre 2023'!$B$2:$G$5822,4,0),"")</f>
        <v>ATAPET</v>
      </c>
    </row>
    <row r="1074" spans="1:7" x14ac:dyDescent="0.25">
      <c r="A1074" s="17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IFERROR(VLOOKUP(B1074,'Diciembre 2023'!$B$2:$G$5822,4,0),"")</f>
        <v>ATAPET</v>
      </c>
    </row>
    <row r="1075" spans="1:7" x14ac:dyDescent="0.25">
      <c r="A1075" s="17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IFERROR(VLOOKUP(B1075,'Diciembre 2023'!$B$2:$G$5822,4,0),"")</f>
        <v>APA_PC</v>
      </c>
    </row>
    <row r="1076" spans="1:7" x14ac:dyDescent="0.25">
      <c r="A1076" s="17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IFERROR(VLOOKUP(B1076,'Diciembre 2023'!$B$2:$G$5822,4,0),"")</f>
        <v>APA_PC</v>
      </c>
    </row>
    <row r="1077" spans="1:7" x14ac:dyDescent="0.25">
      <c r="A1077" s="17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IFERROR(VLOOKUP(B1077,'Diciembre 2023'!$B$2:$G$5822,4,0),"")</f>
        <v>DPAPET</v>
      </c>
    </row>
    <row r="1078" spans="1:7" x14ac:dyDescent="0.25">
      <c r="A1078" s="17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IFERROR(VLOOKUP(B1078,'Diciembre 2023'!$B$2:$G$5822,4,0),"")</f>
        <v>DPAPET</v>
      </c>
    </row>
    <row r="1079" spans="1:7" x14ac:dyDescent="0.25">
      <c r="A1079" s="17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IFERROR(VLOOKUP(B1079,'Diciembre 2023'!$B$2:$G$5822,4,0),"")</f>
        <v>ACTPETS</v>
      </c>
    </row>
    <row r="1080" spans="1:7" x14ac:dyDescent="0.25">
      <c r="A1080" s="17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IFERROR(VLOOKUP(B1080,'Diciembre 2023'!$B$2:$G$5822,4,0),"")</f>
        <v>ATAPET</v>
      </c>
    </row>
    <row r="1081" spans="1:7" x14ac:dyDescent="0.25">
      <c r="A1081" s="17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IFERROR(VLOOKUP(B1081,'Diciembre 2023'!$B$2:$G$5822,4,0),"")</f>
        <v>ACTPETS</v>
      </c>
    </row>
    <row r="1082" spans="1:7" x14ac:dyDescent="0.25">
      <c r="A1082" s="17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IFERROR(VLOOKUP(B1082,'Diciembre 2023'!$B$2:$G$5822,4,0),"")</f>
        <v>ATAPET</v>
      </c>
    </row>
    <row r="1083" spans="1:7" x14ac:dyDescent="0.25">
      <c r="A1083" s="17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IFERROR(VLOOKUP(B1083,'Diciembre 2023'!$B$2:$G$5822,4,0),"")</f>
        <v>BM</v>
      </c>
    </row>
    <row r="1084" spans="1:7" x14ac:dyDescent="0.25">
      <c r="A1084" s="17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IFERROR(VLOOKUP(B1084,'Diciembre 2023'!$B$2:$G$5822,4,0),"")</f>
        <v>APA_PC</v>
      </c>
    </row>
    <row r="1085" spans="1:7" x14ac:dyDescent="0.25">
      <c r="A1085" s="17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IFERROR(VLOOKUP(B1085,'Diciembre 2023'!$B$2:$G$5822,4,0),"")</f>
        <v>APAPET</v>
      </c>
    </row>
    <row r="1086" spans="1:7" x14ac:dyDescent="0.25">
      <c r="A1086" s="17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IFERROR(VLOOKUP(B1086,'Diciembre 2023'!$B$2:$G$5822,4,0),"")</f>
        <v>ATAPET</v>
      </c>
    </row>
    <row r="1087" spans="1:7" x14ac:dyDescent="0.25">
      <c r="A1087" s="17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IFERROR(VLOOKUP(B1087,'Diciembre 2023'!$B$2:$G$5822,4,0),"")</f>
        <v>APA_PC</v>
      </c>
    </row>
    <row r="1088" spans="1:7" x14ac:dyDescent="0.25">
      <c r="A1088" s="17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IFERROR(VLOOKUP(B1088,'Diciembre 2023'!$B$2:$G$5822,4,0),"")</f>
        <v>APA_PC</v>
      </c>
    </row>
    <row r="1089" spans="1:7" x14ac:dyDescent="0.25">
      <c r="A1089" s="17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IFERROR(VLOOKUP(B1089,'Diciembre 2023'!$B$2:$G$5822,4,0),"")</f>
        <v>BM</v>
      </c>
    </row>
    <row r="1090" spans="1:7" x14ac:dyDescent="0.25">
      <c r="A1090" s="17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IFERROR(VLOOKUP(B1090,'Diciembre 2023'!$B$2:$G$5822,4,0),"")</f>
        <v>ACTPETS</v>
      </c>
    </row>
    <row r="1091" spans="1:7" x14ac:dyDescent="0.25">
      <c r="A1091" s="17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IFERROR(VLOOKUP(B1091,'Diciembre 2023'!$B$2:$G$5822,4,0),"")</f>
        <v>ACTPETS</v>
      </c>
    </row>
    <row r="1092" spans="1:7" x14ac:dyDescent="0.25">
      <c r="A1092" s="17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IFERROR(VLOOKUP(B1092,'Diciembre 2023'!$B$2:$G$5822,4,0),"")</f>
        <v>APA_PC</v>
      </c>
    </row>
    <row r="1093" spans="1:7" x14ac:dyDescent="0.25">
      <c r="A1093" s="17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IFERROR(VLOOKUP(B1093,'Diciembre 2023'!$B$2:$G$5822,4,0),"")</f>
        <v>INACTPETS</v>
      </c>
    </row>
    <row r="1094" spans="1:7" x14ac:dyDescent="0.25">
      <c r="A1094" s="17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IFERROR(VLOOKUP(B1094,'Diciembre 2023'!$B$2:$G$5822,4,0),"")</f>
        <v>APA_PC</v>
      </c>
    </row>
    <row r="1095" spans="1:7" x14ac:dyDescent="0.25">
      <c r="A1095" s="17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IFERROR(VLOOKUP(B1095,'Diciembre 2023'!$B$2:$G$5822,4,0),"")</f>
        <v>ACTPETS</v>
      </c>
    </row>
    <row r="1096" spans="1:7" x14ac:dyDescent="0.25">
      <c r="A1096" s="17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IFERROR(VLOOKUP(B1096,'Diciembre 2023'!$B$2:$G$5822,4,0),"")</f>
        <v>APA_PC</v>
      </c>
    </row>
    <row r="1097" spans="1:7" x14ac:dyDescent="0.25">
      <c r="A1097" s="17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IFERROR(VLOOKUP(B1097,'Diciembre 2023'!$B$2:$G$5822,4,0),"")</f>
        <v>ATAPET</v>
      </c>
    </row>
    <row r="1098" spans="1:7" x14ac:dyDescent="0.25">
      <c r="A1098" s="17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IFERROR(VLOOKUP(B1098,'Diciembre 2023'!$B$2:$G$5822,4,0),"")</f>
        <v>APA_PC</v>
      </c>
    </row>
    <row r="1099" spans="1:7" x14ac:dyDescent="0.25">
      <c r="A1099" s="17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IFERROR(VLOOKUP(B1099,'Diciembre 2023'!$B$2:$G$5822,4,0),"")</f>
        <v>APAPET</v>
      </c>
    </row>
    <row r="1100" spans="1:7" x14ac:dyDescent="0.25">
      <c r="A1100" s="17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IFERROR(VLOOKUP(B1100,'Diciembre 2023'!$B$2:$G$5822,4,0),"")</f>
        <v>APAPET</v>
      </c>
    </row>
    <row r="1101" spans="1:7" x14ac:dyDescent="0.25">
      <c r="A1101" s="17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IFERROR(VLOOKUP(B1101,'Diciembre 2023'!$B$2:$G$5822,4,0),"")</f>
        <v>APAPET</v>
      </c>
    </row>
    <row r="1102" spans="1:7" x14ac:dyDescent="0.25">
      <c r="A1102" s="17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IFERROR(VLOOKUP(B1102,'Diciembre 2023'!$B$2:$G$5822,4,0),"")</f>
        <v>APA_PC</v>
      </c>
    </row>
    <row r="1103" spans="1:7" x14ac:dyDescent="0.25">
      <c r="A1103" s="17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IFERROR(VLOOKUP(B1103,'Diciembre 2023'!$B$2:$G$5822,4,0),"")</f>
        <v>ACTPETS</v>
      </c>
    </row>
    <row r="1104" spans="1:7" x14ac:dyDescent="0.25">
      <c r="A1104" s="17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IFERROR(VLOOKUP(B1104,'Diciembre 2023'!$B$2:$G$5822,4,0),"")</f>
        <v>APA_PC</v>
      </c>
    </row>
    <row r="1105" spans="1:7" x14ac:dyDescent="0.25">
      <c r="A1105" s="17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IFERROR(VLOOKUP(B1105,'Diciembre 2023'!$B$2:$G$5822,4,0),"")</f>
        <v>APAPET</v>
      </c>
    </row>
    <row r="1106" spans="1:7" x14ac:dyDescent="0.25">
      <c r="A1106" s="17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IFERROR(VLOOKUP(B1106,'Diciembre 2023'!$B$2:$G$5822,4,0),"")</f>
        <v>APA_PC</v>
      </c>
    </row>
    <row r="1107" spans="1:7" x14ac:dyDescent="0.25">
      <c r="A1107" s="17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IFERROR(VLOOKUP(B1107,'Diciembre 2023'!$B$2:$G$5822,4,0),"")</f>
        <v>ATAPET</v>
      </c>
    </row>
    <row r="1108" spans="1:7" x14ac:dyDescent="0.25">
      <c r="A1108" s="17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IFERROR(VLOOKUP(B1108,'Diciembre 2023'!$B$2:$G$5822,4,0),"")</f>
        <v>APA_PC</v>
      </c>
    </row>
    <row r="1109" spans="1:7" x14ac:dyDescent="0.25">
      <c r="A1109" s="17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IFERROR(VLOOKUP(B1109,'Diciembre 2023'!$B$2:$G$5822,4,0),"")</f>
        <v>APA_PC</v>
      </c>
    </row>
    <row r="1110" spans="1:7" x14ac:dyDescent="0.25">
      <c r="A1110" s="17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IFERROR(VLOOKUP(B1110,'Diciembre 2023'!$B$2:$G$5822,4,0),"")</f>
        <v>APA_PC</v>
      </c>
    </row>
    <row r="1111" spans="1:7" x14ac:dyDescent="0.25">
      <c r="A1111" s="17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IFERROR(VLOOKUP(B1111,'Diciembre 2023'!$B$2:$G$5822,4,0),"")</f>
        <v>APA_PC</v>
      </c>
    </row>
    <row r="1112" spans="1:7" x14ac:dyDescent="0.25">
      <c r="A1112" s="17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IFERROR(VLOOKUP(B1112,'Diciembre 2023'!$B$2:$G$5822,4,0),"")</f>
        <v>APA_PC</v>
      </c>
    </row>
    <row r="1113" spans="1:7" x14ac:dyDescent="0.25">
      <c r="A1113" s="17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IFERROR(VLOOKUP(B1113,'Diciembre 2023'!$B$2:$G$5822,4,0),"")</f>
        <v>APA_PC</v>
      </c>
    </row>
    <row r="1114" spans="1:7" x14ac:dyDescent="0.25">
      <c r="A1114" s="17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IFERROR(VLOOKUP(B1114,'Diciembre 2023'!$B$2:$G$5822,4,0),"")</f>
        <v>APA_PC</v>
      </c>
    </row>
    <row r="1115" spans="1:7" x14ac:dyDescent="0.25">
      <c r="A1115" s="17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IFERROR(VLOOKUP(B1115,'Diciembre 2023'!$B$2:$G$5822,4,0),"")</f>
        <v>APA_PC</v>
      </c>
    </row>
    <row r="1116" spans="1:7" x14ac:dyDescent="0.25">
      <c r="A1116" s="17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IFERROR(VLOOKUP(B1116,'Diciembre 2023'!$B$2:$G$5822,4,0),"")</f>
        <v>APAPET</v>
      </c>
    </row>
    <row r="1117" spans="1:7" x14ac:dyDescent="0.25">
      <c r="A1117" s="17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IFERROR(VLOOKUP(B1117,'Diciembre 2023'!$B$2:$G$5822,4,0),"")</f>
        <v>APA_PC</v>
      </c>
    </row>
    <row r="1118" spans="1:7" x14ac:dyDescent="0.25">
      <c r="A1118" s="17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IFERROR(VLOOKUP(B1118,'Diciembre 2023'!$B$2:$G$5822,4,0),"")</f>
        <v>ACTPETS</v>
      </c>
    </row>
    <row r="1119" spans="1:7" x14ac:dyDescent="0.25">
      <c r="A1119" s="17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IFERROR(VLOOKUP(B1119,'Diciembre 2023'!$B$2:$G$5822,4,0),"")</f>
        <v>BM</v>
      </c>
    </row>
    <row r="1120" spans="1:7" x14ac:dyDescent="0.25">
      <c r="A1120" s="17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IFERROR(VLOOKUP(B1120,'Diciembre 2023'!$B$2:$G$5822,4,0),"")</f>
        <v>ACTPETS</v>
      </c>
    </row>
    <row r="1121" spans="1:7" x14ac:dyDescent="0.25">
      <c r="A1121" s="17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IFERROR(VLOOKUP(B1121,'Diciembre 2023'!$B$2:$G$5822,4,0),"")</f>
        <v>APA_PC</v>
      </c>
    </row>
    <row r="1122" spans="1:7" x14ac:dyDescent="0.25">
      <c r="A1122" s="17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IFERROR(VLOOKUP(B1122,'Diciembre 2023'!$B$2:$G$5822,4,0),"")</f>
        <v>APA_PC</v>
      </c>
    </row>
    <row r="1123" spans="1:7" x14ac:dyDescent="0.25">
      <c r="A1123" s="17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IFERROR(VLOOKUP(B1123,'Diciembre 2023'!$B$2:$G$5822,4,0),"")</f>
        <v>ACTPETS</v>
      </c>
    </row>
    <row r="1124" spans="1:7" x14ac:dyDescent="0.25">
      <c r="A1124" s="17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IFERROR(VLOOKUP(B1124,'Diciembre 2023'!$B$2:$G$5822,4,0),"")</f>
        <v>ATAPET</v>
      </c>
    </row>
    <row r="1125" spans="1:7" x14ac:dyDescent="0.25">
      <c r="A1125" s="17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IFERROR(VLOOKUP(B1125,'Diciembre 2023'!$B$2:$G$5822,4,0),"")</f>
        <v>ACTPETS</v>
      </c>
    </row>
    <row r="1126" spans="1:7" x14ac:dyDescent="0.25">
      <c r="A1126" s="17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IFERROR(VLOOKUP(B1126,'Diciembre 2023'!$B$2:$G$5822,4,0),"")</f>
        <v>ACTPETS</v>
      </c>
    </row>
    <row r="1127" spans="1:7" x14ac:dyDescent="0.25">
      <c r="A1127" s="17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IFERROR(VLOOKUP(B1127,'Diciembre 2023'!$B$2:$G$5822,4,0),"")</f>
        <v>APA_PC</v>
      </c>
    </row>
    <row r="1128" spans="1:7" x14ac:dyDescent="0.25">
      <c r="A1128" s="17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IFERROR(VLOOKUP(B1128,'Diciembre 2023'!$B$2:$G$5822,4,0),"")</f>
        <v>APA_PC</v>
      </c>
    </row>
    <row r="1129" spans="1:7" x14ac:dyDescent="0.25">
      <c r="A1129" s="17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IFERROR(VLOOKUP(B1129,'Diciembre 2023'!$B$2:$G$5822,4,0),"")</f>
        <v>APA_PC</v>
      </c>
    </row>
    <row r="1130" spans="1:7" x14ac:dyDescent="0.25">
      <c r="A1130" s="17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IFERROR(VLOOKUP(B1130,'Diciembre 2023'!$B$2:$G$5822,4,0),"")</f>
        <v>APA_PC</v>
      </c>
    </row>
    <row r="1131" spans="1:7" x14ac:dyDescent="0.25">
      <c r="A1131" s="17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IFERROR(VLOOKUP(B1131,'Diciembre 2023'!$B$2:$G$5822,4,0),"")</f>
        <v>APA_PC</v>
      </c>
    </row>
    <row r="1132" spans="1:7" x14ac:dyDescent="0.25">
      <c r="A1132" s="17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IFERROR(VLOOKUP(B1132,'Diciembre 2023'!$B$2:$G$5822,4,0),"")</f>
        <v>ACTPETS</v>
      </c>
    </row>
    <row r="1133" spans="1:7" x14ac:dyDescent="0.25">
      <c r="A1133" s="17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IFERROR(VLOOKUP(B1133,'Diciembre 2023'!$B$2:$G$5822,4,0),"")</f>
        <v>ACTPETS</v>
      </c>
    </row>
    <row r="1134" spans="1:7" x14ac:dyDescent="0.25">
      <c r="A1134" s="17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IFERROR(VLOOKUP(B1134,'Diciembre 2023'!$B$2:$G$5822,4,0),"")</f>
        <v>ACTPETS</v>
      </c>
    </row>
    <row r="1135" spans="1:7" x14ac:dyDescent="0.25">
      <c r="A1135" s="17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IFERROR(VLOOKUP(B1135,'Diciembre 2023'!$B$2:$G$5822,4,0),"")</f>
        <v>APA_PC</v>
      </c>
    </row>
    <row r="1136" spans="1:7" x14ac:dyDescent="0.25">
      <c r="A1136" s="17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IFERROR(VLOOKUP(B1136,'Diciembre 2023'!$B$2:$G$5822,4,0),"")</f>
        <v>APAPET</v>
      </c>
    </row>
    <row r="1137" spans="1:7" x14ac:dyDescent="0.25">
      <c r="A1137" s="17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IFERROR(VLOOKUP(B1137,'Diciembre 2023'!$B$2:$G$5822,4,0),"")</f>
        <v>ACTPETS</v>
      </c>
    </row>
    <row r="1138" spans="1:7" x14ac:dyDescent="0.25">
      <c r="A1138" s="17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IFERROR(VLOOKUP(B1138,'Diciembre 2023'!$B$2:$G$5822,4,0),"")</f>
        <v>APAPET</v>
      </c>
    </row>
    <row r="1139" spans="1:7" x14ac:dyDescent="0.25">
      <c r="A1139" s="17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IFERROR(VLOOKUP(B1139,'Diciembre 2023'!$B$2:$G$5822,4,0),"")</f>
        <v>BM</v>
      </c>
    </row>
    <row r="1140" spans="1:7" x14ac:dyDescent="0.25">
      <c r="A1140" s="17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IFERROR(VLOOKUP(B1140,'Diciembre 2023'!$B$2:$G$5822,4,0),"")</f>
        <v>APA_PC</v>
      </c>
    </row>
    <row r="1141" spans="1:7" x14ac:dyDescent="0.25">
      <c r="A1141" s="17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IFERROR(VLOOKUP(B1141,'Diciembre 2023'!$B$2:$G$5822,4,0),"")</f>
        <v>APA_PC</v>
      </c>
    </row>
    <row r="1142" spans="1:7" x14ac:dyDescent="0.25">
      <c r="A1142" s="17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IFERROR(VLOOKUP(B1142,'Diciembre 2023'!$B$2:$G$5822,4,0),"")</f>
        <v>APA_PC</v>
      </c>
    </row>
    <row r="1143" spans="1:7" x14ac:dyDescent="0.25">
      <c r="A1143" s="17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IFERROR(VLOOKUP(B1143,'Diciembre 2023'!$B$2:$G$5822,4,0),"")</f>
        <v>BM</v>
      </c>
    </row>
    <row r="1144" spans="1:7" x14ac:dyDescent="0.25">
      <c r="A1144" s="17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IFERROR(VLOOKUP(B1144,'Diciembre 2023'!$B$2:$G$5822,4,0),"")</f>
        <v>BM</v>
      </c>
    </row>
    <row r="1145" spans="1:7" x14ac:dyDescent="0.25">
      <c r="A1145" s="17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IFERROR(VLOOKUP(B1145,'Diciembre 2023'!$B$2:$G$5822,4,0),"")</f>
        <v>APA_PC</v>
      </c>
    </row>
    <row r="1146" spans="1:7" x14ac:dyDescent="0.25">
      <c r="A1146" s="17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IFERROR(VLOOKUP(B1146,'Diciembre 2023'!$B$2:$G$5822,4,0),"")</f>
        <v>ACTPETS</v>
      </c>
    </row>
    <row r="1147" spans="1:7" x14ac:dyDescent="0.25">
      <c r="A1147" s="17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IFERROR(VLOOKUP(B1147,'Diciembre 2023'!$B$2:$G$5822,4,0),"")</f>
        <v>APAPET</v>
      </c>
    </row>
    <row r="1148" spans="1:7" x14ac:dyDescent="0.25">
      <c r="A1148" s="17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IFERROR(VLOOKUP(B1148,'Diciembre 2023'!$B$2:$G$5822,4,0),"")</f>
        <v>APAPET</v>
      </c>
    </row>
    <row r="1149" spans="1:7" x14ac:dyDescent="0.25">
      <c r="A1149" s="17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IFERROR(VLOOKUP(B1149,'Diciembre 2023'!$B$2:$G$5822,4,0),"")</f>
        <v>APA_PC</v>
      </c>
    </row>
    <row r="1150" spans="1:7" x14ac:dyDescent="0.25">
      <c r="A1150" s="17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IFERROR(VLOOKUP(B1150,'Diciembre 2023'!$B$2:$G$5822,4,0),"")</f>
        <v>ACTPETS</v>
      </c>
    </row>
    <row r="1151" spans="1:7" x14ac:dyDescent="0.25">
      <c r="A1151" s="17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IFERROR(VLOOKUP(B1151,'Diciembre 2023'!$B$2:$G$5822,4,0),"")</f>
        <v>ACTPETS</v>
      </c>
    </row>
    <row r="1152" spans="1:7" x14ac:dyDescent="0.25">
      <c r="A1152" s="17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IFERROR(VLOOKUP(B1152,'Diciembre 2023'!$B$2:$G$5822,4,0),"")</f>
        <v>APAPET</v>
      </c>
    </row>
    <row r="1153" spans="1:7" x14ac:dyDescent="0.25">
      <c r="A1153" s="17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IFERROR(VLOOKUP(B1153,'Diciembre 2023'!$B$2:$G$5822,4,0),"")</f>
        <v>ACTPETS</v>
      </c>
    </row>
    <row r="1154" spans="1:7" x14ac:dyDescent="0.25">
      <c r="A1154" s="17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IFERROR(VLOOKUP(B1154,'Diciembre 2023'!$B$2:$G$5822,4,0),"")</f>
        <v>APA_PC</v>
      </c>
    </row>
    <row r="1155" spans="1:7" x14ac:dyDescent="0.25">
      <c r="A1155" s="17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IFERROR(VLOOKUP(B1155,'Diciembre 2023'!$B$2:$G$5822,4,0),"")</f>
        <v>APA_PC</v>
      </c>
    </row>
    <row r="1156" spans="1:7" x14ac:dyDescent="0.25">
      <c r="A1156" s="17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IFERROR(VLOOKUP(B1156,'Diciembre 2023'!$B$2:$G$5822,4,0),"")</f>
        <v>ACTPETS</v>
      </c>
    </row>
    <row r="1157" spans="1:7" x14ac:dyDescent="0.25">
      <c r="A1157" s="17"/>
      <c r="B1157" s="4" t="s">
        <v>1049</v>
      </c>
      <c r="C1157" s="4" t="s">
        <v>14</v>
      </c>
      <c r="D1157" s="4" t="s">
        <v>15</v>
      </c>
      <c r="E1157" s="4" t="s">
        <v>16</v>
      </c>
      <c r="F1157" s="4" t="s">
        <v>14</v>
      </c>
      <c r="G1157" s="5" t="str">
        <f>IFERROR(VLOOKUP(B1157,'Diciembre 2023'!$B$2:$G$5822,4,0),"")</f>
        <v>ATAPET</v>
      </c>
    </row>
    <row r="1158" spans="1:7" x14ac:dyDescent="0.25">
      <c r="A1158" s="17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IFERROR(VLOOKUP(B1158,'Diciembre 2023'!$B$2:$G$5822,4,0),"")</f>
        <v>ACTPETS</v>
      </c>
    </row>
    <row r="1159" spans="1:7" x14ac:dyDescent="0.25">
      <c r="A1159" s="17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IFERROR(VLOOKUP(B1159,'Diciembre 2023'!$B$2:$G$5822,4,0),"")</f>
        <v>APA_PC</v>
      </c>
    </row>
    <row r="1160" spans="1:7" x14ac:dyDescent="0.25">
      <c r="A1160" s="17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IFERROR(VLOOKUP(B1160,'Diciembre 2023'!$B$2:$G$5822,4,0),"")</f>
        <v>APAPET</v>
      </c>
    </row>
    <row r="1161" spans="1:7" x14ac:dyDescent="0.25">
      <c r="A1161" s="17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IFERROR(VLOOKUP(B1161,'Diciembre 2023'!$B$2:$G$5822,4,0),"")</f>
        <v>APA_PC</v>
      </c>
    </row>
    <row r="1162" spans="1:7" x14ac:dyDescent="0.25">
      <c r="A1162" s="17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IFERROR(VLOOKUP(B1162,'Diciembre 2023'!$B$2:$G$5822,4,0),"")</f>
        <v>APA_PC</v>
      </c>
    </row>
    <row r="1163" spans="1:7" x14ac:dyDescent="0.25">
      <c r="A1163" s="17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IFERROR(VLOOKUP(B1163,'Diciembre 2023'!$B$2:$G$5822,4,0),"")</f>
        <v>APAPET</v>
      </c>
    </row>
    <row r="1164" spans="1:7" x14ac:dyDescent="0.25">
      <c r="A1164" s="17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IFERROR(VLOOKUP(B1164,'Diciembre 2023'!$B$2:$G$5822,4,0),"")</f>
        <v>APA_PC</v>
      </c>
    </row>
    <row r="1165" spans="1:7" x14ac:dyDescent="0.25">
      <c r="A1165" s="17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IFERROR(VLOOKUP(B1165,'Diciembre 2023'!$B$2:$G$5822,4,0),"")</f>
        <v>APA_PC</v>
      </c>
    </row>
    <row r="1166" spans="1:7" x14ac:dyDescent="0.25">
      <c r="A1166" s="17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IFERROR(VLOOKUP(B1166,'Diciembre 2023'!$B$2:$G$5822,4,0),"")</f>
        <v>INACTPETS</v>
      </c>
    </row>
    <row r="1167" spans="1:7" x14ac:dyDescent="0.25">
      <c r="A1167" s="17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IFERROR(VLOOKUP(B1167,'Diciembre 2023'!$B$2:$G$5822,4,0),"")</f>
        <v>ACTPETS</v>
      </c>
    </row>
    <row r="1168" spans="1:7" x14ac:dyDescent="0.25">
      <c r="A1168" s="17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IFERROR(VLOOKUP(B1168,'Diciembre 2023'!$B$2:$G$5822,4,0),"")</f>
        <v>APA_PC</v>
      </c>
    </row>
    <row r="1169" spans="1:7" x14ac:dyDescent="0.25">
      <c r="A1169" s="17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IFERROR(VLOOKUP(B1169,'Diciembre 2023'!$B$2:$G$5822,4,0),"")</f>
        <v>APA_PC</v>
      </c>
    </row>
    <row r="1170" spans="1:7" x14ac:dyDescent="0.25">
      <c r="A1170" s="17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IFERROR(VLOOKUP(B1170,'Diciembre 2023'!$B$2:$G$5822,4,0),"")</f>
        <v>ACTPETS</v>
      </c>
    </row>
    <row r="1171" spans="1:7" x14ac:dyDescent="0.25">
      <c r="A1171" s="17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IFERROR(VLOOKUP(B1171,'Diciembre 2023'!$B$2:$G$5822,4,0),"")</f>
        <v>APA_PC</v>
      </c>
    </row>
    <row r="1172" spans="1:7" x14ac:dyDescent="0.25">
      <c r="A1172" s="17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IFERROR(VLOOKUP(B1172,'Diciembre 2023'!$B$2:$G$5822,4,0),"")</f>
        <v>ATAPET</v>
      </c>
    </row>
    <row r="1173" spans="1:7" x14ac:dyDescent="0.25">
      <c r="A1173" s="17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IFERROR(VLOOKUP(B1173,'Diciembre 2023'!$B$2:$G$5822,4,0),"")</f>
        <v>APA_PC</v>
      </c>
    </row>
    <row r="1174" spans="1:7" x14ac:dyDescent="0.25">
      <c r="A1174" s="17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IFERROR(VLOOKUP(B1174,'Diciembre 2023'!$B$2:$G$5822,4,0),"")</f>
        <v>ACTPETS</v>
      </c>
    </row>
    <row r="1175" spans="1:7" x14ac:dyDescent="0.25">
      <c r="A1175" s="17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IFERROR(VLOOKUP(B1175,'Diciembre 2023'!$B$2:$G$5822,4,0),"")</f>
        <v>APA_PC</v>
      </c>
    </row>
    <row r="1176" spans="1:7" x14ac:dyDescent="0.25">
      <c r="A1176" s="17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IFERROR(VLOOKUP(B1176,'Diciembre 2023'!$B$2:$G$5822,4,0),"")</f>
        <v>ATAPET</v>
      </c>
    </row>
    <row r="1177" spans="1:7" x14ac:dyDescent="0.25">
      <c r="A1177" s="17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IFERROR(VLOOKUP(B1177,'Diciembre 2023'!$B$2:$G$5822,4,0),"")</f>
        <v>APAPET</v>
      </c>
    </row>
    <row r="1178" spans="1:7" x14ac:dyDescent="0.25">
      <c r="A1178" s="17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IFERROR(VLOOKUP(B1178,'Diciembre 2023'!$B$2:$G$5822,4,0),"")</f>
        <v>APAPET</v>
      </c>
    </row>
    <row r="1179" spans="1:7" x14ac:dyDescent="0.25">
      <c r="A1179" s="17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IFERROR(VLOOKUP(B1179,'Diciembre 2023'!$B$2:$G$5822,4,0),"")</f>
        <v>DPAPET</v>
      </c>
    </row>
    <row r="1180" spans="1:7" x14ac:dyDescent="0.25">
      <c r="A1180" s="17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IFERROR(VLOOKUP(B1180,'Diciembre 2023'!$B$2:$G$5822,4,0),"")</f>
        <v>ACTPETS</v>
      </c>
    </row>
    <row r="1181" spans="1:7" x14ac:dyDescent="0.25">
      <c r="A1181" s="17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IFERROR(VLOOKUP(B1181,'Diciembre 2023'!$B$2:$G$5822,4,0),"")</f>
        <v>ACTPETS</v>
      </c>
    </row>
    <row r="1182" spans="1:7" x14ac:dyDescent="0.25">
      <c r="A1182" s="17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IFERROR(VLOOKUP(B1182,'Diciembre 2023'!$B$2:$G$5822,4,0),"")</f>
        <v>APAPET</v>
      </c>
    </row>
    <row r="1183" spans="1:7" x14ac:dyDescent="0.25">
      <c r="A1183" s="17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IFERROR(VLOOKUP(B1183,'Diciembre 2023'!$B$2:$G$5822,4,0),"")</f>
        <v>APA_PC</v>
      </c>
    </row>
    <row r="1184" spans="1:7" x14ac:dyDescent="0.25">
      <c r="A1184" s="17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IFERROR(VLOOKUP(B1184,'Diciembre 2023'!$B$2:$G$5822,4,0),"")</f>
        <v>APAPET</v>
      </c>
    </row>
    <row r="1185" spans="1:7" x14ac:dyDescent="0.25">
      <c r="A1185" s="17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IFERROR(VLOOKUP(B1185,'Diciembre 2023'!$B$2:$G$5822,4,0),"")</f>
        <v>ACTPETS</v>
      </c>
    </row>
    <row r="1186" spans="1:7" x14ac:dyDescent="0.25">
      <c r="A1186" s="17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IFERROR(VLOOKUP(B1186,'Diciembre 2023'!$B$2:$G$5822,4,0),"")</f>
        <v>APA_PC</v>
      </c>
    </row>
    <row r="1187" spans="1:7" x14ac:dyDescent="0.25">
      <c r="A1187" s="17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IFERROR(VLOOKUP(B1187,'Diciembre 2023'!$B$2:$G$5822,4,0),"")</f>
        <v>BM</v>
      </c>
    </row>
    <row r="1188" spans="1:7" x14ac:dyDescent="0.25">
      <c r="A1188" s="17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IFERROR(VLOOKUP(B1188,'Diciembre 2023'!$B$2:$G$5822,4,0),"")</f>
        <v>APA_PC</v>
      </c>
    </row>
    <row r="1189" spans="1:7" x14ac:dyDescent="0.25">
      <c r="A1189" s="17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IFERROR(VLOOKUP(B1189,'Diciembre 2023'!$B$2:$G$5822,4,0),"")</f>
        <v>BM</v>
      </c>
    </row>
    <row r="1190" spans="1:7" x14ac:dyDescent="0.25">
      <c r="A1190" s="17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IFERROR(VLOOKUP(B1190,'Diciembre 2023'!$B$2:$G$5822,4,0),"")</f>
        <v>APAPET</v>
      </c>
    </row>
    <row r="1191" spans="1:7" x14ac:dyDescent="0.25">
      <c r="A1191" s="17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IFERROR(VLOOKUP(B1191,'Diciembre 2023'!$B$2:$G$5822,4,0),"")</f>
        <v>APA_PC</v>
      </c>
    </row>
    <row r="1192" spans="1:7" x14ac:dyDescent="0.25">
      <c r="A1192" s="17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IFERROR(VLOOKUP(B1192,'Diciembre 2023'!$B$2:$G$5822,4,0),"")</f>
        <v>APA_PC</v>
      </c>
    </row>
    <row r="1193" spans="1:7" x14ac:dyDescent="0.25">
      <c r="A1193" s="17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IFERROR(VLOOKUP(B1193,'Diciembre 2023'!$B$2:$G$5822,4,0),"")</f>
        <v>DPAPET</v>
      </c>
    </row>
    <row r="1194" spans="1:7" x14ac:dyDescent="0.25">
      <c r="A1194" s="17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IFERROR(VLOOKUP(B1194,'Diciembre 2023'!$B$2:$G$5822,4,0),"")</f>
        <v>ACTPETS</v>
      </c>
    </row>
    <row r="1195" spans="1:7" x14ac:dyDescent="0.25">
      <c r="A1195" s="17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IFERROR(VLOOKUP(B1195,'Diciembre 2023'!$B$2:$G$5822,4,0),"")</f>
        <v>ATAPET</v>
      </c>
    </row>
    <row r="1196" spans="1:7" x14ac:dyDescent="0.25">
      <c r="A1196" s="17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IFERROR(VLOOKUP(B1196,'Diciembre 2023'!$B$2:$G$5822,4,0),"")</f>
        <v>APA_CNPC</v>
      </c>
    </row>
    <row r="1197" spans="1:7" x14ac:dyDescent="0.25">
      <c r="A1197" s="17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IFERROR(VLOOKUP(B1197,'Diciembre 2023'!$B$2:$G$5822,4,0),"")</f>
        <v>APA_PC</v>
      </c>
    </row>
    <row r="1198" spans="1:7" x14ac:dyDescent="0.25">
      <c r="A1198" s="17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IFERROR(VLOOKUP(B1198,'Diciembre 2023'!$B$2:$G$5822,4,0),"")</f>
        <v>ACTPETS</v>
      </c>
    </row>
    <row r="1199" spans="1:7" x14ac:dyDescent="0.25">
      <c r="A1199" s="17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IFERROR(VLOOKUP(B1199,'Diciembre 2023'!$B$2:$G$5822,4,0),"")</f>
        <v>INACTPETS</v>
      </c>
    </row>
    <row r="1200" spans="1:7" x14ac:dyDescent="0.25">
      <c r="A1200" s="17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IFERROR(VLOOKUP(B1200,'Diciembre 2023'!$B$2:$G$5822,4,0),"")</f>
        <v>ACTPETS</v>
      </c>
    </row>
    <row r="1201" spans="1:7" x14ac:dyDescent="0.25">
      <c r="A1201" s="17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IFERROR(VLOOKUP(B1201,'Diciembre 2023'!$B$2:$G$5822,4,0),"")</f>
        <v>ACTPETS</v>
      </c>
    </row>
    <row r="1202" spans="1:7" x14ac:dyDescent="0.25">
      <c r="A1202" s="17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IFERROR(VLOOKUP(B1202,'Diciembre 2023'!$B$2:$G$5822,4,0),"")</f>
        <v>APA_PC</v>
      </c>
    </row>
    <row r="1203" spans="1:7" x14ac:dyDescent="0.25">
      <c r="A1203" s="17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IFERROR(VLOOKUP(B1203,'Diciembre 2023'!$B$2:$G$5822,4,0),"")</f>
        <v>ACTPETS</v>
      </c>
    </row>
    <row r="1204" spans="1:7" x14ac:dyDescent="0.25">
      <c r="A1204" s="17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IFERROR(VLOOKUP(B1204,'Diciembre 2023'!$B$2:$G$5822,4,0),"")</f>
        <v>ACTPETS</v>
      </c>
    </row>
    <row r="1205" spans="1:7" x14ac:dyDescent="0.25">
      <c r="A1205" s="17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IFERROR(VLOOKUP(B1205,'Diciembre 2023'!$B$2:$G$5822,4,0),"")</f>
        <v>BM</v>
      </c>
    </row>
    <row r="1206" spans="1:7" x14ac:dyDescent="0.25">
      <c r="A1206" s="17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IFERROR(VLOOKUP(B1206,'Diciembre 2023'!$B$2:$G$5822,4,0),"")</f>
        <v>APA_PC</v>
      </c>
    </row>
    <row r="1207" spans="1:7" x14ac:dyDescent="0.25">
      <c r="A1207" s="17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IFERROR(VLOOKUP(B1207,'Diciembre 2023'!$B$2:$G$5822,4,0),"")</f>
        <v>APA_PC</v>
      </c>
    </row>
    <row r="1208" spans="1:7" x14ac:dyDescent="0.25">
      <c r="A1208" s="17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IFERROR(VLOOKUP(B1208,'Diciembre 2023'!$B$2:$G$5822,4,0),"")</f>
        <v>BM</v>
      </c>
    </row>
    <row r="1209" spans="1:7" x14ac:dyDescent="0.25">
      <c r="A1209" s="17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IFERROR(VLOOKUP(B1209,'Diciembre 2023'!$B$2:$G$5822,4,0),"")</f>
        <v>APAPET</v>
      </c>
    </row>
    <row r="1210" spans="1:7" x14ac:dyDescent="0.25">
      <c r="A1210" s="17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IFERROR(VLOOKUP(B1210,'Diciembre 2023'!$B$2:$G$5822,4,0),"")</f>
        <v>ATAPET</v>
      </c>
    </row>
    <row r="1211" spans="1:7" x14ac:dyDescent="0.25">
      <c r="A1211" s="17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IFERROR(VLOOKUP(B1211,'Diciembre 2023'!$B$2:$G$5822,4,0),"")</f>
        <v>APA_PC</v>
      </c>
    </row>
    <row r="1212" spans="1:7" x14ac:dyDescent="0.25">
      <c r="A1212" s="17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IFERROR(VLOOKUP(B1212,'Diciembre 2023'!$B$2:$G$5822,4,0),"")</f>
        <v>APAPET</v>
      </c>
    </row>
    <row r="1213" spans="1:7" x14ac:dyDescent="0.25">
      <c r="A1213" s="17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IFERROR(VLOOKUP(B1213,'Diciembre 2023'!$B$2:$G$5822,4,0),"")</f>
        <v>ACTPETS</v>
      </c>
    </row>
    <row r="1214" spans="1:7" x14ac:dyDescent="0.25">
      <c r="A1214" s="17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IFERROR(VLOOKUP(B1214,'Diciembre 2023'!$B$2:$G$5822,4,0),"")</f>
        <v>ACTPETS</v>
      </c>
    </row>
    <row r="1215" spans="1:7" x14ac:dyDescent="0.25">
      <c r="A1215" s="17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IFERROR(VLOOKUP(B1215,'Diciembre 2023'!$B$2:$G$5822,4,0),"")</f>
        <v>APA_PC</v>
      </c>
    </row>
    <row r="1216" spans="1:7" x14ac:dyDescent="0.25">
      <c r="A1216" s="17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IFERROR(VLOOKUP(B1216,'Diciembre 2023'!$B$2:$G$5822,4,0),"")</f>
        <v>APA_PC</v>
      </c>
    </row>
    <row r="1217" spans="1:7" x14ac:dyDescent="0.25">
      <c r="A1217" s="17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IFERROR(VLOOKUP(B1217,'Diciembre 2023'!$B$2:$G$5822,4,0),"")</f>
        <v>APA_PC</v>
      </c>
    </row>
    <row r="1218" spans="1:7" x14ac:dyDescent="0.25">
      <c r="A1218" s="17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IFERROR(VLOOKUP(B1218,'Diciembre 2023'!$B$2:$G$5822,4,0),"")</f>
        <v>APA_PC</v>
      </c>
    </row>
    <row r="1219" spans="1:7" x14ac:dyDescent="0.25">
      <c r="A1219" s="17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IFERROR(VLOOKUP(B1219,'Diciembre 2023'!$B$2:$G$5822,4,0),"")</f>
        <v>APAPET</v>
      </c>
    </row>
    <row r="1220" spans="1:7" x14ac:dyDescent="0.25">
      <c r="A1220" s="17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IFERROR(VLOOKUP(B1220,'Diciembre 2023'!$B$2:$G$5822,4,0),"")</f>
        <v>ACTPETS</v>
      </c>
    </row>
    <row r="1221" spans="1:7" x14ac:dyDescent="0.25">
      <c r="A1221" s="17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IFERROR(VLOOKUP(B1221,'Diciembre 2023'!$B$2:$G$5822,4,0),"")</f>
        <v>APAPET</v>
      </c>
    </row>
    <row r="1222" spans="1:7" x14ac:dyDescent="0.25">
      <c r="A1222" s="17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IFERROR(VLOOKUP(B1222,'Diciembre 2023'!$B$2:$G$5822,4,0),"")</f>
        <v>APAPET</v>
      </c>
    </row>
    <row r="1223" spans="1:7" x14ac:dyDescent="0.25">
      <c r="A1223" s="17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IFERROR(VLOOKUP(B1223,'Diciembre 2023'!$B$2:$G$5822,4,0),"")</f>
        <v>APA_PC</v>
      </c>
    </row>
    <row r="1224" spans="1:7" x14ac:dyDescent="0.25">
      <c r="A1224" s="17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IFERROR(VLOOKUP(B1224,'Diciembre 2023'!$B$2:$G$5822,4,0),"")</f>
        <v>APAPET</v>
      </c>
    </row>
    <row r="1225" spans="1:7" x14ac:dyDescent="0.25">
      <c r="A1225" s="17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IFERROR(VLOOKUP(B1225,'Diciembre 2023'!$B$2:$G$5822,4,0),"")</f>
        <v>APA_PC</v>
      </c>
    </row>
    <row r="1226" spans="1:7" x14ac:dyDescent="0.25">
      <c r="A1226" s="17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IFERROR(VLOOKUP(B1226,'Diciembre 2023'!$B$2:$G$5822,4,0),"")</f>
        <v>APA_PC</v>
      </c>
    </row>
    <row r="1227" spans="1:7" x14ac:dyDescent="0.25">
      <c r="A1227" s="17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IFERROR(VLOOKUP(B1227,'Diciembre 2023'!$B$2:$G$5822,4,0),"")</f>
        <v>APAPET</v>
      </c>
    </row>
    <row r="1228" spans="1:7" x14ac:dyDescent="0.25">
      <c r="A1228" s="17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IFERROR(VLOOKUP(B1228,'Diciembre 2023'!$B$2:$G$5822,4,0),"")</f>
        <v>BM</v>
      </c>
    </row>
    <row r="1229" spans="1:7" x14ac:dyDescent="0.25">
      <c r="A1229" s="17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IFERROR(VLOOKUP(B1229,'Diciembre 2023'!$B$2:$G$5822,4,0),"")</f>
        <v>BM</v>
      </c>
    </row>
    <row r="1230" spans="1:7" x14ac:dyDescent="0.25">
      <c r="A1230" s="17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IFERROR(VLOOKUP(B1230,'Diciembre 2023'!$B$2:$G$5822,4,0),"")</f>
        <v>ACTPETS</v>
      </c>
    </row>
    <row r="1231" spans="1:7" x14ac:dyDescent="0.25">
      <c r="A1231" s="17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IFERROR(VLOOKUP(B1231,'Diciembre 2023'!$B$2:$G$5822,4,0),"")</f>
        <v>APA_PC</v>
      </c>
    </row>
    <row r="1232" spans="1:7" x14ac:dyDescent="0.25">
      <c r="A1232" s="17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IFERROR(VLOOKUP(B1232,'Diciembre 2023'!$B$2:$G$5822,4,0),"")</f>
        <v>APA_PC</v>
      </c>
    </row>
    <row r="1233" spans="1:7" x14ac:dyDescent="0.25">
      <c r="A1233" s="17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IFERROR(VLOOKUP(B1233,'Diciembre 2023'!$B$2:$G$5822,4,0),"")</f>
        <v>APA_PC</v>
      </c>
    </row>
    <row r="1234" spans="1:7" x14ac:dyDescent="0.25">
      <c r="A1234" s="17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IFERROR(VLOOKUP(B1234,'Diciembre 2023'!$B$2:$G$5822,4,0),"")</f>
        <v>APA_PC</v>
      </c>
    </row>
    <row r="1235" spans="1:7" x14ac:dyDescent="0.25">
      <c r="A1235" s="17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IFERROR(VLOOKUP(B1235,'Diciembre 2023'!$B$2:$G$5822,4,0),"")</f>
        <v>APAPET</v>
      </c>
    </row>
    <row r="1236" spans="1:7" x14ac:dyDescent="0.25">
      <c r="A1236" s="17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IFERROR(VLOOKUP(B1236,'Diciembre 2023'!$B$2:$G$5822,4,0),"")</f>
        <v>APA_PC</v>
      </c>
    </row>
    <row r="1237" spans="1:7" x14ac:dyDescent="0.25">
      <c r="A1237" s="17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IFERROR(VLOOKUP(B1237,'Diciembre 2023'!$B$2:$G$5822,4,0),"")</f>
        <v>APAPET</v>
      </c>
    </row>
    <row r="1238" spans="1:7" x14ac:dyDescent="0.25">
      <c r="A1238" s="17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IFERROR(VLOOKUP(B1238,'Diciembre 2023'!$B$2:$G$5822,4,0),"")</f>
        <v>APA_PC</v>
      </c>
    </row>
    <row r="1239" spans="1:7" x14ac:dyDescent="0.25">
      <c r="A1239" s="17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IFERROR(VLOOKUP(B1239,'Diciembre 2023'!$B$2:$G$5822,4,0),"")</f>
        <v>APA_PC</v>
      </c>
    </row>
    <row r="1240" spans="1:7" x14ac:dyDescent="0.25">
      <c r="A1240" s="17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IFERROR(VLOOKUP(B1240,'Diciembre 2023'!$B$2:$G$5822,4,0),"")</f>
        <v>APA_PC</v>
      </c>
    </row>
    <row r="1241" spans="1:7" x14ac:dyDescent="0.25">
      <c r="A1241" s="17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IFERROR(VLOOKUP(B1241,'Diciembre 2023'!$B$2:$G$5822,4,0),"")</f>
        <v>APA_PC</v>
      </c>
    </row>
    <row r="1242" spans="1:7" x14ac:dyDescent="0.25">
      <c r="A1242" s="17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IFERROR(VLOOKUP(B1242,'Diciembre 2023'!$B$2:$G$5822,4,0),"")</f>
        <v>ACTPETS</v>
      </c>
    </row>
    <row r="1243" spans="1:7" x14ac:dyDescent="0.25">
      <c r="A1243" s="17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IFERROR(VLOOKUP(B1243,'Diciembre 2023'!$B$2:$G$5822,4,0),"")</f>
        <v>APAPET</v>
      </c>
    </row>
    <row r="1244" spans="1:7" x14ac:dyDescent="0.25">
      <c r="A1244" s="17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IFERROR(VLOOKUP(B1244,'Diciembre 2023'!$B$2:$G$5822,4,0),"")</f>
        <v>INACTPETS</v>
      </c>
    </row>
    <row r="1245" spans="1:7" x14ac:dyDescent="0.25">
      <c r="A1245" s="17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IFERROR(VLOOKUP(B1245,'Diciembre 2023'!$B$2:$G$5822,4,0),"")</f>
        <v>APA_PC</v>
      </c>
    </row>
    <row r="1246" spans="1:7" x14ac:dyDescent="0.25">
      <c r="A1246" s="17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IFERROR(VLOOKUP(B1246,'Diciembre 2023'!$B$2:$G$5822,4,0),"")</f>
        <v>BM</v>
      </c>
    </row>
    <row r="1247" spans="1:7" x14ac:dyDescent="0.25">
      <c r="A1247" s="17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IFERROR(VLOOKUP(B1247,'Diciembre 2023'!$B$2:$G$5822,4,0),"")</f>
        <v>APA_PC</v>
      </c>
    </row>
    <row r="1248" spans="1:7" x14ac:dyDescent="0.25">
      <c r="A1248" s="17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IFERROR(VLOOKUP(B1248,'Diciembre 2023'!$B$2:$G$5822,4,0),"")</f>
        <v>APAPET</v>
      </c>
    </row>
    <row r="1249" spans="1:7" x14ac:dyDescent="0.25">
      <c r="A1249" s="17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IFERROR(VLOOKUP(B1249,'Diciembre 2023'!$B$2:$G$5822,4,0),"")</f>
        <v>APA_PC</v>
      </c>
    </row>
    <row r="1250" spans="1:7" x14ac:dyDescent="0.25">
      <c r="A1250" s="17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IFERROR(VLOOKUP(B1250,'Diciembre 2023'!$B$2:$G$5822,4,0),"")</f>
        <v>PL</v>
      </c>
    </row>
    <row r="1251" spans="1:7" x14ac:dyDescent="0.25">
      <c r="A1251" s="17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IFERROR(VLOOKUP(B1251,'Diciembre 2023'!$B$2:$G$5822,4,0),"")</f>
        <v>ACTPETS</v>
      </c>
    </row>
    <row r="1252" spans="1:7" x14ac:dyDescent="0.25">
      <c r="A1252" s="17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IFERROR(VLOOKUP(B1252,'Diciembre 2023'!$B$2:$G$5822,4,0),"")</f>
        <v>ATAPET</v>
      </c>
    </row>
    <row r="1253" spans="1:7" x14ac:dyDescent="0.25">
      <c r="A1253" s="17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IFERROR(VLOOKUP(B1253,'Diciembre 2023'!$B$2:$G$5822,4,0),"")</f>
        <v>APA_PC</v>
      </c>
    </row>
    <row r="1254" spans="1:7" x14ac:dyDescent="0.25">
      <c r="A1254" s="17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IFERROR(VLOOKUP(B1254,'Diciembre 2023'!$B$2:$G$5822,4,0),"")</f>
        <v>APA_PC</v>
      </c>
    </row>
    <row r="1255" spans="1:7" x14ac:dyDescent="0.25">
      <c r="A1255" s="17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IFERROR(VLOOKUP(B1255,'Diciembre 2023'!$B$2:$G$5822,4,0),"")</f>
        <v>APA_PC</v>
      </c>
    </row>
    <row r="1256" spans="1:7" x14ac:dyDescent="0.25">
      <c r="A1256" s="17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IFERROR(VLOOKUP(B1256,'Diciembre 2023'!$B$2:$G$5822,4,0),"")</f>
        <v>ACTPETS</v>
      </c>
    </row>
    <row r="1257" spans="1:7" x14ac:dyDescent="0.25">
      <c r="A1257" s="17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IFERROR(VLOOKUP(B1257,'Diciembre 2023'!$B$2:$G$5822,4,0),"")</f>
        <v>APA_PC</v>
      </c>
    </row>
    <row r="1258" spans="1:7" x14ac:dyDescent="0.25">
      <c r="A1258" s="17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IFERROR(VLOOKUP(B1258,'Diciembre 2023'!$B$2:$G$5822,4,0),"")</f>
        <v>APAPET</v>
      </c>
    </row>
    <row r="1259" spans="1:7" x14ac:dyDescent="0.25">
      <c r="A1259" s="17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IFERROR(VLOOKUP(B1259,'Diciembre 2023'!$B$2:$G$5822,4,0),"")</f>
        <v>APA_PC</v>
      </c>
    </row>
    <row r="1260" spans="1:7" x14ac:dyDescent="0.25">
      <c r="A1260" s="17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IFERROR(VLOOKUP(B1260,'Diciembre 2023'!$B$2:$G$5822,4,0),"")</f>
        <v>ACTPETS</v>
      </c>
    </row>
    <row r="1261" spans="1:7" x14ac:dyDescent="0.25">
      <c r="A1261" s="17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IFERROR(VLOOKUP(B1261,'Diciembre 2023'!$B$2:$G$5822,4,0),"")</f>
        <v>APA_PC</v>
      </c>
    </row>
    <row r="1262" spans="1:7" x14ac:dyDescent="0.25">
      <c r="A1262" s="17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IFERROR(VLOOKUP(B1262,'Diciembre 2023'!$B$2:$G$5822,4,0),"")</f>
        <v>INACTBM</v>
      </c>
    </row>
    <row r="1263" spans="1:7" x14ac:dyDescent="0.25">
      <c r="A1263" s="17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IFERROR(VLOOKUP(B1263,'Diciembre 2023'!$B$2:$G$5822,4,0),"")</f>
        <v>ACTPETS</v>
      </c>
    </row>
    <row r="1264" spans="1:7" x14ac:dyDescent="0.25">
      <c r="A1264" s="17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IFERROR(VLOOKUP(B1264,'Diciembre 2023'!$B$2:$G$5822,4,0),"")</f>
        <v>ACTPETS</v>
      </c>
    </row>
    <row r="1265" spans="1:7" x14ac:dyDescent="0.25">
      <c r="A1265" s="17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IFERROR(VLOOKUP(B1265,'Diciembre 2023'!$B$2:$G$5822,4,0),"")</f>
        <v>APA_PC</v>
      </c>
    </row>
    <row r="1266" spans="1:7" x14ac:dyDescent="0.25">
      <c r="A1266" s="17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IFERROR(VLOOKUP(B1266,'Diciembre 2023'!$B$2:$G$5822,4,0),"")</f>
        <v>ATAPET</v>
      </c>
    </row>
    <row r="1267" spans="1:7" x14ac:dyDescent="0.25">
      <c r="A1267" s="17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IFERROR(VLOOKUP(B1267,'Diciembre 2023'!$B$2:$G$5822,4,0),"")</f>
        <v>INACTPETS</v>
      </c>
    </row>
    <row r="1268" spans="1:7" x14ac:dyDescent="0.25">
      <c r="A1268" s="17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IFERROR(VLOOKUP(B1268,'Diciembre 2023'!$B$2:$G$5822,4,0),"")</f>
        <v>ACTPETS</v>
      </c>
    </row>
    <row r="1269" spans="1:7" x14ac:dyDescent="0.25">
      <c r="A1269" s="17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IFERROR(VLOOKUP(B1269,'Diciembre 2023'!$B$2:$G$5822,4,0),"")</f>
        <v>APA_PC</v>
      </c>
    </row>
    <row r="1270" spans="1:7" x14ac:dyDescent="0.25">
      <c r="A1270" s="17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IFERROR(VLOOKUP(B1270,'Diciembre 2023'!$B$2:$G$5822,4,0),"")</f>
        <v>ACTPETS</v>
      </c>
    </row>
    <row r="1271" spans="1:7" x14ac:dyDescent="0.25">
      <c r="A1271" s="17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IFERROR(VLOOKUP(B1271,'Diciembre 2023'!$B$2:$G$5822,4,0),"")</f>
        <v>APA_PC</v>
      </c>
    </row>
    <row r="1272" spans="1:7" x14ac:dyDescent="0.25">
      <c r="A1272" s="17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IFERROR(VLOOKUP(B1272,'Diciembre 2023'!$B$2:$G$5822,4,0),"")</f>
        <v>ACTPETS</v>
      </c>
    </row>
    <row r="1273" spans="1:7" x14ac:dyDescent="0.25">
      <c r="A1273" s="17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IFERROR(VLOOKUP(B1273,'Diciembre 2023'!$B$2:$G$5822,4,0),"")</f>
        <v>APA_PC</v>
      </c>
    </row>
    <row r="1274" spans="1:7" x14ac:dyDescent="0.25">
      <c r="A1274" s="17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IFERROR(VLOOKUP(B1274,'Diciembre 2023'!$B$2:$G$5822,4,0),"")</f>
        <v>ATAPET</v>
      </c>
    </row>
    <row r="1275" spans="1:7" x14ac:dyDescent="0.25">
      <c r="A1275" s="17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IFERROR(VLOOKUP(B1275,'Diciembre 2023'!$B$2:$G$5822,4,0),"")</f>
        <v>APA_PC</v>
      </c>
    </row>
    <row r="1276" spans="1:7" x14ac:dyDescent="0.25">
      <c r="A1276" s="17"/>
      <c r="B1276" s="4" t="s">
        <v>1170</v>
      </c>
      <c r="C1276" s="4" t="s">
        <v>14</v>
      </c>
      <c r="D1276" s="4" t="s">
        <v>15</v>
      </c>
      <c r="E1276" s="4" t="s">
        <v>16</v>
      </c>
      <c r="F1276" s="4" t="s">
        <v>14</v>
      </c>
      <c r="G1276" s="5" t="str">
        <f>IFERROR(VLOOKUP(B1276,'Diciembre 2023'!$B$2:$G$5822,4,0),"")</f>
        <v>ATAPET</v>
      </c>
    </row>
    <row r="1277" spans="1:7" x14ac:dyDescent="0.25">
      <c r="A1277" s="17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IFERROR(VLOOKUP(B1277,'Diciembre 2023'!$B$2:$G$5822,4,0),"")</f>
        <v>APA_PC</v>
      </c>
    </row>
    <row r="1278" spans="1:7" x14ac:dyDescent="0.25">
      <c r="A1278" s="17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IFERROR(VLOOKUP(B1278,'Diciembre 2023'!$B$2:$G$5822,4,0),"")</f>
        <v>ACTPETS</v>
      </c>
    </row>
    <row r="1279" spans="1:7" x14ac:dyDescent="0.25">
      <c r="A1279" s="17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IFERROR(VLOOKUP(B1279,'Diciembre 2023'!$B$2:$G$5822,4,0),"")</f>
        <v>APAPET</v>
      </c>
    </row>
    <row r="1280" spans="1:7" x14ac:dyDescent="0.25">
      <c r="A1280" s="17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IFERROR(VLOOKUP(B1280,'Diciembre 2023'!$B$2:$G$5822,4,0),"")</f>
        <v>APA_PC</v>
      </c>
    </row>
    <row r="1281" spans="1:7" x14ac:dyDescent="0.25">
      <c r="A1281" s="17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IFERROR(VLOOKUP(B1281,'Diciembre 2023'!$B$2:$G$5822,4,0),"")</f>
        <v>APA_PC</v>
      </c>
    </row>
    <row r="1282" spans="1:7" x14ac:dyDescent="0.25">
      <c r="A1282" s="17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IFERROR(VLOOKUP(B1282,'Diciembre 2023'!$B$2:$G$5822,4,0),"")</f>
        <v>APA_PC</v>
      </c>
    </row>
    <row r="1283" spans="1:7" x14ac:dyDescent="0.25">
      <c r="A1283" s="17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IFERROR(VLOOKUP(B1283,'Diciembre 2023'!$B$2:$G$5822,4,0),"")</f>
        <v>APA_PC</v>
      </c>
    </row>
    <row r="1284" spans="1:7" x14ac:dyDescent="0.25">
      <c r="A1284" s="17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IFERROR(VLOOKUP(B1284,'Diciembre 2023'!$B$2:$G$5822,4,0),"")</f>
        <v>ATAPET</v>
      </c>
    </row>
    <row r="1285" spans="1:7" x14ac:dyDescent="0.25">
      <c r="A1285" s="17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IFERROR(VLOOKUP(B1285,'Diciembre 2023'!$B$2:$G$5822,4,0),"")</f>
        <v>ATAPET</v>
      </c>
    </row>
    <row r="1286" spans="1:7" x14ac:dyDescent="0.25">
      <c r="A1286" s="17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IFERROR(VLOOKUP(B1286,'Diciembre 2023'!$B$2:$G$5822,4,0),"")</f>
        <v>ACTPETS</v>
      </c>
    </row>
    <row r="1287" spans="1:7" x14ac:dyDescent="0.25">
      <c r="A1287" s="17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IFERROR(VLOOKUP(B1287,'Diciembre 2023'!$B$2:$G$5822,4,0),"")</f>
        <v>PL</v>
      </c>
    </row>
    <row r="1288" spans="1:7" x14ac:dyDescent="0.25">
      <c r="A1288" s="17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IFERROR(VLOOKUP(B1288,'Diciembre 2023'!$B$2:$G$5822,4,0),"")</f>
        <v>APA_PC</v>
      </c>
    </row>
    <row r="1289" spans="1:7" x14ac:dyDescent="0.25">
      <c r="A1289" s="17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IFERROR(VLOOKUP(B1289,'Diciembre 2023'!$B$2:$G$5822,4,0),"")</f>
        <v>APAPET</v>
      </c>
    </row>
    <row r="1290" spans="1:7" x14ac:dyDescent="0.25">
      <c r="A1290" s="17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IFERROR(VLOOKUP(B1290,'Diciembre 2023'!$B$2:$G$5822,4,0),"")</f>
        <v>APA_PC</v>
      </c>
    </row>
    <row r="1291" spans="1:7" x14ac:dyDescent="0.25">
      <c r="A1291" s="17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IFERROR(VLOOKUP(B1291,'Diciembre 2023'!$B$2:$G$5822,4,0),"")</f>
        <v>ATAPET</v>
      </c>
    </row>
    <row r="1292" spans="1:7" x14ac:dyDescent="0.25">
      <c r="A1292" s="17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IFERROR(VLOOKUP(B1292,'Diciembre 2023'!$B$2:$G$5822,4,0),"")</f>
        <v>ATAPET</v>
      </c>
    </row>
    <row r="1293" spans="1:7" x14ac:dyDescent="0.25">
      <c r="A1293" s="17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IFERROR(VLOOKUP(B1293,'Diciembre 2023'!$B$2:$G$5822,4,0),"")</f>
        <v>APA_PC</v>
      </c>
    </row>
    <row r="1294" spans="1:7" x14ac:dyDescent="0.25">
      <c r="A1294" s="17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IFERROR(VLOOKUP(B1294,'Diciembre 2023'!$B$2:$G$5822,4,0),"")</f>
        <v>ACTPETS</v>
      </c>
    </row>
    <row r="1295" spans="1:7" x14ac:dyDescent="0.25">
      <c r="A1295" s="17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IFERROR(VLOOKUP(B1295,'Diciembre 2023'!$B$2:$G$5822,4,0),"")</f>
        <v>BM</v>
      </c>
    </row>
    <row r="1296" spans="1:7" x14ac:dyDescent="0.25">
      <c r="A1296" s="17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IFERROR(VLOOKUP(B1296,'Diciembre 2023'!$B$2:$G$5822,4,0),"")</f>
        <v>ATAPET</v>
      </c>
    </row>
    <row r="1297" spans="1:7" x14ac:dyDescent="0.25">
      <c r="A1297" s="17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IFERROR(VLOOKUP(B1297,'Diciembre 2023'!$B$2:$G$5822,4,0),"")</f>
        <v>ACTPETS</v>
      </c>
    </row>
    <row r="1298" spans="1:7" x14ac:dyDescent="0.25">
      <c r="A1298" s="17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IFERROR(VLOOKUP(B1298,'Diciembre 2023'!$B$2:$G$5822,4,0),"")</f>
        <v>APAPET</v>
      </c>
    </row>
    <row r="1299" spans="1:7" x14ac:dyDescent="0.25">
      <c r="A1299" s="17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IFERROR(VLOOKUP(B1299,'Diciembre 2023'!$B$2:$G$5822,4,0),"")</f>
        <v>APAPET</v>
      </c>
    </row>
    <row r="1300" spans="1:7" x14ac:dyDescent="0.25">
      <c r="A1300" s="17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IFERROR(VLOOKUP(B1300,'Diciembre 2023'!$B$2:$G$5822,4,0),"")</f>
        <v>INACTBM</v>
      </c>
    </row>
    <row r="1301" spans="1:7" x14ac:dyDescent="0.25">
      <c r="A1301" s="17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IFERROR(VLOOKUP(B1301,'Diciembre 2023'!$B$2:$G$5822,4,0),"")</f>
        <v>BM</v>
      </c>
    </row>
    <row r="1302" spans="1:7" x14ac:dyDescent="0.25">
      <c r="A1302" s="17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IFERROR(VLOOKUP(B1302,'Diciembre 2023'!$B$2:$G$5822,4,0),"")</f>
        <v>APA_PC</v>
      </c>
    </row>
    <row r="1303" spans="1:7" x14ac:dyDescent="0.25">
      <c r="A1303" s="17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IFERROR(VLOOKUP(B1303,'Diciembre 2023'!$B$2:$G$5822,4,0),"")</f>
        <v>APA_PC</v>
      </c>
    </row>
    <row r="1304" spans="1:7" x14ac:dyDescent="0.25">
      <c r="A1304" s="17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IFERROR(VLOOKUP(B1304,'Diciembre 2023'!$B$2:$G$5822,4,0),"")</f>
        <v>APA_PC</v>
      </c>
    </row>
    <row r="1305" spans="1:7" x14ac:dyDescent="0.25">
      <c r="A1305" s="17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IFERROR(VLOOKUP(B1305,'Diciembre 2023'!$B$2:$G$5822,4,0),"")</f>
        <v>ACTPETS</v>
      </c>
    </row>
    <row r="1306" spans="1:7" x14ac:dyDescent="0.25">
      <c r="A1306" s="17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IFERROR(VLOOKUP(B1306,'Diciembre 2023'!$B$2:$G$5822,4,0),"")</f>
        <v>APA_PC</v>
      </c>
    </row>
    <row r="1307" spans="1:7" x14ac:dyDescent="0.25">
      <c r="A1307" s="17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IFERROR(VLOOKUP(B1307,'Diciembre 2023'!$B$2:$G$5822,4,0),"")</f>
        <v>APAPET</v>
      </c>
    </row>
    <row r="1308" spans="1:7" x14ac:dyDescent="0.25">
      <c r="A1308" s="17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IFERROR(VLOOKUP(B1308,'Diciembre 2023'!$B$2:$G$5822,4,0),"")</f>
        <v>APAPET</v>
      </c>
    </row>
    <row r="1309" spans="1:7" x14ac:dyDescent="0.25">
      <c r="A1309" s="17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IFERROR(VLOOKUP(B1309,'Diciembre 2023'!$B$2:$G$5822,4,0),"")</f>
        <v>APA_CNPC</v>
      </c>
    </row>
    <row r="1310" spans="1:7" x14ac:dyDescent="0.25">
      <c r="A1310" s="17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IFERROR(VLOOKUP(B1310,'Diciembre 2023'!$B$2:$G$5822,4,0),"")</f>
        <v>APA_PC</v>
      </c>
    </row>
    <row r="1311" spans="1:7" x14ac:dyDescent="0.25">
      <c r="A1311" s="17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IFERROR(VLOOKUP(B1311,'Diciembre 2023'!$B$2:$G$5822,4,0),"")</f>
        <v>ACTPETS</v>
      </c>
    </row>
    <row r="1312" spans="1:7" x14ac:dyDescent="0.25">
      <c r="A1312" s="17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IFERROR(VLOOKUP(B1312,'Diciembre 2023'!$B$2:$G$5822,4,0),"")</f>
        <v>INACTPETS</v>
      </c>
    </row>
    <row r="1313" spans="1:7" x14ac:dyDescent="0.25">
      <c r="A1313" s="17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IFERROR(VLOOKUP(B1313,'Diciembre 2023'!$B$2:$G$5822,4,0),"")</f>
        <v>APA_PC</v>
      </c>
    </row>
    <row r="1314" spans="1:7" x14ac:dyDescent="0.25">
      <c r="A1314" s="17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IFERROR(VLOOKUP(B1314,'Diciembre 2023'!$B$2:$G$5822,4,0),"")</f>
        <v>APA_PC</v>
      </c>
    </row>
    <row r="1315" spans="1:7" x14ac:dyDescent="0.25">
      <c r="A1315" s="17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IFERROR(VLOOKUP(B1315,'Diciembre 2023'!$B$2:$G$5822,4,0),"")</f>
        <v>BM</v>
      </c>
    </row>
    <row r="1316" spans="1:7" x14ac:dyDescent="0.25">
      <c r="A1316" s="17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IFERROR(VLOOKUP(B1316,'Diciembre 2023'!$B$2:$G$5822,4,0),"")</f>
        <v>APA_PC</v>
      </c>
    </row>
    <row r="1317" spans="1:7" x14ac:dyDescent="0.25">
      <c r="A1317" s="17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IFERROR(VLOOKUP(B1317,'Diciembre 2023'!$B$2:$G$5822,4,0),"")</f>
        <v>APAPET</v>
      </c>
    </row>
    <row r="1318" spans="1:7" x14ac:dyDescent="0.25">
      <c r="A1318" s="17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IFERROR(VLOOKUP(B1318,'Diciembre 2023'!$B$2:$G$5822,4,0),"")</f>
        <v>BM</v>
      </c>
    </row>
    <row r="1319" spans="1:7" x14ac:dyDescent="0.25">
      <c r="A1319" s="17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IFERROR(VLOOKUP(B1319,'Diciembre 2023'!$B$2:$G$5822,4,0),"")</f>
        <v>ATAPET</v>
      </c>
    </row>
    <row r="1320" spans="1:7" x14ac:dyDescent="0.25">
      <c r="A1320" s="17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IFERROR(VLOOKUP(B1320,'Diciembre 2023'!$B$2:$G$5822,4,0),"")</f>
        <v>APAPET</v>
      </c>
    </row>
    <row r="1321" spans="1:7" x14ac:dyDescent="0.25">
      <c r="A1321" s="17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IFERROR(VLOOKUP(B1321,'Diciembre 2023'!$B$2:$G$5822,4,0),"")</f>
        <v>APA_PC</v>
      </c>
    </row>
    <row r="1322" spans="1:7" x14ac:dyDescent="0.25">
      <c r="A1322" s="17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IFERROR(VLOOKUP(B1322,'Diciembre 2023'!$B$2:$G$5822,4,0),"")</f>
        <v>APAPET</v>
      </c>
    </row>
    <row r="1323" spans="1:7" x14ac:dyDescent="0.25">
      <c r="A1323" s="17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IFERROR(VLOOKUP(B1323,'Diciembre 2023'!$B$2:$G$5822,4,0),"")</f>
        <v>ACTPETS</v>
      </c>
    </row>
    <row r="1324" spans="1:7" x14ac:dyDescent="0.25">
      <c r="A1324" s="17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IFERROR(VLOOKUP(B1324,'Diciembre 2023'!$B$2:$G$5822,4,0),"")</f>
        <v>ATAPET</v>
      </c>
    </row>
    <row r="1325" spans="1:7" x14ac:dyDescent="0.25">
      <c r="A1325" s="17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IFERROR(VLOOKUP(B1325,'Diciembre 2023'!$B$2:$G$5822,4,0),"")</f>
        <v>APAPET</v>
      </c>
    </row>
    <row r="1326" spans="1:7" x14ac:dyDescent="0.25">
      <c r="A1326" s="17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IFERROR(VLOOKUP(B1326,'Diciembre 2023'!$B$2:$G$5822,4,0),"")</f>
        <v>ACTPETS</v>
      </c>
    </row>
    <row r="1327" spans="1:7" x14ac:dyDescent="0.25">
      <c r="A1327" s="17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IFERROR(VLOOKUP(B1327,'Diciembre 2023'!$B$2:$G$5822,4,0),"")</f>
        <v>ATAPET</v>
      </c>
    </row>
    <row r="1328" spans="1:7" x14ac:dyDescent="0.25">
      <c r="A1328" s="17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IFERROR(VLOOKUP(B1328,'Diciembre 2023'!$B$2:$G$5822,4,0),"")</f>
        <v>APA_PC</v>
      </c>
    </row>
    <row r="1329" spans="1:7" x14ac:dyDescent="0.25">
      <c r="A1329" s="17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IFERROR(VLOOKUP(B1329,'Diciembre 2023'!$B$2:$G$5822,4,0),"")</f>
        <v>APAPET</v>
      </c>
    </row>
    <row r="1330" spans="1:7" x14ac:dyDescent="0.25">
      <c r="A1330" s="17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IFERROR(VLOOKUP(B1330,'Diciembre 2023'!$B$2:$G$5822,4,0),"")</f>
        <v>APA_PC</v>
      </c>
    </row>
    <row r="1331" spans="1:7" x14ac:dyDescent="0.25">
      <c r="A1331" s="17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IFERROR(VLOOKUP(B1331,'Diciembre 2023'!$B$2:$G$5822,4,0),"")</f>
        <v>APA_PC</v>
      </c>
    </row>
    <row r="1332" spans="1:7" x14ac:dyDescent="0.25">
      <c r="A1332" s="17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IFERROR(VLOOKUP(B1332,'Diciembre 2023'!$B$2:$G$5822,4,0),"")</f>
        <v>INACTBM</v>
      </c>
    </row>
    <row r="1333" spans="1:7" x14ac:dyDescent="0.25">
      <c r="A1333" s="17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IFERROR(VLOOKUP(B1333,'Diciembre 2023'!$B$2:$G$5822,4,0),"")</f>
        <v>ACTPETS</v>
      </c>
    </row>
    <row r="1334" spans="1:7" x14ac:dyDescent="0.25">
      <c r="A1334" s="17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IFERROR(VLOOKUP(B1334,'Diciembre 2023'!$B$2:$G$5822,4,0),"")</f>
        <v>INACTPETS</v>
      </c>
    </row>
    <row r="1335" spans="1:7" x14ac:dyDescent="0.25">
      <c r="A1335" s="17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IFERROR(VLOOKUP(B1335,'Diciembre 2023'!$B$2:$G$5822,4,0),"")</f>
        <v>APA_PC</v>
      </c>
    </row>
    <row r="1336" spans="1:7" x14ac:dyDescent="0.25">
      <c r="A1336" s="17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IFERROR(VLOOKUP(B1336,'Diciembre 2023'!$B$2:$G$5822,4,0),"")</f>
        <v>ATAPET</v>
      </c>
    </row>
    <row r="1337" spans="1:7" x14ac:dyDescent="0.25">
      <c r="A1337" s="17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IFERROR(VLOOKUP(B1337,'Diciembre 2023'!$B$2:$G$5822,4,0),"")</f>
        <v>APA_PC</v>
      </c>
    </row>
    <row r="1338" spans="1:7" x14ac:dyDescent="0.25">
      <c r="A1338" s="17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IFERROR(VLOOKUP(B1338,'Diciembre 2023'!$B$2:$G$5822,4,0),"")</f>
        <v>ATAPET</v>
      </c>
    </row>
    <row r="1339" spans="1:7" x14ac:dyDescent="0.25">
      <c r="A1339" s="17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IFERROR(VLOOKUP(B1339,'Diciembre 2023'!$B$2:$G$5822,4,0),"")</f>
        <v>ACTPETS</v>
      </c>
    </row>
    <row r="1340" spans="1:7" x14ac:dyDescent="0.25">
      <c r="A1340" s="17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IFERROR(VLOOKUP(B1340,'Diciembre 2023'!$B$2:$G$5822,4,0),"")</f>
        <v>ATAPET</v>
      </c>
    </row>
    <row r="1341" spans="1:7" x14ac:dyDescent="0.25">
      <c r="A1341" s="17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IFERROR(VLOOKUP(B1341,'Diciembre 2023'!$B$2:$G$5822,4,0),"")</f>
        <v>APAPET</v>
      </c>
    </row>
    <row r="1342" spans="1:7" x14ac:dyDescent="0.25">
      <c r="A1342" s="17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IFERROR(VLOOKUP(B1342,'Diciembre 2023'!$B$2:$G$5822,4,0),"")</f>
        <v>APAPET</v>
      </c>
    </row>
    <row r="1343" spans="1:7" x14ac:dyDescent="0.25">
      <c r="A1343" s="17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IFERROR(VLOOKUP(B1343,'Diciembre 2023'!$B$2:$G$5822,4,0),"")</f>
        <v>ACTPETS</v>
      </c>
    </row>
    <row r="1344" spans="1:7" x14ac:dyDescent="0.25">
      <c r="A1344" s="17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IFERROR(VLOOKUP(B1344,'Diciembre 2023'!$B$2:$G$5822,4,0),"")</f>
        <v>ACTPETS</v>
      </c>
    </row>
    <row r="1345" spans="1:7" x14ac:dyDescent="0.25">
      <c r="A1345" s="17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IFERROR(VLOOKUP(B1345,'Diciembre 2023'!$B$2:$G$5822,4,0),"")</f>
        <v>DPAPET</v>
      </c>
    </row>
    <row r="1346" spans="1:7" x14ac:dyDescent="0.25">
      <c r="A1346" s="17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IFERROR(VLOOKUP(B1346,'Diciembre 2023'!$B$2:$G$5822,4,0),"")</f>
        <v>APA_PC</v>
      </c>
    </row>
    <row r="1347" spans="1:7" x14ac:dyDescent="0.25">
      <c r="A1347" s="17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IFERROR(VLOOKUP(B1347,'Diciembre 2023'!$B$2:$G$5822,4,0),"")</f>
        <v>ACTPETS</v>
      </c>
    </row>
    <row r="1348" spans="1:7" x14ac:dyDescent="0.25">
      <c r="A1348" s="17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IFERROR(VLOOKUP(B1348,'Diciembre 2023'!$B$2:$G$5822,4,0),"")</f>
        <v>DPAPET</v>
      </c>
    </row>
    <row r="1349" spans="1:7" x14ac:dyDescent="0.25">
      <c r="A1349" s="17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IFERROR(VLOOKUP(B1349,'Diciembre 2023'!$B$2:$G$5822,4,0),"")</f>
        <v>APA_PC</v>
      </c>
    </row>
    <row r="1350" spans="1:7" x14ac:dyDescent="0.25">
      <c r="A1350" s="17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IFERROR(VLOOKUP(B1350,'Diciembre 2023'!$B$2:$G$5822,4,0),"")</f>
        <v>APA_PC</v>
      </c>
    </row>
    <row r="1351" spans="1:7" x14ac:dyDescent="0.25">
      <c r="A1351" s="17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IFERROR(VLOOKUP(B1351,'Diciembre 2023'!$B$2:$G$5822,4,0),"")</f>
        <v>APAPET</v>
      </c>
    </row>
    <row r="1352" spans="1:7" x14ac:dyDescent="0.25">
      <c r="A1352" s="17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IFERROR(VLOOKUP(B1352,'Diciembre 2023'!$B$2:$G$5822,4,0),"")</f>
        <v>APA_PC</v>
      </c>
    </row>
    <row r="1353" spans="1:7" x14ac:dyDescent="0.25">
      <c r="A1353" s="17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IFERROR(VLOOKUP(B1353,'Diciembre 2023'!$B$2:$G$5822,4,0),"")</f>
        <v>APAPET</v>
      </c>
    </row>
    <row r="1354" spans="1:7" x14ac:dyDescent="0.25">
      <c r="A1354" s="17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IFERROR(VLOOKUP(B1354,'Diciembre 2023'!$B$2:$G$5822,4,0),"")</f>
        <v>ACTPETS</v>
      </c>
    </row>
    <row r="1355" spans="1:7" x14ac:dyDescent="0.25">
      <c r="A1355" s="17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IFERROR(VLOOKUP(B1355,'Diciembre 2023'!$B$2:$G$5822,4,0),"")</f>
        <v>APAPET</v>
      </c>
    </row>
    <row r="1356" spans="1:7" x14ac:dyDescent="0.25">
      <c r="A1356" s="17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IFERROR(VLOOKUP(B1356,'Diciembre 2023'!$B$2:$G$5822,4,0),"")</f>
        <v>APAPET</v>
      </c>
    </row>
    <row r="1357" spans="1:7" x14ac:dyDescent="0.25">
      <c r="A1357" s="17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IFERROR(VLOOKUP(B1357,'Diciembre 2023'!$B$2:$G$5822,4,0),"")</f>
        <v>APA_PC</v>
      </c>
    </row>
    <row r="1358" spans="1:7" x14ac:dyDescent="0.25">
      <c r="A1358" s="17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IFERROR(VLOOKUP(B1358,'Diciembre 2023'!$B$2:$G$5822,4,0),"")</f>
        <v>APAPET</v>
      </c>
    </row>
    <row r="1359" spans="1:7" x14ac:dyDescent="0.25">
      <c r="A1359" s="17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IFERROR(VLOOKUP(B1359,'Diciembre 2023'!$B$2:$G$5822,4,0),"")</f>
        <v>BM</v>
      </c>
    </row>
    <row r="1360" spans="1:7" x14ac:dyDescent="0.25">
      <c r="A1360" s="17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IFERROR(VLOOKUP(B1360,'Diciembre 2023'!$B$2:$G$5822,4,0),"")</f>
        <v>APAPET</v>
      </c>
    </row>
    <row r="1361" spans="1:7" x14ac:dyDescent="0.25">
      <c r="A1361" s="17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IFERROR(VLOOKUP(B1361,'Diciembre 2023'!$B$2:$G$5822,4,0),"")</f>
        <v>APAPET</v>
      </c>
    </row>
    <row r="1362" spans="1:7" x14ac:dyDescent="0.25">
      <c r="A1362" s="17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IFERROR(VLOOKUP(B1362,'Diciembre 2023'!$B$2:$G$5822,4,0),"")</f>
        <v>APA_PC</v>
      </c>
    </row>
    <row r="1363" spans="1:7" x14ac:dyDescent="0.25">
      <c r="A1363" s="17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IFERROR(VLOOKUP(B1363,'Diciembre 2023'!$B$2:$G$5822,4,0),"")</f>
        <v>APA_PC</v>
      </c>
    </row>
    <row r="1364" spans="1:7" x14ac:dyDescent="0.25">
      <c r="A1364" s="17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IFERROR(VLOOKUP(B1364,'Diciembre 2023'!$B$2:$G$5822,4,0),"")</f>
        <v>APAPET</v>
      </c>
    </row>
    <row r="1365" spans="1:7" x14ac:dyDescent="0.25">
      <c r="A1365" s="17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IFERROR(VLOOKUP(B1365,'Diciembre 2023'!$B$2:$G$5822,4,0),"")</f>
        <v>INACTBM</v>
      </c>
    </row>
    <row r="1366" spans="1:7" x14ac:dyDescent="0.25">
      <c r="A1366" s="17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IFERROR(VLOOKUP(B1366,'Diciembre 2023'!$B$2:$G$5822,4,0),"")</f>
        <v>INACTPL</v>
      </c>
    </row>
    <row r="1367" spans="1:7" x14ac:dyDescent="0.25">
      <c r="A1367" s="17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IFERROR(VLOOKUP(B1367,'Diciembre 2023'!$B$2:$G$5822,4,0),"")</f>
        <v>APAPET</v>
      </c>
    </row>
    <row r="1368" spans="1:7" x14ac:dyDescent="0.25">
      <c r="A1368" s="17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IFERROR(VLOOKUP(B1368,'Diciembre 2023'!$B$2:$G$5822,4,0),"")</f>
        <v>APAPET</v>
      </c>
    </row>
    <row r="1369" spans="1:7" x14ac:dyDescent="0.25">
      <c r="A1369" s="17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IFERROR(VLOOKUP(B1369,'Diciembre 2023'!$B$2:$G$5822,4,0),"")</f>
        <v>APA_PC</v>
      </c>
    </row>
    <row r="1370" spans="1:7" x14ac:dyDescent="0.25">
      <c r="A1370" s="17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IFERROR(VLOOKUP(B1370,'Diciembre 2023'!$B$2:$G$5822,4,0),"")</f>
        <v>APA_PC</v>
      </c>
    </row>
    <row r="1371" spans="1:7" x14ac:dyDescent="0.25">
      <c r="A1371" s="17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IFERROR(VLOOKUP(B1371,'Diciembre 2023'!$B$2:$G$5822,4,0),"")</f>
        <v>ACTPETS</v>
      </c>
    </row>
    <row r="1372" spans="1:7" x14ac:dyDescent="0.25">
      <c r="A1372" s="17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IFERROR(VLOOKUP(B1372,'Diciembre 2023'!$B$2:$G$5822,4,0),"")</f>
        <v>APAPET</v>
      </c>
    </row>
    <row r="1373" spans="1:7" x14ac:dyDescent="0.25">
      <c r="A1373" s="17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IFERROR(VLOOKUP(B1373,'Diciembre 2023'!$B$2:$G$5822,4,0),"")</f>
        <v>ACTPETS</v>
      </c>
    </row>
    <row r="1374" spans="1:7" x14ac:dyDescent="0.25">
      <c r="A1374" s="17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IFERROR(VLOOKUP(B1374,'Diciembre 2023'!$B$2:$G$5822,4,0),"")</f>
        <v>APAPET</v>
      </c>
    </row>
    <row r="1375" spans="1:7" x14ac:dyDescent="0.25">
      <c r="A1375" s="17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IFERROR(VLOOKUP(B1375,'Diciembre 2023'!$B$2:$G$5822,4,0),"")</f>
        <v>APA_PC</v>
      </c>
    </row>
    <row r="1376" spans="1:7" x14ac:dyDescent="0.25">
      <c r="A1376" s="17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IFERROR(VLOOKUP(B1376,'Diciembre 2023'!$B$2:$G$5822,4,0),"")</f>
        <v>APA_PC</v>
      </c>
    </row>
    <row r="1377" spans="1:7" x14ac:dyDescent="0.25">
      <c r="A1377" s="17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IFERROR(VLOOKUP(B1377,'Diciembre 2023'!$B$2:$G$5822,4,0),"")</f>
        <v>ACTPETS</v>
      </c>
    </row>
    <row r="1378" spans="1:7" x14ac:dyDescent="0.25">
      <c r="A1378" s="17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IFERROR(VLOOKUP(B1378,'Diciembre 2023'!$B$2:$G$5822,4,0),"")</f>
        <v>INACTPETS</v>
      </c>
    </row>
    <row r="1379" spans="1:7" x14ac:dyDescent="0.25">
      <c r="A1379" s="17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IFERROR(VLOOKUP(B1379,'Diciembre 2023'!$B$2:$G$5822,4,0),"")</f>
        <v>INACTPL</v>
      </c>
    </row>
    <row r="1380" spans="1:7" x14ac:dyDescent="0.25">
      <c r="A1380" s="17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IFERROR(VLOOKUP(B1380,'Diciembre 2023'!$B$2:$G$5822,4,0),"")</f>
        <v>ACTPETS</v>
      </c>
    </row>
    <row r="1381" spans="1:7" x14ac:dyDescent="0.25">
      <c r="A1381" s="17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IFERROR(VLOOKUP(B1381,'Diciembre 2023'!$B$2:$G$5822,4,0),"")</f>
        <v>APA_PC</v>
      </c>
    </row>
    <row r="1382" spans="1:7" x14ac:dyDescent="0.25">
      <c r="A1382" s="17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IFERROR(VLOOKUP(B1382,'Diciembre 2023'!$B$2:$G$5822,4,0),"")</f>
        <v>APA_PC</v>
      </c>
    </row>
    <row r="1383" spans="1:7" x14ac:dyDescent="0.25">
      <c r="A1383" s="17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IFERROR(VLOOKUP(B1383,'Diciembre 2023'!$B$2:$G$5822,4,0),"")</f>
        <v>APA_PC</v>
      </c>
    </row>
    <row r="1384" spans="1:7" x14ac:dyDescent="0.25">
      <c r="A1384" s="17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IFERROR(VLOOKUP(B1384,'Diciembre 2023'!$B$2:$G$5822,4,0),"")</f>
        <v>APA_PC</v>
      </c>
    </row>
    <row r="1385" spans="1:7" x14ac:dyDescent="0.25">
      <c r="A1385" s="17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IFERROR(VLOOKUP(B1385,'Diciembre 2023'!$B$2:$G$5822,4,0),"")</f>
        <v>ATAPET</v>
      </c>
    </row>
    <row r="1386" spans="1:7" x14ac:dyDescent="0.25">
      <c r="A1386" s="17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IFERROR(VLOOKUP(B1386,'Diciembre 2023'!$B$2:$G$5822,4,0),"")</f>
        <v>APAPET</v>
      </c>
    </row>
    <row r="1387" spans="1:7" x14ac:dyDescent="0.25">
      <c r="A1387" s="17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IFERROR(VLOOKUP(B1387,'Diciembre 2023'!$B$2:$G$5822,4,0),"")</f>
        <v>APA_PC</v>
      </c>
    </row>
    <row r="1388" spans="1:7" x14ac:dyDescent="0.25">
      <c r="A1388" s="17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IFERROR(VLOOKUP(B1388,'Diciembre 2023'!$B$2:$G$5822,4,0),"")</f>
        <v>APA_PC</v>
      </c>
    </row>
    <row r="1389" spans="1:7" x14ac:dyDescent="0.25">
      <c r="A1389" s="17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IFERROR(VLOOKUP(B1389,'Diciembre 2023'!$B$2:$G$5822,4,0),"")</f>
        <v>APA_PC</v>
      </c>
    </row>
    <row r="1390" spans="1:7" x14ac:dyDescent="0.25">
      <c r="A1390" s="17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IFERROR(VLOOKUP(B1390,'Diciembre 2023'!$B$2:$G$5822,4,0),"")</f>
        <v>APA_PC</v>
      </c>
    </row>
    <row r="1391" spans="1:7" x14ac:dyDescent="0.25">
      <c r="A1391" s="17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IFERROR(VLOOKUP(B1391,'Diciembre 2023'!$B$2:$G$5822,4,0),"")</f>
        <v>BM</v>
      </c>
    </row>
    <row r="1392" spans="1:7" x14ac:dyDescent="0.25">
      <c r="A1392" s="17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IFERROR(VLOOKUP(B1392,'Diciembre 2023'!$B$2:$G$5822,4,0),"")</f>
        <v>APA_PC</v>
      </c>
    </row>
    <row r="1393" spans="1:7" x14ac:dyDescent="0.25">
      <c r="A1393" s="17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IFERROR(VLOOKUP(B1393,'Diciembre 2023'!$B$2:$G$5822,4,0),"")</f>
        <v>APA_PC</v>
      </c>
    </row>
    <row r="1394" spans="1:7" x14ac:dyDescent="0.25">
      <c r="A1394" s="17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IFERROR(VLOOKUP(B1394,'Diciembre 2023'!$B$2:$G$5822,4,0),"")</f>
        <v>APA_PC</v>
      </c>
    </row>
    <row r="1395" spans="1:7" x14ac:dyDescent="0.25">
      <c r="A1395" s="17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IFERROR(VLOOKUP(B1395,'Diciembre 2023'!$B$2:$G$5822,4,0),"")</f>
        <v>APAPET</v>
      </c>
    </row>
    <row r="1396" spans="1:7" x14ac:dyDescent="0.25">
      <c r="A1396" s="17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IFERROR(VLOOKUP(B1396,'Diciembre 2023'!$B$2:$G$5822,4,0),"")</f>
        <v>APA_PC</v>
      </c>
    </row>
    <row r="1397" spans="1:7" x14ac:dyDescent="0.25">
      <c r="A1397" s="17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IFERROR(VLOOKUP(B1397,'Diciembre 2023'!$B$2:$G$5822,4,0),"")</f>
        <v>APA_PC</v>
      </c>
    </row>
    <row r="1398" spans="1:7" x14ac:dyDescent="0.25">
      <c r="A1398" s="17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IFERROR(VLOOKUP(B1398,'Diciembre 2023'!$B$2:$G$5822,4,0),"")</f>
        <v>APA_PC</v>
      </c>
    </row>
    <row r="1399" spans="1:7" x14ac:dyDescent="0.25">
      <c r="A1399" s="17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IFERROR(VLOOKUP(B1399,'Diciembre 2023'!$B$2:$G$5822,4,0),"")</f>
        <v>INACTPETS</v>
      </c>
    </row>
    <row r="1400" spans="1:7" x14ac:dyDescent="0.25">
      <c r="A1400" s="17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IFERROR(VLOOKUP(B1400,'Diciembre 2023'!$B$2:$G$5822,4,0),"")</f>
        <v>APAPET</v>
      </c>
    </row>
    <row r="1401" spans="1:7" x14ac:dyDescent="0.25">
      <c r="A1401" s="17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IFERROR(VLOOKUP(B1401,'Diciembre 2023'!$B$2:$G$5822,4,0),"")</f>
        <v>BM</v>
      </c>
    </row>
    <row r="1402" spans="1:7" x14ac:dyDescent="0.25">
      <c r="A1402" s="17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IFERROR(VLOOKUP(B1402,'Diciembre 2023'!$B$2:$G$5822,4,0),"")</f>
        <v>APA_PC</v>
      </c>
    </row>
    <row r="1403" spans="1:7" x14ac:dyDescent="0.25">
      <c r="A1403" s="17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IFERROR(VLOOKUP(B1403,'Diciembre 2023'!$B$2:$G$5822,4,0),"")</f>
        <v>APAPET</v>
      </c>
    </row>
    <row r="1404" spans="1:7" x14ac:dyDescent="0.25">
      <c r="A1404" s="17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IFERROR(VLOOKUP(B1404,'Diciembre 2023'!$B$2:$G$5822,4,0),"")</f>
        <v>APAPET</v>
      </c>
    </row>
    <row r="1405" spans="1:7" x14ac:dyDescent="0.25">
      <c r="A1405" s="17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IFERROR(VLOOKUP(B1405,'Diciembre 2023'!$B$2:$G$5822,4,0),"")</f>
        <v>APA_PC</v>
      </c>
    </row>
    <row r="1406" spans="1:7" x14ac:dyDescent="0.25">
      <c r="A1406" s="17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IFERROR(VLOOKUP(B1406,'Diciembre 2023'!$B$2:$G$5822,4,0),"")</f>
        <v>DPAPET</v>
      </c>
    </row>
    <row r="1407" spans="1:7" x14ac:dyDescent="0.25">
      <c r="A1407" s="17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IFERROR(VLOOKUP(B1407,'Diciembre 2023'!$B$2:$G$5822,4,0),"")</f>
        <v>APA_PC</v>
      </c>
    </row>
    <row r="1408" spans="1:7" x14ac:dyDescent="0.25">
      <c r="A1408" s="17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IFERROR(VLOOKUP(B1408,'Diciembre 2023'!$B$2:$G$5822,4,0),"")</f>
        <v>APA_PC</v>
      </c>
    </row>
    <row r="1409" spans="1:7" x14ac:dyDescent="0.25">
      <c r="A1409" s="17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IFERROR(VLOOKUP(B1409,'Diciembre 2023'!$B$2:$G$5822,4,0),"")</f>
        <v>APA_PC</v>
      </c>
    </row>
    <row r="1410" spans="1:7" x14ac:dyDescent="0.25">
      <c r="A1410" s="17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IFERROR(VLOOKUP(B1410,'Diciembre 2023'!$B$2:$G$5822,4,0),"")</f>
        <v>APAPET</v>
      </c>
    </row>
    <row r="1411" spans="1:7" x14ac:dyDescent="0.25">
      <c r="A1411" s="17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IFERROR(VLOOKUP(B1411,'Diciembre 2023'!$B$2:$G$5822,4,0),"")</f>
        <v>APA_PC</v>
      </c>
    </row>
    <row r="1412" spans="1:7" x14ac:dyDescent="0.25">
      <c r="A1412" s="17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IFERROR(VLOOKUP(B1412,'Diciembre 2023'!$B$2:$G$5822,4,0),"")</f>
        <v>APA_PC</v>
      </c>
    </row>
    <row r="1413" spans="1:7" x14ac:dyDescent="0.25">
      <c r="A1413" s="17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IFERROR(VLOOKUP(B1413,'Diciembre 2023'!$B$2:$G$5822,4,0),"")</f>
        <v>APA_PC</v>
      </c>
    </row>
    <row r="1414" spans="1:7" x14ac:dyDescent="0.25">
      <c r="A1414" s="17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IFERROR(VLOOKUP(B1414,'Diciembre 2023'!$B$2:$G$5822,4,0),"")</f>
        <v>ATAPET</v>
      </c>
    </row>
    <row r="1415" spans="1:7" x14ac:dyDescent="0.25">
      <c r="A1415" s="17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IFERROR(VLOOKUP(B1415,'Diciembre 2023'!$B$2:$G$5822,4,0),"")</f>
        <v>APA_PC</v>
      </c>
    </row>
    <row r="1416" spans="1:7" x14ac:dyDescent="0.25">
      <c r="A1416" s="17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IFERROR(VLOOKUP(B1416,'Diciembre 2023'!$B$2:$G$5822,4,0),"")</f>
        <v>ACTPETS</v>
      </c>
    </row>
    <row r="1417" spans="1:7" x14ac:dyDescent="0.25">
      <c r="A1417" s="17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IFERROR(VLOOKUP(B1417,'Diciembre 2023'!$B$2:$G$5822,4,0),"")</f>
        <v>ACTPETS</v>
      </c>
    </row>
    <row r="1418" spans="1:7" x14ac:dyDescent="0.25">
      <c r="A1418" s="17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IFERROR(VLOOKUP(B1418,'Diciembre 2023'!$B$2:$G$5822,4,0),"")</f>
        <v>APA_PC</v>
      </c>
    </row>
    <row r="1419" spans="1:7" x14ac:dyDescent="0.25">
      <c r="A1419" s="17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IFERROR(VLOOKUP(B1419,'Diciembre 2023'!$B$2:$G$5822,4,0),"")</f>
        <v>APAPET</v>
      </c>
    </row>
    <row r="1420" spans="1:7" x14ac:dyDescent="0.25">
      <c r="A1420" s="17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IFERROR(VLOOKUP(B1420,'Diciembre 2023'!$B$2:$G$5822,4,0),"")</f>
        <v>APAPET</v>
      </c>
    </row>
    <row r="1421" spans="1:7" x14ac:dyDescent="0.25">
      <c r="A1421" s="17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IFERROR(VLOOKUP(B1421,'Diciembre 2023'!$B$2:$G$5822,4,0),"")</f>
        <v>BM</v>
      </c>
    </row>
    <row r="1422" spans="1:7" x14ac:dyDescent="0.25">
      <c r="A1422" s="17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IFERROR(VLOOKUP(B1422,'Diciembre 2023'!$B$2:$G$5822,4,0),"")</f>
        <v>ACTPETS</v>
      </c>
    </row>
    <row r="1423" spans="1:7" x14ac:dyDescent="0.25">
      <c r="A1423" s="17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IFERROR(VLOOKUP(B1423,'Diciembre 2023'!$B$2:$G$5822,4,0),"")</f>
        <v>APA_PC</v>
      </c>
    </row>
    <row r="1424" spans="1:7" x14ac:dyDescent="0.25">
      <c r="A1424" s="17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IFERROR(VLOOKUP(B1424,'Diciembre 2023'!$B$2:$G$5822,4,0),"")</f>
        <v>ACTPETS</v>
      </c>
    </row>
    <row r="1425" spans="1:7" x14ac:dyDescent="0.25">
      <c r="A1425" s="17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IFERROR(VLOOKUP(B1425,'Diciembre 2023'!$B$2:$G$5822,4,0),"")</f>
        <v>ACTPETS</v>
      </c>
    </row>
    <row r="1426" spans="1:7" x14ac:dyDescent="0.25">
      <c r="A1426" s="17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IFERROR(VLOOKUP(B1426,'Diciembre 2023'!$B$2:$G$5822,4,0),"")</f>
        <v>APA_PC</v>
      </c>
    </row>
    <row r="1427" spans="1:7" x14ac:dyDescent="0.25">
      <c r="A1427" s="17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IFERROR(VLOOKUP(B1427,'Diciembre 2023'!$B$2:$G$5822,4,0),"")</f>
        <v>BM</v>
      </c>
    </row>
    <row r="1428" spans="1:7" x14ac:dyDescent="0.25">
      <c r="A1428" s="17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IFERROR(VLOOKUP(B1428,'Diciembre 2023'!$B$2:$G$5822,4,0),"")</f>
        <v>APA_PC</v>
      </c>
    </row>
    <row r="1429" spans="1:7" x14ac:dyDescent="0.25">
      <c r="A1429" s="17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IFERROR(VLOOKUP(B1429,'Diciembre 2023'!$B$2:$G$5822,4,0),"")</f>
        <v>APA_PC</v>
      </c>
    </row>
    <row r="1430" spans="1:7" x14ac:dyDescent="0.25">
      <c r="A1430" s="17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IFERROR(VLOOKUP(B1430,'Diciembre 2023'!$B$2:$G$5822,4,0),"")</f>
        <v>APAPET</v>
      </c>
    </row>
    <row r="1431" spans="1:7" x14ac:dyDescent="0.25">
      <c r="A1431" s="17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IFERROR(VLOOKUP(B1431,'Diciembre 2023'!$B$2:$G$5822,4,0),"")</f>
        <v>APA_PC</v>
      </c>
    </row>
    <row r="1432" spans="1:7" x14ac:dyDescent="0.25">
      <c r="A1432" s="17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IFERROR(VLOOKUP(B1432,'Diciembre 2023'!$B$2:$G$5822,4,0),"")</f>
        <v>APAPET</v>
      </c>
    </row>
    <row r="1433" spans="1:7" x14ac:dyDescent="0.25">
      <c r="A1433" s="17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tr">
        <f>IFERROR(VLOOKUP(B1433,'Diciembre 2023'!$B$2:$G$5822,4,0),"")</f>
        <v>INACTPETS</v>
      </c>
    </row>
    <row r="1434" spans="1:7" x14ac:dyDescent="0.25">
      <c r="A1434" s="17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IFERROR(VLOOKUP(B1434,'Diciembre 2023'!$B$2:$G$5822,4,0),"")</f>
        <v>ACTPETS</v>
      </c>
    </row>
    <row r="1435" spans="1:7" x14ac:dyDescent="0.25">
      <c r="A1435" s="17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IFERROR(VLOOKUP(B1435,'Diciembre 2023'!$B$2:$G$5822,4,0),"")</f>
        <v>APAPET</v>
      </c>
    </row>
    <row r="1436" spans="1:7" x14ac:dyDescent="0.25">
      <c r="A1436" s="17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IFERROR(VLOOKUP(B1436,'Diciembre 2023'!$B$2:$G$5822,4,0),"")</f>
        <v>APAPET</v>
      </c>
    </row>
    <row r="1437" spans="1:7" x14ac:dyDescent="0.25">
      <c r="A1437" s="17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IFERROR(VLOOKUP(B1437,'Diciembre 2023'!$B$2:$G$5822,4,0),"")</f>
        <v>ACTPETS</v>
      </c>
    </row>
    <row r="1438" spans="1:7" x14ac:dyDescent="0.25">
      <c r="A1438" s="17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IFERROR(VLOOKUP(B1438,'Diciembre 2023'!$B$2:$G$5822,4,0),"")</f>
        <v>APA_PC</v>
      </c>
    </row>
    <row r="1439" spans="1:7" x14ac:dyDescent="0.25">
      <c r="A1439" s="17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IFERROR(VLOOKUP(B1439,'Diciembre 2023'!$B$2:$G$5822,4,0),"")</f>
        <v>APA_PC</v>
      </c>
    </row>
    <row r="1440" spans="1:7" x14ac:dyDescent="0.25">
      <c r="A1440" s="17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IFERROR(VLOOKUP(B1440,'Diciembre 2023'!$B$2:$G$5822,4,0),"")</f>
        <v>APA_PC</v>
      </c>
    </row>
    <row r="1441" spans="1:7" x14ac:dyDescent="0.25">
      <c r="A1441" s="17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IFERROR(VLOOKUP(B1441,'Diciembre 2023'!$B$2:$G$5822,4,0),"")</f>
        <v>APA_PC</v>
      </c>
    </row>
    <row r="1442" spans="1:7" x14ac:dyDescent="0.25">
      <c r="A1442" s="17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IFERROR(VLOOKUP(B1442,'Diciembre 2023'!$B$2:$G$5822,4,0),"")</f>
        <v>PL</v>
      </c>
    </row>
    <row r="1443" spans="1:7" x14ac:dyDescent="0.25">
      <c r="A1443" s="17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IFERROR(VLOOKUP(B1443,'Diciembre 2023'!$B$2:$G$5822,4,0),"")</f>
        <v>APAPET</v>
      </c>
    </row>
    <row r="1444" spans="1:7" x14ac:dyDescent="0.25">
      <c r="A1444" s="17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IFERROR(VLOOKUP(B1444,'Diciembre 2023'!$B$2:$G$5822,4,0),"")</f>
        <v>APAPET</v>
      </c>
    </row>
    <row r="1445" spans="1:7" x14ac:dyDescent="0.25">
      <c r="A1445" s="17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IFERROR(VLOOKUP(B1445,'Diciembre 2023'!$B$2:$G$5822,4,0),"")</f>
        <v>APA_PC</v>
      </c>
    </row>
    <row r="1446" spans="1:7" x14ac:dyDescent="0.25">
      <c r="A1446" s="17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IFERROR(VLOOKUP(B1446,'Diciembre 2023'!$B$2:$G$5822,4,0),"")</f>
        <v>APAPET</v>
      </c>
    </row>
    <row r="1447" spans="1:7" x14ac:dyDescent="0.25">
      <c r="A1447" s="17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IFERROR(VLOOKUP(B1447,'Diciembre 2023'!$B$2:$G$5822,4,0),"")</f>
        <v>INACTBM</v>
      </c>
    </row>
    <row r="1448" spans="1:7" x14ac:dyDescent="0.25">
      <c r="A1448" s="17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IFERROR(VLOOKUP(B1448,'Diciembre 2023'!$B$2:$G$5822,4,0),"")</f>
        <v>BM</v>
      </c>
    </row>
    <row r="1449" spans="1:7" x14ac:dyDescent="0.25">
      <c r="A1449" s="17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IFERROR(VLOOKUP(B1449,'Diciembre 2023'!$B$2:$G$5822,4,0),"")</f>
        <v>APAPET</v>
      </c>
    </row>
    <row r="1450" spans="1:7" x14ac:dyDescent="0.25">
      <c r="A1450" s="17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IFERROR(VLOOKUP(B1450,'Diciembre 2023'!$B$2:$G$5822,4,0),"")</f>
        <v>APA_PC</v>
      </c>
    </row>
    <row r="1451" spans="1:7" x14ac:dyDescent="0.25">
      <c r="A1451" s="17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IFERROR(VLOOKUP(B1451,'Diciembre 2023'!$B$2:$G$5822,4,0),"")</f>
        <v>BM</v>
      </c>
    </row>
    <row r="1452" spans="1:7" x14ac:dyDescent="0.25">
      <c r="A1452" s="17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IFERROR(VLOOKUP(B1452,'Diciembre 2023'!$B$2:$G$5822,4,0),"")</f>
        <v>APA_PC</v>
      </c>
    </row>
    <row r="1453" spans="1:7" x14ac:dyDescent="0.25">
      <c r="A1453" s="17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IFERROR(VLOOKUP(B1453,'Diciembre 2023'!$B$2:$G$5822,4,0),"")</f>
        <v>APA_PC</v>
      </c>
    </row>
    <row r="1454" spans="1:7" x14ac:dyDescent="0.25">
      <c r="A1454" s="17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IFERROR(VLOOKUP(B1454,'Diciembre 2023'!$B$2:$G$5822,4,0),"")</f>
        <v>APAPET</v>
      </c>
    </row>
    <row r="1455" spans="1:7" x14ac:dyDescent="0.25">
      <c r="A1455" s="17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IFERROR(VLOOKUP(B1455,'Diciembre 2023'!$B$2:$G$5822,4,0),"")</f>
        <v>APAPET</v>
      </c>
    </row>
    <row r="1456" spans="1:7" x14ac:dyDescent="0.25">
      <c r="A1456" s="17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IFERROR(VLOOKUP(B1456,'Diciembre 2023'!$B$2:$G$5822,4,0),"")</f>
        <v>APA_PC</v>
      </c>
    </row>
    <row r="1457" spans="1:7" x14ac:dyDescent="0.25">
      <c r="A1457" s="17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IFERROR(VLOOKUP(B1457,'Diciembre 2023'!$B$2:$G$5822,4,0),"")</f>
        <v>APAPET</v>
      </c>
    </row>
    <row r="1458" spans="1:7" x14ac:dyDescent="0.25">
      <c r="A1458" s="17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IFERROR(VLOOKUP(B1458,'Diciembre 2023'!$B$2:$G$5822,4,0),"")</f>
        <v>APA_PC</v>
      </c>
    </row>
    <row r="1459" spans="1:7" x14ac:dyDescent="0.25">
      <c r="A1459" s="17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IFERROR(VLOOKUP(B1459,'Diciembre 2023'!$B$2:$G$5822,4,0),"")</f>
        <v>APA_PC</v>
      </c>
    </row>
    <row r="1460" spans="1:7" x14ac:dyDescent="0.25">
      <c r="A1460" s="17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IFERROR(VLOOKUP(B1460,'Diciembre 2023'!$B$2:$G$5822,4,0),"")</f>
        <v>APAPET</v>
      </c>
    </row>
    <row r="1461" spans="1:7" x14ac:dyDescent="0.25">
      <c r="A1461" s="17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IFERROR(VLOOKUP(B1461,'Diciembre 2023'!$B$2:$G$5822,4,0),"")</f>
        <v>ACTPETS</v>
      </c>
    </row>
    <row r="1462" spans="1:7" x14ac:dyDescent="0.25">
      <c r="A1462" s="17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IFERROR(VLOOKUP(B1462,'Diciembre 2023'!$B$2:$G$5822,4,0),"")</f>
        <v>APAPET</v>
      </c>
    </row>
    <row r="1463" spans="1:7" x14ac:dyDescent="0.25">
      <c r="A1463" s="17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IFERROR(VLOOKUP(B1463,'Diciembre 2023'!$B$2:$G$5822,4,0),"")</f>
        <v>APA_PC</v>
      </c>
    </row>
    <row r="1464" spans="1:7" x14ac:dyDescent="0.25">
      <c r="A1464" s="17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IFERROR(VLOOKUP(B1464,'Diciembre 2023'!$B$2:$G$5822,4,0),"")</f>
        <v>ACTPETS</v>
      </c>
    </row>
    <row r="1465" spans="1:7" x14ac:dyDescent="0.25">
      <c r="A1465" s="17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IFERROR(VLOOKUP(B1465,'Diciembre 2023'!$B$2:$G$5822,4,0),"")</f>
        <v>APA_PC</v>
      </c>
    </row>
    <row r="1466" spans="1:7" x14ac:dyDescent="0.25">
      <c r="A1466" s="17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IFERROR(VLOOKUP(B1466,'Diciembre 2023'!$B$2:$G$5822,4,0),"")</f>
        <v>APAPET</v>
      </c>
    </row>
    <row r="1467" spans="1:7" x14ac:dyDescent="0.25">
      <c r="A1467" s="17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IFERROR(VLOOKUP(B1467,'Diciembre 2023'!$B$2:$G$5822,4,0),"")</f>
        <v>ATAPET</v>
      </c>
    </row>
    <row r="1468" spans="1:7" x14ac:dyDescent="0.25">
      <c r="A1468" s="17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IFERROR(VLOOKUP(B1468,'Diciembre 2023'!$B$2:$G$5822,4,0),"")</f>
        <v>APA_PC</v>
      </c>
    </row>
    <row r="1469" spans="1:7" x14ac:dyDescent="0.25">
      <c r="A1469" s="17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IFERROR(VLOOKUP(B1469,'Diciembre 2023'!$B$2:$G$5822,4,0),"")</f>
        <v>APA_PC</v>
      </c>
    </row>
    <row r="1470" spans="1:7" x14ac:dyDescent="0.25">
      <c r="A1470" s="17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IFERROR(VLOOKUP(B1470,'Diciembre 2023'!$B$2:$G$5822,4,0),"")</f>
        <v>APAPET</v>
      </c>
    </row>
    <row r="1471" spans="1:7" x14ac:dyDescent="0.25">
      <c r="A1471" s="17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IFERROR(VLOOKUP(B1471,'Diciembre 2023'!$B$2:$G$5822,4,0),"")</f>
        <v>ACTPETS</v>
      </c>
    </row>
    <row r="1472" spans="1:7" x14ac:dyDescent="0.25">
      <c r="A1472" s="17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IFERROR(VLOOKUP(B1472,'Diciembre 2023'!$B$2:$G$5822,4,0),"")</f>
        <v>APA_PC</v>
      </c>
    </row>
    <row r="1473" spans="1:7" x14ac:dyDescent="0.25">
      <c r="A1473" s="17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IFERROR(VLOOKUP(B1473,'Diciembre 2023'!$B$2:$G$5822,4,0),"")</f>
        <v>ACTPETS</v>
      </c>
    </row>
    <row r="1474" spans="1:7" x14ac:dyDescent="0.25">
      <c r="A1474" s="17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IFERROR(VLOOKUP(B1474,'Diciembre 2023'!$B$2:$G$5822,4,0),"")</f>
        <v>APA_PC</v>
      </c>
    </row>
    <row r="1475" spans="1:7" x14ac:dyDescent="0.25">
      <c r="A1475" s="17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IFERROR(VLOOKUP(B1475,'Diciembre 2023'!$B$2:$G$5822,4,0),"")</f>
        <v>APAPET</v>
      </c>
    </row>
    <row r="1476" spans="1:7" x14ac:dyDescent="0.25">
      <c r="A1476" s="17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IFERROR(VLOOKUP(B1476,'Diciembre 2023'!$B$2:$G$5822,4,0),"")</f>
        <v>ACTPETS</v>
      </c>
    </row>
    <row r="1477" spans="1:7" x14ac:dyDescent="0.25">
      <c r="A1477" s="17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IFERROR(VLOOKUP(B1477,'Diciembre 2023'!$B$2:$G$5822,4,0),"")</f>
        <v>APAPET</v>
      </c>
    </row>
    <row r="1478" spans="1:7" x14ac:dyDescent="0.25">
      <c r="A1478" s="17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IFERROR(VLOOKUP(B1478,'Diciembre 2023'!$B$2:$G$5822,4,0),"")</f>
        <v>APAPET</v>
      </c>
    </row>
    <row r="1479" spans="1:7" x14ac:dyDescent="0.25">
      <c r="A1479" s="17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IFERROR(VLOOKUP(B1479,'Diciembre 2023'!$B$2:$G$5822,4,0),"")</f>
        <v>APAPET</v>
      </c>
    </row>
    <row r="1480" spans="1:7" x14ac:dyDescent="0.25">
      <c r="A1480" s="17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IFERROR(VLOOKUP(B1480,'Diciembre 2023'!$B$2:$G$5822,4,0),"")</f>
        <v>APA_PC</v>
      </c>
    </row>
    <row r="1481" spans="1:7" x14ac:dyDescent="0.25">
      <c r="A1481" s="17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IFERROR(VLOOKUP(B1481,'Diciembre 2023'!$B$2:$G$5822,4,0),"")</f>
        <v>ATAPET</v>
      </c>
    </row>
    <row r="1482" spans="1:7" x14ac:dyDescent="0.25">
      <c r="A1482" s="17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IFERROR(VLOOKUP(B1482,'Diciembre 2023'!$B$2:$G$5822,4,0),"")</f>
        <v>APA_PC</v>
      </c>
    </row>
    <row r="1483" spans="1:7" x14ac:dyDescent="0.25">
      <c r="A1483" s="17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IFERROR(VLOOKUP(B1483,'Diciembre 2023'!$B$2:$G$5822,4,0),"")</f>
        <v>APA_PC</v>
      </c>
    </row>
    <row r="1484" spans="1:7" x14ac:dyDescent="0.25">
      <c r="A1484" s="17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IFERROR(VLOOKUP(B1484,'Diciembre 2023'!$B$2:$G$5822,4,0),"")</f>
        <v>APAPET</v>
      </c>
    </row>
    <row r="1485" spans="1:7" x14ac:dyDescent="0.25">
      <c r="A1485" s="17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IFERROR(VLOOKUP(B1485,'Diciembre 2023'!$B$2:$G$5822,4,0),"")</f>
        <v>ATAPET</v>
      </c>
    </row>
    <row r="1486" spans="1:7" x14ac:dyDescent="0.25">
      <c r="A1486" s="17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IFERROR(VLOOKUP(B1486,'Diciembre 2023'!$B$2:$G$5822,4,0),"")</f>
        <v>APA_PC</v>
      </c>
    </row>
    <row r="1487" spans="1:7" x14ac:dyDescent="0.25">
      <c r="A1487" s="17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IFERROR(VLOOKUP(B1487,'Diciembre 2023'!$B$2:$G$5822,4,0),"")</f>
        <v>INACTBM</v>
      </c>
    </row>
    <row r="1488" spans="1:7" x14ac:dyDescent="0.25">
      <c r="A1488" s="17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IFERROR(VLOOKUP(B1488,'Diciembre 2023'!$B$2:$G$5822,4,0),"")</f>
        <v>APAPET</v>
      </c>
    </row>
    <row r="1489" spans="1:7" x14ac:dyDescent="0.25">
      <c r="A1489" s="17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IFERROR(VLOOKUP(B1489,'Diciembre 2023'!$B$2:$G$5822,4,0),"")</f>
        <v>APAPET</v>
      </c>
    </row>
    <row r="1490" spans="1:7" x14ac:dyDescent="0.25">
      <c r="A1490" s="17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IFERROR(VLOOKUP(B1490,'Diciembre 2023'!$B$2:$G$5822,4,0),"")</f>
        <v>ATAPET</v>
      </c>
    </row>
    <row r="1491" spans="1:7" x14ac:dyDescent="0.25">
      <c r="A1491" s="17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IFERROR(VLOOKUP(B1491,'Diciembre 2023'!$B$2:$G$5822,4,0),"")</f>
        <v>INACTPL</v>
      </c>
    </row>
    <row r="1492" spans="1:7" x14ac:dyDescent="0.25">
      <c r="A1492" s="17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IFERROR(VLOOKUP(B1492,'Diciembre 2023'!$B$2:$G$5822,4,0),"")</f>
        <v>APA_PC</v>
      </c>
    </row>
    <row r="1493" spans="1:7" x14ac:dyDescent="0.25">
      <c r="A1493" s="17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IFERROR(VLOOKUP(B1493,'Diciembre 2023'!$B$2:$G$5822,4,0),"")</f>
        <v>APA_PC</v>
      </c>
    </row>
    <row r="1494" spans="1:7" x14ac:dyDescent="0.25">
      <c r="A1494" s="17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IFERROR(VLOOKUP(B1494,'Diciembre 2023'!$B$2:$G$5822,4,0),"")</f>
        <v>APAPET</v>
      </c>
    </row>
    <row r="1495" spans="1:7" x14ac:dyDescent="0.25">
      <c r="A1495" s="17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IFERROR(VLOOKUP(B1495,'Diciembre 2023'!$B$2:$G$5822,4,0),"")</f>
        <v>DPAPET</v>
      </c>
    </row>
    <row r="1496" spans="1:7" x14ac:dyDescent="0.25">
      <c r="A1496" s="17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IFERROR(VLOOKUP(B1496,'Diciembre 2023'!$B$2:$G$5822,4,0),"")</f>
        <v>APAPET</v>
      </c>
    </row>
    <row r="1497" spans="1:7" x14ac:dyDescent="0.25">
      <c r="A1497" s="17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IFERROR(VLOOKUP(B1497,'Diciembre 2023'!$B$2:$G$5822,4,0),"")</f>
        <v>APAPET</v>
      </c>
    </row>
    <row r="1498" spans="1:7" x14ac:dyDescent="0.25">
      <c r="A1498" s="17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IFERROR(VLOOKUP(B1498,'Diciembre 2023'!$B$2:$G$5822,4,0),"")</f>
        <v>APAPET</v>
      </c>
    </row>
    <row r="1499" spans="1:7" x14ac:dyDescent="0.25">
      <c r="A1499" s="17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IFERROR(VLOOKUP(B1499,'Diciembre 2023'!$B$2:$G$5822,4,0),"")</f>
        <v>APA_PC</v>
      </c>
    </row>
    <row r="1500" spans="1:7" x14ac:dyDescent="0.25">
      <c r="A1500" s="17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IFERROR(VLOOKUP(B1500,'Diciembre 2023'!$B$2:$G$5822,4,0),"")</f>
        <v>APAPET</v>
      </c>
    </row>
    <row r="1501" spans="1:7" x14ac:dyDescent="0.25">
      <c r="A1501" s="17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IFERROR(VLOOKUP(B1501,'Diciembre 2023'!$B$2:$G$5822,4,0),"")</f>
        <v>APA_PC</v>
      </c>
    </row>
    <row r="1502" spans="1:7" x14ac:dyDescent="0.25">
      <c r="A1502" s="17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IFERROR(VLOOKUP(B1502,'Diciembre 2023'!$B$2:$G$5822,4,0),"")</f>
        <v>APA_PC</v>
      </c>
    </row>
    <row r="1503" spans="1:7" x14ac:dyDescent="0.25">
      <c r="A1503" s="17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IFERROR(VLOOKUP(B1503,'Diciembre 2023'!$B$2:$G$5822,4,0),"")</f>
        <v>APA_PC</v>
      </c>
    </row>
    <row r="1504" spans="1:7" x14ac:dyDescent="0.25">
      <c r="A1504" s="17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IFERROR(VLOOKUP(B1504,'Diciembre 2023'!$B$2:$G$5822,4,0),"")</f>
        <v>APA_PC</v>
      </c>
    </row>
    <row r="1505" spans="1:7" x14ac:dyDescent="0.25">
      <c r="A1505" s="17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IFERROR(VLOOKUP(B1505,'Diciembre 2023'!$B$2:$G$5822,4,0),"")</f>
        <v>APAPET</v>
      </c>
    </row>
    <row r="1506" spans="1:7" x14ac:dyDescent="0.25">
      <c r="A1506" s="17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IFERROR(VLOOKUP(B1506,'Diciembre 2023'!$B$2:$G$5822,4,0),"")</f>
        <v>APAPET</v>
      </c>
    </row>
    <row r="1507" spans="1:7" x14ac:dyDescent="0.25">
      <c r="A1507" s="17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IFERROR(VLOOKUP(B1507,'Diciembre 2023'!$B$2:$G$5822,4,0),"")</f>
        <v>APA_PC</v>
      </c>
    </row>
    <row r="1508" spans="1:7" x14ac:dyDescent="0.25">
      <c r="A1508" s="17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IFERROR(VLOOKUP(B1508,'Diciembre 2023'!$B$2:$G$5822,4,0),"")</f>
        <v>APAPET</v>
      </c>
    </row>
    <row r="1509" spans="1:7" x14ac:dyDescent="0.25">
      <c r="A1509" s="17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IFERROR(VLOOKUP(B1509,'Diciembre 2023'!$B$2:$G$5822,4,0),"")</f>
        <v>INACTPETS</v>
      </c>
    </row>
    <row r="1510" spans="1:7" x14ac:dyDescent="0.25">
      <c r="A1510" s="17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IFERROR(VLOOKUP(B1510,'Diciembre 2023'!$B$2:$G$5822,4,0),"")</f>
        <v>APAPET</v>
      </c>
    </row>
    <row r="1511" spans="1:7" x14ac:dyDescent="0.25">
      <c r="A1511" s="17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IFERROR(VLOOKUP(B1511,'Diciembre 2023'!$B$2:$G$5822,4,0),"")</f>
        <v>BM</v>
      </c>
    </row>
    <row r="1512" spans="1:7" x14ac:dyDescent="0.25">
      <c r="A1512" s="17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IFERROR(VLOOKUP(B1512,'Diciembre 2023'!$B$2:$G$5822,4,0),"")</f>
        <v>ACTPETS</v>
      </c>
    </row>
    <row r="1513" spans="1:7" x14ac:dyDescent="0.25">
      <c r="A1513" s="17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IFERROR(VLOOKUP(B1513,'Diciembre 2023'!$B$2:$G$5822,4,0),"")</f>
        <v>APAPET</v>
      </c>
    </row>
    <row r="1514" spans="1:7" x14ac:dyDescent="0.25">
      <c r="A1514" s="17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IFERROR(VLOOKUP(B1514,'Diciembre 2023'!$B$2:$G$5822,4,0),"")</f>
        <v>ACTPETS</v>
      </c>
    </row>
    <row r="1515" spans="1:7" x14ac:dyDescent="0.25">
      <c r="A1515" s="17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IFERROR(VLOOKUP(B1515,'Diciembre 2023'!$B$2:$G$5822,4,0),"")</f>
        <v>APA_PC</v>
      </c>
    </row>
    <row r="1516" spans="1:7" x14ac:dyDescent="0.25">
      <c r="A1516" s="17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IFERROR(VLOOKUP(B1516,'Diciembre 2023'!$B$2:$G$5822,4,0),"")</f>
        <v>APA_PC</v>
      </c>
    </row>
    <row r="1517" spans="1:7" x14ac:dyDescent="0.25">
      <c r="A1517" s="17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IFERROR(VLOOKUP(B1517,'Diciembre 2023'!$B$2:$G$5822,4,0),"")</f>
        <v>APAPET</v>
      </c>
    </row>
    <row r="1518" spans="1:7" x14ac:dyDescent="0.25">
      <c r="A1518" s="17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IFERROR(VLOOKUP(B1518,'Diciembre 2023'!$B$2:$G$5822,4,0),"")</f>
        <v>APA_PC</v>
      </c>
    </row>
    <row r="1519" spans="1:7" x14ac:dyDescent="0.25">
      <c r="A1519" s="17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IFERROR(VLOOKUP(B1519,'Diciembre 2023'!$B$2:$G$5822,4,0),"")</f>
        <v>APA_PC</v>
      </c>
    </row>
    <row r="1520" spans="1:7" x14ac:dyDescent="0.25">
      <c r="A1520" s="17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IFERROR(VLOOKUP(B1520,'Diciembre 2023'!$B$2:$G$5822,4,0),"")</f>
        <v>APAPET</v>
      </c>
    </row>
    <row r="1521" spans="1:7" x14ac:dyDescent="0.25">
      <c r="A1521" s="17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IFERROR(VLOOKUP(B1521,'Diciembre 2023'!$B$2:$G$5822,4,0),"")</f>
        <v>APA_PC</v>
      </c>
    </row>
    <row r="1522" spans="1:7" x14ac:dyDescent="0.25">
      <c r="A1522" s="17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IFERROR(VLOOKUP(B1522,'Diciembre 2023'!$B$2:$G$5822,4,0),"")</f>
        <v>ACTPETS</v>
      </c>
    </row>
    <row r="1523" spans="1:7" x14ac:dyDescent="0.25">
      <c r="A1523" s="17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IFERROR(VLOOKUP(B1523,'Diciembre 2023'!$B$2:$G$5822,4,0),"")</f>
        <v>APA_PC</v>
      </c>
    </row>
    <row r="1524" spans="1:7" x14ac:dyDescent="0.25">
      <c r="A1524" s="17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IFERROR(VLOOKUP(B1524,'Diciembre 2023'!$B$2:$G$5822,4,0),"")</f>
        <v>APAPET</v>
      </c>
    </row>
    <row r="1525" spans="1:7" x14ac:dyDescent="0.25">
      <c r="A1525" s="17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IFERROR(VLOOKUP(B1525,'Diciembre 2023'!$B$2:$G$5822,4,0),"")</f>
        <v>APA_PC</v>
      </c>
    </row>
    <row r="1526" spans="1:7" x14ac:dyDescent="0.25">
      <c r="A1526" s="17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IFERROR(VLOOKUP(B1526,'Diciembre 2023'!$B$2:$G$5822,4,0),"")</f>
        <v>APA_PC</v>
      </c>
    </row>
    <row r="1527" spans="1:7" x14ac:dyDescent="0.25">
      <c r="A1527" s="17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IFERROR(VLOOKUP(B1527,'Diciembre 2023'!$B$2:$G$5822,4,0),"")</f>
        <v>APAPET</v>
      </c>
    </row>
    <row r="1528" spans="1:7" x14ac:dyDescent="0.25">
      <c r="A1528" s="17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IFERROR(VLOOKUP(B1528,'Diciembre 2023'!$B$2:$G$5822,4,0),"")</f>
        <v>APAPET</v>
      </c>
    </row>
    <row r="1529" spans="1:7" x14ac:dyDescent="0.25">
      <c r="A1529" s="17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IFERROR(VLOOKUP(B1529,'Diciembre 2023'!$B$2:$G$5822,4,0),"")</f>
        <v>ACTPETS</v>
      </c>
    </row>
    <row r="1530" spans="1:7" x14ac:dyDescent="0.25">
      <c r="A1530" s="17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IFERROR(VLOOKUP(B1530,'Diciembre 2023'!$B$2:$G$5822,4,0),"")</f>
        <v>APAPET</v>
      </c>
    </row>
    <row r="1531" spans="1:7" x14ac:dyDescent="0.25">
      <c r="A1531" s="17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IFERROR(VLOOKUP(B1531,'Diciembre 2023'!$B$2:$G$5822,4,0),"")</f>
        <v>APA_PC</v>
      </c>
    </row>
    <row r="1532" spans="1:7" x14ac:dyDescent="0.25">
      <c r="A1532" s="17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IFERROR(VLOOKUP(B1532,'Diciembre 2023'!$B$2:$G$5822,4,0),"")</f>
        <v>APA_PC</v>
      </c>
    </row>
    <row r="1533" spans="1:7" x14ac:dyDescent="0.25">
      <c r="A1533" s="17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IFERROR(VLOOKUP(B1533,'Diciembre 2023'!$B$2:$G$5822,4,0),"")</f>
        <v>APA_PC</v>
      </c>
    </row>
    <row r="1534" spans="1:7" x14ac:dyDescent="0.25">
      <c r="A1534" s="17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IFERROR(VLOOKUP(B1534,'Diciembre 2023'!$B$2:$G$5822,4,0),"")</f>
        <v>ACTPETS</v>
      </c>
    </row>
    <row r="1535" spans="1:7" x14ac:dyDescent="0.25">
      <c r="A1535" s="17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IFERROR(VLOOKUP(B1535,'Diciembre 2023'!$B$2:$G$5822,4,0),"")</f>
        <v>APAPET</v>
      </c>
    </row>
    <row r="1536" spans="1:7" x14ac:dyDescent="0.25">
      <c r="A1536" s="17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IFERROR(VLOOKUP(B1536,'Diciembre 2023'!$B$2:$G$5822,4,0),"")</f>
        <v>APAPET</v>
      </c>
    </row>
    <row r="1537" spans="1:7" x14ac:dyDescent="0.25">
      <c r="A1537" s="17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IFERROR(VLOOKUP(B1537,'Diciembre 2023'!$B$2:$G$5822,4,0),"")</f>
        <v>APAPET</v>
      </c>
    </row>
    <row r="1538" spans="1:7" x14ac:dyDescent="0.25">
      <c r="A1538" s="17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IFERROR(VLOOKUP(B1538,'Diciembre 2023'!$B$2:$G$5822,4,0),"")</f>
        <v>ACTPETS</v>
      </c>
    </row>
    <row r="1539" spans="1:7" x14ac:dyDescent="0.25">
      <c r="A1539" s="17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IFERROR(VLOOKUP(B1539,'Diciembre 2023'!$B$2:$G$5822,4,0),"")</f>
        <v>APAPET</v>
      </c>
    </row>
    <row r="1540" spans="1:7" x14ac:dyDescent="0.25">
      <c r="A1540" s="17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IFERROR(VLOOKUP(B1540,'Diciembre 2023'!$B$2:$G$5822,4,0),"")</f>
        <v>APAPET</v>
      </c>
    </row>
    <row r="1541" spans="1:7" x14ac:dyDescent="0.25">
      <c r="A1541" s="17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IFERROR(VLOOKUP(B1541,'Diciembre 2023'!$B$2:$G$5822,4,0),"")</f>
        <v>ATAPET</v>
      </c>
    </row>
    <row r="1542" spans="1:7" x14ac:dyDescent="0.25">
      <c r="A1542" s="17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IFERROR(VLOOKUP(B1542,'Diciembre 2023'!$B$2:$G$5822,4,0),"")</f>
        <v>APA_PC</v>
      </c>
    </row>
    <row r="1543" spans="1:7" x14ac:dyDescent="0.25">
      <c r="A1543" s="17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IFERROR(VLOOKUP(B1543,'Diciembre 2023'!$B$2:$G$5822,4,0),"")</f>
        <v>ACTPETS</v>
      </c>
    </row>
    <row r="1544" spans="1:7" x14ac:dyDescent="0.25">
      <c r="A1544" s="17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IFERROR(VLOOKUP(B1544,'Diciembre 2023'!$B$2:$G$5822,4,0),"")</f>
        <v>ATAPET</v>
      </c>
    </row>
    <row r="1545" spans="1:7" x14ac:dyDescent="0.25">
      <c r="A1545" s="17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IFERROR(VLOOKUP(B1545,'Diciembre 2023'!$B$2:$G$5822,4,0),"")</f>
        <v>APAPET</v>
      </c>
    </row>
    <row r="1546" spans="1:7" x14ac:dyDescent="0.25">
      <c r="A1546" s="17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IFERROR(VLOOKUP(B1546,'Diciembre 2023'!$B$2:$G$5822,4,0),"")</f>
        <v>APA_PC</v>
      </c>
    </row>
    <row r="1547" spans="1:7" x14ac:dyDescent="0.25">
      <c r="A1547" s="17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IFERROR(VLOOKUP(B1547,'Diciembre 2023'!$B$2:$G$5822,4,0),"")</f>
        <v>APAPET</v>
      </c>
    </row>
    <row r="1548" spans="1:7" x14ac:dyDescent="0.25">
      <c r="A1548" s="17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IFERROR(VLOOKUP(B1548,'Diciembre 2023'!$B$2:$G$5822,4,0),"")</f>
        <v>ACTPETS</v>
      </c>
    </row>
    <row r="1549" spans="1:7" x14ac:dyDescent="0.25">
      <c r="A1549" s="17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IFERROR(VLOOKUP(B1549,'Diciembre 2023'!$B$2:$G$5822,4,0),"")</f>
        <v>APA_PC</v>
      </c>
    </row>
    <row r="1550" spans="1:7" x14ac:dyDescent="0.25">
      <c r="A1550" s="17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IFERROR(VLOOKUP(B1550,'Diciembre 2023'!$B$2:$G$5822,4,0),"")</f>
        <v>APAPET</v>
      </c>
    </row>
    <row r="1551" spans="1:7" x14ac:dyDescent="0.25">
      <c r="A1551" s="17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IFERROR(VLOOKUP(B1551,'Diciembre 2023'!$B$2:$G$5822,4,0),"")</f>
        <v>APA_PC</v>
      </c>
    </row>
    <row r="1552" spans="1:7" x14ac:dyDescent="0.25">
      <c r="A1552" s="17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IFERROR(VLOOKUP(B1552,'Diciembre 2023'!$B$2:$G$5822,4,0),"")</f>
        <v>ATAPET</v>
      </c>
    </row>
    <row r="1553" spans="1:7" x14ac:dyDescent="0.25">
      <c r="A1553" s="17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IFERROR(VLOOKUP(B1553,'Diciembre 2023'!$B$2:$G$5822,4,0),"")</f>
        <v>APAPET</v>
      </c>
    </row>
    <row r="1554" spans="1:7" x14ac:dyDescent="0.25">
      <c r="A1554" s="17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IFERROR(VLOOKUP(B1554,'Diciembre 2023'!$B$2:$G$5822,4,0),"")</f>
        <v>APAPET</v>
      </c>
    </row>
    <row r="1555" spans="1:7" x14ac:dyDescent="0.25">
      <c r="A1555" s="17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IFERROR(VLOOKUP(B1555,'Diciembre 2023'!$B$2:$G$5822,4,0),"")</f>
        <v>APAPET</v>
      </c>
    </row>
    <row r="1556" spans="1:7" x14ac:dyDescent="0.25">
      <c r="A1556" s="17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IFERROR(VLOOKUP(B1556,'Diciembre 2023'!$B$2:$G$5822,4,0),"")</f>
        <v>APAPET</v>
      </c>
    </row>
    <row r="1557" spans="1:7" x14ac:dyDescent="0.25">
      <c r="A1557" s="17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IFERROR(VLOOKUP(B1557,'Diciembre 2023'!$B$2:$G$5822,4,0),"")</f>
        <v>APA_PC</v>
      </c>
    </row>
    <row r="1558" spans="1:7" x14ac:dyDescent="0.25">
      <c r="A1558" s="17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IFERROR(VLOOKUP(B1558,'Diciembre 2023'!$B$2:$G$5822,4,0),"")</f>
        <v>APAPET</v>
      </c>
    </row>
    <row r="1559" spans="1:7" x14ac:dyDescent="0.25">
      <c r="A1559" s="17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IFERROR(VLOOKUP(B1559,'Diciembre 2023'!$B$2:$G$5822,4,0),"")</f>
        <v>APA_PC</v>
      </c>
    </row>
    <row r="1560" spans="1:7" x14ac:dyDescent="0.25">
      <c r="A1560" s="17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IFERROR(VLOOKUP(B1560,'Diciembre 2023'!$B$2:$G$5822,4,0),"")</f>
        <v>APA_PC</v>
      </c>
    </row>
    <row r="1561" spans="1:7" x14ac:dyDescent="0.25">
      <c r="A1561" s="17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IFERROR(VLOOKUP(B1561,'Diciembre 2023'!$B$2:$G$5822,4,0),"")</f>
        <v>APA_PC</v>
      </c>
    </row>
    <row r="1562" spans="1:7" x14ac:dyDescent="0.25">
      <c r="A1562" s="17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IFERROR(VLOOKUP(B1562,'Diciembre 2023'!$B$2:$G$5822,4,0),"")</f>
        <v>APA_PC</v>
      </c>
    </row>
    <row r="1563" spans="1:7" x14ac:dyDescent="0.25">
      <c r="A1563" s="17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IFERROR(VLOOKUP(B1563,'Diciembre 2023'!$B$2:$G$5822,4,0),"")</f>
        <v>APA_PC</v>
      </c>
    </row>
    <row r="1564" spans="1:7" x14ac:dyDescent="0.25">
      <c r="A1564" s="17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IFERROR(VLOOKUP(B1564,'Diciembre 2023'!$B$2:$G$5822,4,0),"")</f>
        <v>ACTPETS</v>
      </c>
    </row>
    <row r="1565" spans="1:7" x14ac:dyDescent="0.25">
      <c r="A1565" s="17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IFERROR(VLOOKUP(B1565,'Diciembre 2023'!$B$2:$G$5822,4,0),"")</f>
        <v>APAPET</v>
      </c>
    </row>
    <row r="1566" spans="1:7" x14ac:dyDescent="0.25">
      <c r="A1566" s="17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IFERROR(VLOOKUP(B1566,'Diciembre 2023'!$B$2:$G$5822,4,0),"")</f>
        <v>APAPET</v>
      </c>
    </row>
    <row r="1567" spans="1:7" x14ac:dyDescent="0.25">
      <c r="A1567" s="17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IFERROR(VLOOKUP(B1567,'Diciembre 2023'!$B$2:$G$5822,4,0),"")</f>
        <v>APAPET</v>
      </c>
    </row>
    <row r="1568" spans="1:7" x14ac:dyDescent="0.25">
      <c r="A1568" s="17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IFERROR(VLOOKUP(B1568,'Diciembre 2023'!$B$2:$G$5822,4,0),"")</f>
        <v>APAPET</v>
      </c>
    </row>
    <row r="1569" spans="1:7" x14ac:dyDescent="0.25">
      <c r="A1569" s="17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IFERROR(VLOOKUP(B1569,'Diciembre 2023'!$B$2:$G$5822,4,0),"")</f>
        <v>APA_PC</v>
      </c>
    </row>
    <row r="1570" spans="1:7" x14ac:dyDescent="0.25">
      <c r="A1570" s="17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IFERROR(VLOOKUP(B1570,'Diciembre 2023'!$B$2:$G$5822,4,0),"")</f>
        <v>APAPET</v>
      </c>
    </row>
    <row r="1571" spans="1:7" x14ac:dyDescent="0.25">
      <c r="A1571" s="17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IFERROR(VLOOKUP(B1571,'Diciembre 2023'!$B$2:$G$5822,4,0),"")</f>
        <v>ACTPETS</v>
      </c>
    </row>
    <row r="1572" spans="1:7" x14ac:dyDescent="0.25">
      <c r="A1572" s="17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IFERROR(VLOOKUP(B1572,'Diciembre 2023'!$B$2:$G$5822,4,0),"")</f>
        <v>APAPET</v>
      </c>
    </row>
    <row r="1573" spans="1:7" x14ac:dyDescent="0.25">
      <c r="A1573" s="17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IFERROR(VLOOKUP(B1573,'Diciembre 2023'!$B$2:$G$5822,4,0),"")</f>
        <v>APA_PC</v>
      </c>
    </row>
    <row r="1574" spans="1:7" x14ac:dyDescent="0.25">
      <c r="A1574" s="17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IFERROR(VLOOKUP(B1574,'Diciembre 2023'!$B$2:$G$5822,4,0),"")</f>
        <v>APA_PC</v>
      </c>
    </row>
    <row r="1575" spans="1:7" x14ac:dyDescent="0.25">
      <c r="A1575" s="17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IFERROR(VLOOKUP(B1575,'Diciembre 2023'!$B$2:$G$5822,4,0),"")</f>
        <v>APA_PC</v>
      </c>
    </row>
    <row r="1576" spans="1:7" x14ac:dyDescent="0.25">
      <c r="A1576" s="17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IFERROR(VLOOKUP(B1576,'Diciembre 2023'!$B$2:$G$5822,4,0),"")</f>
        <v>APA_PC</v>
      </c>
    </row>
    <row r="1577" spans="1:7" x14ac:dyDescent="0.25">
      <c r="A1577" s="17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IFERROR(VLOOKUP(B1577,'Diciembre 2023'!$B$2:$G$5822,4,0),"")</f>
        <v>APAPET</v>
      </c>
    </row>
    <row r="1578" spans="1:7" x14ac:dyDescent="0.25">
      <c r="A1578" s="17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IFERROR(VLOOKUP(B1578,'Diciembre 2023'!$B$2:$G$5822,4,0),"")</f>
        <v>APAPET</v>
      </c>
    </row>
    <row r="1579" spans="1:7" x14ac:dyDescent="0.25">
      <c r="A1579" s="17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IFERROR(VLOOKUP(B1579,'Diciembre 2023'!$B$2:$G$5822,4,0),"")</f>
        <v>ACTPETF</v>
      </c>
    </row>
    <row r="1580" spans="1:7" x14ac:dyDescent="0.25">
      <c r="A1580" s="17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IFERROR(VLOOKUP(B1580,'Diciembre 2023'!$B$2:$G$5822,4,0),"")</f>
        <v>APA_PC</v>
      </c>
    </row>
    <row r="1581" spans="1:7" x14ac:dyDescent="0.25">
      <c r="A1581" s="17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IFERROR(VLOOKUP(B1581,'Diciembre 2023'!$B$2:$G$5822,4,0),"")</f>
        <v>BM</v>
      </c>
    </row>
    <row r="1582" spans="1:7" x14ac:dyDescent="0.25">
      <c r="A1582" s="17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IFERROR(VLOOKUP(B1582,'Diciembre 2023'!$B$2:$G$5822,4,0),"")</f>
        <v>APAPET</v>
      </c>
    </row>
    <row r="1583" spans="1:7" x14ac:dyDescent="0.25">
      <c r="A1583" s="17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IFERROR(VLOOKUP(B1583,'Diciembre 2023'!$B$2:$G$5822,4,0),"")</f>
        <v>ACTPETS</v>
      </c>
    </row>
    <row r="1584" spans="1:7" x14ac:dyDescent="0.25">
      <c r="A1584" s="17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IFERROR(VLOOKUP(B1584,'Diciembre 2023'!$B$2:$G$5822,4,0),"")</f>
        <v>ATAPET</v>
      </c>
    </row>
    <row r="1585" spans="1:7" x14ac:dyDescent="0.25">
      <c r="A1585" s="17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IFERROR(VLOOKUP(B1585,'Diciembre 2023'!$B$2:$G$5822,4,0),"")</f>
        <v>APAPET</v>
      </c>
    </row>
    <row r="1586" spans="1:7" x14ac:dyDescent="0.25">
      <c r="A1586" s="17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IFERROR(VLOOKUP(B1586,'Diciembre 2023'!$B$2:$G$5822,4,0),"")</f>
        <v>APA_PC</v>
      </c>
    </row>
    <row r="1587" spans="1:7" x14ac:dyDescent="0.25">
      <c r="A1587" s="17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IFERROR(VLOOKUP(B1587,'Diciembre 2023'!$B$2:$G$5822,4,0),"")</f>
        <v>INACTPETS</v>
      </c>
    </row>
    <row r="1588" spans="1:7" x14ac:dyDescent="0.25">
      <c r="A1588" s="17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IFERROR(VLOOKUP(B1588,'Diciembre 2023'!$B$2:$G$5822,4,0),"")</f>
        <v>APAPET</v>
      </c>
    </row>
    <row r="1589" spans="1:7" x14ac:dyDescent="0.25">
      <c r="A1589" s="17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IFERROR(VLOOKUP(B1589,'Diciembre 2023'!$B$2:$G$5822,4,0),"")</f>
        <v>APA_PC</v>
      </c>
    </row>
    <row r="1590" spans="1:7" x14ac:dyDescent="0.25">
      <c r="A1590" s="17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IFERROR(VLOOKUP(B1590,'Diciembre 2023'!$B$2:$G$5822,4,0),"")</f>
        <v>APAPET</v>
      </c>
    </row>
    <row r="1591" spans="1:7" x14ac:dyDescent="0.25">
      <c r="A1591" s="17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IFERROR(VLOOKUP(B1591,'Diciembre 2023'!$B$2:$G$5822,4,0),"")</f>
        <v>ATAPET</v>
      </c>
    </row>
    <row r="1592" spans="1:7" x14ac:dyDescent="0.25">
      <c r="A1592" s="17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IFERROR(VLOOKUP(B1592,'Diciembre 2023'!$B$2:$G$5822,4,0),"")</f>
        <v>APAPET</v>
      </c>
    </row>
    <row r="1593" spans="1:7" x14ac:dyDescent="0.25">
      <c r="A1593" s="17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IFERROR(VLOOKUP(B1593,'Diciembre 2023'!$B$2:$G$5822,4,0),"")</f>
        <v>APAPET</v>
      </c>
    </row>
    <row r="1594" spans="1:7" x14ac:dyDescent="0.25">
      <c r="A1594" s="17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IFERROR(VLOOKUP(B1594,'Diciembre 2023'!$B$2:$G$5822,4,0),"")</f>
        <v>APA_PC</v>
      </c>
    </row>
    <row r="1595" spans="1:7" x14ac:dyDescent="0.25">
      <c r="A1595" s="17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IFERROR(VLOOKUP(B1595,'Diciembre 2023'!$B$2:$G$5822,4,0),"")</f>
        <v>APAPET</v>
      </c>
    </row>
    <row r="1596" spans="1:7" x14ac:dyDescent="0.25">
      <c r="A1596" s="17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IFERROR(VLOOKUP(B1596,'Diciembre 2023'!$B$2:$G$5822,4,0),"")</f>
        <v>ACTPETS</v>
      </c>
    </row>
    <row r="1597" spans="1:7" x14ac:dyDescent="0.25">
      <c r="A1597" s="17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IFERROR(VLOOKUP(B1597,'Diciembre 2023'!$B$2:$G$5822,4,0),"")</f>
        <v>APAPET</v>
      </c>
    </row>
    <row r="1598" spans="1:7" x14ac:dyDescent="0.25">
      <c r="A1598" s="17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IFERROR(VLOOKUP(B1598,'Diciembre 2023'!$B$2:$G$5822,4,0),"")</f>
        <v>APAPET</v>
      </c>
    </row>
    <row r="1599" spans="1:7" x14ac:dyDescent="0.25">
      <c r="A1599" s="17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IFERROR(VLOOKUP(B1599,'Diciembre 2023'!$B$2:$G$5822,4,0),"")</f>
        <v>ACTPETS</v>
      </c>
    </row>
    <row r="1600" spans="1:7" x14ac:dyDescent="0.25">
      <c r="A1600" s="17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IFERROR(VLOOKUP(B1600,'Diciembre 2023'!$B$2:$G$5822,4,0),"")</f>
        <v>APAPET</v>
      </c>
    </row>
    <row r="1601" spans="1:7" x14ac:dyDescent="0.25">
      <c r="A1601" s="17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IFERROR(VLOOKUP(B1601,'Diciembre 2023'!$B$2:$G$5822,4,0),"")</f>
        <v>APA_PC</v>
      </c>
    </row>
    <row r="1602" spans="1:7" x14ac:dyDescent="0.25">
      <c r="A1602" s="17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IFERROR(VLOOKUP(B1602,'Diciembre 2023'!$B$2:$G$5822,4,0),"")</f>
        <v>APAPET</v>
      </c>
    </row>
    <row r="1603" spans="1:7" x14ac:dyDescent="0.25">
      <c r="A1603" s="17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IFERROR(VLOOKUP(B1603,'Diciembre 2023'!$B$2:$G$5822,4,0),"")</f>
        <v>ACTPETS</v>
      </c>
    </row>
    <row r="1604" spans="1:7" x14ac:dyDescent="0.25">
      <c r="A1604" s="17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IFERROR(VLOOKUP(B1604,'Diciembre 2023'!$B$2:$G$5822,4,0),"")</f>
        <v>ACTPETS</v>
      </c>
    </row>
    <row r="1605" spans="1:7" x14ac:dyDescent="0.25">
      <c r="A1605" s="17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IFERROR(VLOOKUP(B1605,'Diciembre 2023'!$B$2:$G$5822,4,0),"")</f>
        <v>APAPET</v>
      </c>
    </row>
    <row r="1606" spans="1:7" x14ac:dyDescent="0.25">
      <c r="A1606" s="17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IFERROR(VLOOKUP(B1606,'Diciembre 2023'!$B$2:$G$5822,4,0),"")</f>
        <v>APA_PC</v>
      </c>
    </row>
    <row r="1607" spans="1:7" x14ac:dyDescent="0.25">
      <c r="A1607" s="17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IFERROR(VLOOKUP(B1607,'Diciembre 2023'!$B$2:$G$5822,4,0),"")</f>
        <v>APAPET</v>
      </c>
    </row>
    <row r="1608" spans="1:7" x14ac:dyDescent="0.25">
      <c r="A1608" s="17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IFERROR(VLOOKUP(B1608,'Diciembre 2023'!$B$2:$G$5822,4,0),"")</f>
        <v>ACTPETS</v>
      </c>
    </row>
    <row r="1609" spans="1:7" x14ac:dyDescent="0.25">
      <c r="A1609" s="17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IFERROR(VLOOKUP(B1609,'Diciembre 2023'!$B$2:$G$5822,4,0),"")</f>
        <v>BM</v>
      </c>
    </row>
    <row r="1610" spans="1:7" x14ac:dyDescent="0.25">
      <c r="A1610" s="17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IFERROR(VLOOKUP(B1610,'Diciembre 2023'!$B$2:$G$5822,4,0),"")</f>
        <v>ATAPET</v>
      </c>
    </row>
    <row r="1611" spans="1:7" x14ac:dyDescent="0.25">
      <c r="A1611" s="17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IFERROR(VLOOKUP(B1611,'Diciembre 2023'!$B$2:$G$5822,4,0),"")</f>
        <v>ATAPET</v>
      </c>
    </row>
    <row r="1612" spans="1:7" x14ac:dyDescent="0.25">
      <c r="A1612" s="17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IFERROR(VLOOKUP(B1612,'Diciembre 2023'!$B$2:$G$5822,4,0),"")</f>
        <v>ACTPETS</v>
      </c>
    </row>
    <row r="1613" spans="1:7" x14ac:dyDescent="0.25">
      <c r="A1613" s="17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IFERROR(VLOOKUP(B1613,'Diciembre 2023'!$B$2:$G$5822,4,0),"")</f>
        <v>ACTPETS</v>
      </c>
    </row>
    <row r="1614" spans="1:7" x14ac:dyDescent="0.25">
      <c r="A1614" s="17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IFERROR(VLOOKUP(B1614,'Diciembre 2023'!$B$2:$G$5822,4,0),"")</f>
        <v>APAPET</v>
      </c>
    </row>
    <row r="1615" spans="1:7" x14ac:dyDescent="0.25">
      <c r="A1615" s="17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IFERROR(VLOOKUP(B1615,'Diciembre 2023'!$B$2:$G$5822,4,0),"")</f>
        <v>BO</v>
      </c>
    </row>
    <row r="1616" spans="1:7" x14ac:dyDescent="0.25">
      <c r="A1616" s="17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IFERROR(VLOOKUP(B1616,'Diciembre 2023'!$B$2:$G$5822,4,0),"")</f>
        <v>ACTPETS</v>
      </c>
    </row>
    <row r="1617" spans="1:7" x14ac:dyDescent="0.25">
      <c r="A1617" s="17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IFERROR(VLOOKUP(B1617,'Diciembre 2023'!$B$2:$G$5822,4,0),"")</f>
        <v>APA_PC</v>
      </c>
    </row>
    <row r="1618" spans="1:7" x14ac:dyDescent="0.25">
      <c r="A1618" s="17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IFERROR(VLOOKUP(B1618,'Diciembre 2023'!$B$2:$G$5822,4,0),"")</f>
        <v>BO</v>
      </c>
    </row>
    <row r="1619" spans="1:7" x14ac:dyDescent="0.25">
      <c r="A1619" s="17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IFERROR(VLOOKUP(B1619,'Diciembre 2023'!$B$2:$G$5822,4,0),"")</f>
        <v>INACTBM</v>
      </c>
    </row>
    <row r="1620" spans="1:7" x14ac:dyDescent="0.25">
      <c r="A1620" s="17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IFERROR(VLOOKUP(B1620,'Diciembre 2023'!$B$2:$G$5822,4,0),"")</f>
        <v>APAPET</v>
      </c>
    </row>
    <row r="1621" spans="1:7" x14ac:dyDescent="0.25">
      <c r="A1621" s="17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IFERROR(VLOOKUP(B1621,'Diciembre 2023'!$B$2:$G$5822,4,0),"")</f>
        <v>INACTPETS</v>
      </c>
    </row>
    <row r="1622" spans="1:7" x14ac:dyDescent="0.25">
      <c r="A1622" s="17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IFERROR(VLOOKUP(B1622,'Diciembre 2023'!$B$2:$G$5822,4,0),"")</f>
        <v>INACTBM</v>
      </c>
    </row>
    <row r="1623" spans="1:7" x14ac:dyDescent="0.25">
      <c r="A1623" s="17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IFERROR(VLOOKUP(B1623,'Diciembre 2023'!$B$2:$G$5822,4,0),"")</f>
        <v>APAPET</v>
      </c>
    </row>
    <row r="1624" spans="1:7" x14ac:dyDescent="0.25">
      <c r="A1624" s="17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IFERROR(VLOOKUP(B1624,'Diciembre 2023'!$B$2:$G$5822,4,0),"")</f>
        <v>ACTPETS</v>
      </c>
    </row>
    <row r="1625" spans="1:7" x14ac:dyDescent="0.25">
      <c r="A1625" s="17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IFERROR(VLOOKUP(B1625,'Diciembre 2023'!$B$2:$G$5822,4,0),"")</f>
        <v>ACTPETS</v>
      </c>
    </row>
    <row r="1626" spans="1:7" x14ac:dyDescent="0.25">
      <c r="A1626" s="17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IFERROR(VLOOKUP(B1626,'Diciembre 2023'!$B$2:$G$5822,4,0),"")</f>
        <v>ATAPET</v>
      </c>
    </row>
    <row r="1627" spans="1:7" x14ac:dyDescent="0.25">
      <c r="A1627" s="17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IFERROR(VLOOKUP(B1627,'Diciembre 2023'!$B$2:$G$5822,4,0),"")</f>
        <v>APAPET</v>
      </c>
    </row>
    <row r="1628" spans="1:7" x14ac:dyDescent="0.25">
      <c r="A1628" s="17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IFERROR(VLOOKUP(B1628,'Diciembre 2023'!$B$2:$G$5822,4,0),"")</f>
        <v>APA_CNPC</v>
      </c>
    </row>
    <row r="1629" spans="1:7" x14ac:dyDescent="0.25">
      <c r="A1629" s="17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IFERROR(VLOOKUP(B1629,'Diciembre 2023'!$B$2:$G$5822,4,0),"")</f>
        <v>APA_PC</v>
      </c>
    </row>
    <row r="1630" spans="1:7" x14ac:dyDescent="0.25">
      <c r="A1630" s="17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tr">
        <f>IFERROR(VLOOKUP(B1630,'Diciembre 2023'!$B$2:$G$5822,4,0),"")</f>
        <v>ACTPETS</v>
      </c>
    </row>
    <row r="1631" spans="1:7" x14ac:dyDescent="0.25">
      <c r="A1631" s="17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IFERROR(VLOOKUP(B1631,'Diciembre 2023'!$B$2:$G$5822,4,0),"")</f>
        <v>ACTPETS</v>
      </c>
    </row>
    <row r="1632" spans="1:7" x14ac:dyDescent="0.25">
      <c r="A1632" s="17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IFERROR(VLOOKUP(B1632,'Diciembre 2023'!$B$2:$G$5822,4,0),"")</f>
        <v>ATAPET</v>
      </c>
    </row>
    <row r="1633" spans="1:7" x14ac:dyDescent="0.25">
      <c r="A1633" s="17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IFERROR(VLOOKUP(B1633,'Diciembre 2023'!$B$2:$G$5822,4,0),"")</f>
        <v>ACTPETS</v>
      </c>
    </row>
    <row r="1634" spans="1:7" x14ac:dyDescent="0.25">
      <c r="A1634" s="17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IFERROR(VLOOKUP(B1634,'Diciembre 2023'!$B$2:$G$5822,4,0),"")</f>
        <v>APA_PC</v>
      </c>
    </row>
    <row r="1635" spans="1:7" x14ac:dyDescent="0.25">
      <c r="A1635" s="17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IFERROR(VLOOKUP(B1635,'Diciembre 2023'!$B$2:$G$5822,4,0),"")</f>
        <v>BM</v>
      </c>
    </row>
    <row r="1636" spans="1:7" x14ac:dyDescent="0.25">
      <c r="A1636" s="17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IFERROR(VLOOKUP(B1636,'Diciembre 2023'!$B$2:$G$5822,4,0),"")</f>
        <v>ACTPETS</v>
      </c>
    </row>
    <row r="1637" spans="1:7" x14ac:dyDescent="0.25">
      <c r="A1637" s="17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IFERROR(VLOOKUP(B1637,'Diciembre 2023'!$B$2:$G$5822,4,0),"")</f>
        <v>ACTPETS</v>
      </c>
    </row>
    <row r="1638" spans="1:7" x14ac:dyDescent="0.25">
      <c r="A1638" s="17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IFERROR(VLOOKUP(B1638,'Diciembre 2023'!$B$2:$G$5822,4,0),"")</f>
        <v>ATAPET</v>
      </c>
    </row>
    <row r="1639" spans="1:7" x14ac:dyDescent="0.25">
      <c r="A1639" s="17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IFERROR(VLOOKUP(B1639,'Diciembre 2023'!$B$2:$G$5822,4,0),"")</f>
        <v>APA_PC</v>
      </c>
    </row>
    <row r="1640" spans="1:7" x14ac:dyDescent="0.25">
      <c r="A1640" s="17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IFERROR(VLOOKUP(B1640,'Diciembre 2023'!$B$2:$G$5822,4,0),"")</f>
        <v>APAPET</v>
      </c>
    </row>
    <row r="1641" spans="1:7" x14ac:dyDescent="0.25">
      <c r="A1641" s="17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IFERROR(VLOOKUP(B1641,'Diciembre 2023'!$B$2:$G$5822,4,0),"")</f>
        <v>INACTBM</v>
      </c>
    </row>
    <row r="1642" spans="1:7" x14ac:dyDescent="0.25">
      <c r="A1642" s="17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IFERROR(VLOOKUP(B1642,'Diciembre 2023'!$B$2:$G$5822,4,0),"")</f>
        <v>APA_PC</v>
      </c>
    </row>
    <row r="1643" spans="1:7" x14ac:dyDescent="0.25">
      <c r="A1643" s="17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IFERROR(VLOOKUP(B1643,'Diciembre 2023'!$B$2:$G$5822,4,0),"")</f>
        <v>ACTPETS</v>
      </c>
    </row>
    <row r="1644" spans="1:7" x14ac:dyDescent="0.25">
      <c r="A1644" s="17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IFERROR(VLOOKUP(B1644,'Diciembre 2023'!$B$2:$G$5822,4,0),"")</f>
        <v>ACTPETS</v>
      </c>
    </row>
    <row r="1645" spans="1:7" x14ac:dyDescent="0.25">
      <c r="A1645" s="17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IFERROR(VLOOKUP(B1645,'Diciembre 2023'!$B$2:$G$5822,4,0),"")</f>
        <v>ACTPETS</v>
      </c>
    </row>
    <row r="1646" spans="1:7" x14ac:dyDescent="0.25">
      <c r="A1646" s="17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IFERROR(VLOOKUP(B1646,'Diciembre 2023'!$B$2:$G$5822,4,0),"")</f>
        <v>INACTPETF</v>
      </c>
    </row>
    <row r="1647" spans="1:7" x14ac:dyDescent="0.25">
      <c r="A1647" s="17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IFERROR(VLOOKUP(B1647,'Diciembre 2023'!$B$2:$G$5822,4,0),"")</f>
        <v>ACTPETS</v>
      </c>
    </row>
    <row r="1648" spans="1:7" x14ac:dyDescent="0.25">
      <c r="A1648" s="17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IFERROR(VLOOKUP(B1648,'Diciembre 2023'!$B$2:$G$5822,4,0),"")</f>
        <v>INACTPETS</v>
      </c>
    </row>
    <row r="1649" spans="1:7" x14ac:dyDescent="0.25">
      <c r="A1649" s="17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IFERROR(VLOOKUP(B1649,'Diciembre 2023'!$B$2:$G$5822,4,0),"")</f>
        <v>INACTPETS</v>
      </c>
    </row>
    <row r="1650" spans="1:7" x14ac:dyDescent="0.25">
      <c r="A1650" s="17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IFERROR(VLOOKUP(B1650,'Diciembre 2023'!$B$2:$G$5822,4,0),"")</f>
        <v>ACTPETS</v>
      </c>
    </row>
    <row r="1651" spans="1:7" x14ac:dyDescent="0.25">
      <c r="A1651" s="17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IFERROR(VLOOKUP(B1651,'Diciembre 2023'!$B$2:$G$5822,4,0),"")</f>
        <v>BM</v>
      </c>
    </row>
    <row r="1652" spans="1:7" x14ac:dyDescent="0.25">
      <c r="A1652" s="17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IFERROR(VLOOKUP(B1652,'Diciembre 2023'!$B$2:$G$5822,4,0),"")</f>
        <v>ACTPETS</v>
      </c>
    </row>
    <row r="1653" spans="1:7" x14ac:dyDescent="0.25">
      <c r="A1653" s="17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IFERROR(VLOOKUP(B1653,'Diciembre 2023'!$B$2:$G$5822,4,0),"")</f>
        <v>ACTPETS</v>
      </c>
    </row>
    <row r="1654" spans="1:7" x14ac:dyDescent="0.25">
      <c r="A1654" s="17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IFERROR(VLOOKUP(B1654,'Diciembre 2023'!$B$2:$G$5822,4,0),"")</f>
        <v>ACTPETS</v>
      </c>
    </row>
    <row r="1655" spans="1:7" x14ac:dyDescent="0.25">
      <c r="A1655" s="17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IFERROR(VLOOKUP(B1655,'Diciembre 2023'!$B$2:$G$5822,4,0),"")</f>
        <v>APA_PC</v>
      </c>
    </row>
    <row r="1656" spans="1:7" x14ac:dyDescent="0.25">
      <c r="A1656" s="17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IFERROR(VLOOKUP(B1656,'Diciembre 2023'!$B$2:$G$5822,4,0),"")</f>
        <v>ACTPETS</v>
      </c>
    </row>
    <row r="1657" spans="1:7" x14ac:dyDescent="0.25">
      <c r="A1657" s="17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IFERROR(VLOOKUP(B1657,'Diciembre 2023'!$B$2:$G$5822,4,0),"")</f>
        <v>APAPET</v>
      </c>
    </row>
    <row r="1658" spans="1:7" x14ac:dyDescent="0.25">
      <c r="A1658" s="17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IFERROR(VLOOKUP(B1658,'Diciembre 2023'!$B$2:$G$5822,4,0),"")</f>
        <v>APAPET</v>
      </c>
    </row>
    <row r="1659" spans="1:7" x14ac:dyDescent="0.25">
      <c r="A1659" s="17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IFERROR(VLOOKUP(B1659,'Diciembre 2023'!$B$2:$G$5822,4,0),"")</f>
        <v>APAPET</v>
      </c>
    </row>
    <row r="1660" spans="1:7" x14ac:dyDescent="0.25">
      <c r="A1660" s="17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IFERROR(VLOOKUP(B1660,'Diciembre 2023'!$B$2:$G$5822,4,0),"")</f>
        <v>APA_PC</v>
      </c>
    </row>
    <row r="1661" spans="1:7" x14ac:dyDescent="0.25">
      <c r="A1661" s="17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IFERROR(VLOOKUP(B1661,'Diciembre 2023'!$B$2:$G$5822,4,0),"")</f>
        <v>ATAPET</v>
      </c>
    </row>
    <row r="1662" spans="1:7" x14ac:dyDescent="0.25">
      <c r="A1662" s="17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IFERROR(VLOOKUP(B1662,'Diciembre 2023'!$B$2:$G$5822,4,0),"")</f>
        <v>ACTPETS</v>
      </c>
    </row>
    <row r="1663" spans="1:7" x14ac:dyDescent="0.25">
      <c r="A1663" s="17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IFERROR(VLOOKUP(B1663,'Diciembre 2023'!$B$2:$G$5822,4,0),"")</f>
        <v>APAPET</v>
      </c>
    </row>
    <row r="1664" spans="1:7" x14ac:dyDescent="0.25">
      <c r="A1664" s="17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IFERROR(VLOOKUP(B1664,'Diciembre 2023'!$B$2:$G$5822,4,0),"")</f>
        <v>APAPET</v>
      </c>
    </row>
    <row r="1665" spans="1:7" x14ac:dyDescent="0.25">
      <c r="A1665" s="17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IFERROR(VLOOKUP(B1665,'Diciembre 2023'!$B$2:$G$5822,4,0),"")</f>
        <v>APAPET</v>
      </c>
    </row>
    <row r="1666" spans="1:7" x14ac:dyDescent="0.25">
      <c r="A1666" s="17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IFERROR(VLOOKUP(B1666,'Diciembre 2023'!$B$2:$G$5822,4,0),"")</f>
        <v>APA_PC</v>
      </c>
    </row>
    <row r="1667" spans="1:7" x14ac:dyDescent="0.25">
      <c r="A1667" s="17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IFERROR(VLOOKUP(B1667,'Diciembre 2023'!$B$2:$G$5822,4,0),"")</f>
        <v>APAPET</v>
      </c>
    </row>
    <row r="1668" spans="1:7" x14ac:dyDescent="0.25">
      <c r="A1668" s="17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IFERROR(VLOOKUP(B1668,'Diciembre 2023'!$B$2:$G$5822,4,0),"")</f>
        <v>APAPET</v>
      </c>
    </row>
    <row r="1669" spans="1:7" x14ac:dyDescent="0.25">
      <c r="A1669" s="17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IFERROR(VLOOKUP(B1669,'Diciembre 2023'!$B$2:$G$5822,4,0),"")</f>
        <v>APAPET</v>
      </c>
    </row>
    <row r="1670" spans="1:7" x14ac:dyDescent="0.25">
      <c r="A1670" s="17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IFERROR(VLOOKUP(B1670,'Diciembre 2023'!$B$2:$G$5822,4,0),"")</f>
        <v>APAPET</v>
      </c>
    </row>
    <row r="1671" spans="1:7" x14ac:dyDescent="0.25">
      <c r="A1671" s="17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IFERROR(VLOOKUP(B1671,'Diciembre 2023'!$B$2:$G$5822,4,0),"")</f>
        <v>APAPET</v>
      </c>
    </row>
    <row r="1672" spans="1:7" x14ac:dyDescent="0.25">
      <c r="A1672" s="17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IFERROR(VLOOKUP(B1672,'Diciembre 2023'!$B$2:$G$5822,4,0),"")</f>
        <v>APA_PC</v>
      </c>
    </row>
    <row r="1673" spans="1:7" x14ac:dyDescent="0.25">
      <c r="A1673" s="17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IFERROR(VLOOKUP(B1673,'Diciembre 2023'!$B$2:$G$5822,4,0),"")</f>
        <v>APAPET</v>
      </c>
    </row>
    <row r="1674" spans="1:7" x14ac:dyDescent="0.25">
      <c r="A1674" s="17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IFERROR(VLOOKUP(B1674,'Diciembre 2023'!$B$2:$G$5822,4,0),"")</f>
        <v>ACTPETS</v>
      </c>
    </row>
    <row r="1675" spans="1:7" x14ac:dyDescent="0.25">
      <c r="A1675" s="17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IFERROR(VLOOKUP(B1675,'Diciembre 2023'!$B$2:$G$5822,4,0),"")</f>
        <v>INACTPETS</v>
      </c>
    </row>
    <row r="1676" spans="1:7" x14ac:dyDescent="0.25">
      <c r="A1676" s="17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IFERROR(VLOOKUP(B1676,'Diciembre 2023'!$B$2:$G$5822,4,0),"")</f>
        <v>BM</v>
      </c>
    </row>
    <row r="1677" spans="1:7" x14ac:dyDescent="0.25">
      <c r="A1677" s="17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IFERROR(VLOOKUP(B1677,'Diciembre 2023'!$B$2:$G$5822,4,0),"")</f>
        <v>BO</v>
      </c>
    </row>
    <row r="1678" spans="1:7" x14ac:dyDescent="0.25">
      <c r="A1678" s="17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IFERROR(VLOOKUP(B1678,'Diciembre 2023'!$B$2:$G$5822,4,0),"")</f>
        <v>APA_PC</v>
      </c>
    </row>
    <row r="1679" spans="1:7" x14ac:dyDescent="0.25">
      <c r="A1679" s="17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IFERROR(VLOOKUP(B1679,'Diciembre 2023'!$B$2:$G$5822,4,0),"")</f>
        <v>BM</v>
      </c>
    </row>
    <row r="1680" spans="1:7" x14ac:dyDescent="0.25">
      <c r="A1680" s="17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IFERROR(VLOOKUP(B1680,'Diciembre 2023'!$B$2:$G$5822,4,0),"")</f>
        <v>APAPET</v>
      </c>
    </row>
    <row r="1681" spans="1:7" x14ac:dyDescent="0.25">
      <c r="A1681" s="17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IFERROR(VLOOKUP(B1681,'Diciembre 2023'!$B$2:$G$5822,4,0),"")</f>
        <v>ACTPETS</v>
      </c>
    </row>
    <row r="1682" spans="1:7" x14ac:dyDescent="0.25">
      <c r="A1682" s="17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IFERROR(VLOOKUP(B1682,'Diciembre 2023'!$B$2:$G$5822,4,0),"")</f>
        <v>ACTPETS</v>
      </c>
    </row>
    <row r="1683" spans="1:7" x14ac:dyDescent="0.25">
      <c r="A1683" s="17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IFERROR(VLOOKUP(B1683,'Diciembre 2023'!$B$2:$G$5822,4,0),"")</f>
        <v>BM</v>
      </c>
    </row>
    <row r="1684" spans="1:7" x14ac:dyDescent="0.25">
      <c r="A1684" s="17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IFERROR(VLOOKUP(B1684,'Diciembre 2023'!$B$2:$G$5822,4,0),"")</f>
        <v>ACTPETS</v>
      </c>
    </row>
    <row r="1685" spans="1:7" x14ac:dyDescent="0.25">
      <c r="A1685" s="17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IFERROR(VLOOKUP(B1685,'Diciembre 2023'!$B$2:$G$5822,4,0),"")</f>
        <v>APA_PC</v>
      </c>
    </row>
    <row r="1686" spans="1:7" x14ac:dyDescent="0.25">
      <c r="A1686" s="17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IFERROR(VLOOKUP(B1686,'Diciembre 2023'!$B$2:$G$5822,4,0),"")</f>
        <v>ACTPETS</v>
      </c>
    </row>
    <row r="1687" spans="1:7" x14ac:dyDescent="0.25">
      <c r="A1687" s="17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IFERROR(VLOOKUP(B1687,'Diciembre 2023'!$B$2:$G$5822,4,0),"")</f>
        <v>INACTBM</v>
      </c>
    </row>
    <row r="1688" spans="1:7" x14ac:dyDescent="0.25">
      <c r="A1688" s="17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IFERROR(VLOOKUP(B1688,'Diciembre 2023'!$B$2:$G$5822,4,0),"")</f>
        <v>ATAPET</v>
      </c>
    </row>
    <row r="1689" spans="1:7" x14ac:dyDescent="0.25">
      <c r="A1689" s="17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IFERROR(VLOOKUP(B1689,'Diciembre 2023'!$B$2:$G$5822,4,0),"")</f>
        <v>ACTPETS</v>
      </c>
    </row>
    <row r="1690" spans="1:7" x14ac:dyDescent="0.25">
      <c r="A1690" s="17"/>
      <c r="B1690" s="4" t="s">
        <v>1588</v>
      </c>
      <c r="C1690" s="4" t="s">
        <v>14</v>
      </c>
      <c r="D1690" s="4" t="s">
        <v>15</v>
      </c>
      <c r="E1690" s="4" t="s">
        <v>16</v>
      </c>
      <c r="F1690" s="4" t="s">
        <v>14</v>
      </c>
      <c r="G1690" s="5" t="str">
        <f>IFERROR(VLOOKUP(B1690,'Diciembre 2023'!$B$2:$G$5822,4,0),"")</f>
        <v>ATAPET</v>
      </c>
    </row>
    <row r="1691" spans="1:7" x14ac:dyDescent="0.25">
      <c r="A1691" s="17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IFERROR(VLOOKUP(B1691,'Diciembre 2023'!$B$2:$G$5822,4,0),"")</f>
        <v>ACTPETS</v>
      </c>
    </row>
    <row r="1692" spans="1:7" x14ac:dyDescent="0.25">
      <c r="A1692" s="17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IFERROR(VLOOKUP(B1692,'Diciembre 2023'!$B$2:$G$5822,4,0),"")</f>
        <v>INACTPETS</v>
      </c>
    </row>
    <row r="1693" spans="1:7" x14ac:dyDescent="0.25">
      <c r="A1693" s="17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IFERROR(VLOOKUP(B1693,'Diciembre 2023'!$B$2:$G$5822,4,0),"")</f>
        <v>ACTPETS</v>
      </c>
    </row>
    <row r="1694" spans="1:7" x14ac:dyDescent="0.25">
      <c r="A1694" s="17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IFERROR(VLOOKUP(B1694,'Diciembre 2023'!$B$2:$G$5822,4,0),"")</f>
        <v>DPAPET</v>
      </c>
    </row>
    <row r="1695" spans="1:7" x14ac:dyDescent="0.25">
      <c r="A1695" s="17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IFERROR(VLOOKUP(B1695,'Diciembre 2023'!$B$2:$G$5822,4,0),"")</f>
        <v>APAPET</v>
      </c>
    </row>
    <row r="1696" spans="1:7" x14ac:dyDescent="0.25">
      <c r="A1696" s="17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IFERROR(VLOOKUP(B1696,'Diciembre 2023'!$B$2:$G$5822,4,0),"")</f>
        <v>APA_PC</v>
      </c>
    </row>
    <row r="1697" spans="1:7" x14ac:dyDescent="0.25">
      <c r="A1697" s="17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IFERROR(VLOOKUP(B1697,'Diciembre 2023'!$B$2:$G$5822,4,0),"")</f>
        <v>APA_PC</v>
      </c>
    </row>
    <row r="1698" spans="1:7" x14ac:dyDescent="0.25">
      <c r="A1698" s="17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IFERROR(VLOOKUP(B1698,'Diciembre 2023'!$B$2:$G$5822,4,0),"")</f>
        <v>APAPET</v>
      </c>
    </row>
    <row r="1699" spans="1:7" x14ac:dyDescent="0.25">
      <c r="A1699" s="17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IFERROR(VLOOKUP(B1699,'Diciembre 2023'!$B$2:$G$5822,4,0),"")</f>
        <v>APA_PC</v>
      </c>
    </row>
    <row r="1700" spans="1:7" x14ac:dyDescent="0.25">
      <c r="A1700" s="17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IFERROR(VLOOKUP(B1700,'Diciembre 2023'!$B$2:$G$5822,4,0),"")</f>
        <v>APAPET</v>
      </c>
    </row>
    <row r="1701" spans="1:7" x14ac:dyDescent="0.25">
      <c r="A1701" s="17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IFERROR(VLOOKUP(B1701,'Diciembre 2023'!$B$2:$G$5822,4,0),"")</f>
        <v>APAPET</v>
      </c>
    </row>
    <row r="1702" spans="1:7" x14ac:dyDescent="0.25">
      <c r="A1702" s="17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IFERROR(VLOOKUP(B1702,'Diciembre 2023'!$B$2:$G$5822,4,0),"")</f>
        <v>APAPET</v>
      </c>
    </row>
    <row r="1703" spans="1:7" x14ac:dyDescent="0.25">
      <c r="A1703" s="17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IFERROR(VLOOKUP(B1703,'Diciembre 2023'!$B$2:$G$5822,4,0),"")</f>
        <v>APAPET</v>
      </c>
    </row>
    <row r="1704" spans="1:7" x14ac:dyDescent="0.25">
      <c r="A1704" s="17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IFERROR(VLOOKUP(B1704,'Diciembre 2023'!$B$2:$G$5822,4,0),"")</f>
        <v>APAPET</v>
      </c>
    </row>
    <row r="1705" spans="1:7" x14ac:dyDescent="0.25">
      <c r="A1705" s="17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IFERROR(VLOOKUP(B1705,'Diciembre 2023'!$B$2:$G$5822,4,0),"")</f>
        <v>APAPET</v>
      </c>
    </row>
    <row r="1706" spans="1:7" x14ac:dyDescent="0.25">
      <c r="A1706" s="17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IFERROR(VLOOKUP(B1706,'Diciembre 2023'!$B$2:$G$5822,4,0),"")</f>
        <v>APA_PC</v>
      </c>
    </row>
    <row r="1707" spans="1:7" x14ac:dyDescent="0.25">
      <c r="A1707" s="17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IFERROR(VLOOKUP(B1707,'Diciembre 2023'!$B$2:$G$5822,4,0),"")</f>
        <v>BM</v>
      </c>
    </row>
    <row r="1708" spans="1:7" x14ac:dyDescent="0.25">
      <c r="A1708" s="17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IFERROR(VLOOKUP(B1708,'Diciembre 2023'!$B$2:$G$5822,4,0),"")</f>
        <v>ACTPETS</v>
      </c>
    </row>
    <row r="1709" spans="1:7" x14ac:dyDescent="0.25">
      <c r="A1709" s="17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IFERROR(VLOOKUP(B1709,'Diciembre 2023'!$B$2:$G$5822,4,0),"")</f>
        <v>APA_PC</v>
      </c>
    </row>
    <row r="1710" spans="1:7" x14ac:dyDescent="0.25">
      <c r="A1710" s="17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IFERROR(VLOOKUP(B1710,'Diciembre 2023'!$B$2:$G$5822,4,0),"")</f>
        <v>APAPET</v>
      </c>
    </row>
    <row r="1711" spans="1:7" x14ac:dyDescent="0.25">
      <c r="A1711" s="17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IFERROR(VLOOKUP(B1711,'Diciembre 2023'!$B$2:$G$5822,4,0),"")</f>
        <v>ACTPETS</v>
      </c>
    </row>
    <row r="1712" spans="1:7" x14ac:dyDescent="0.25">
      <c r="A1712" s="17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IFERROR(VLOOKUP(B1712,'Diciembre 2023'!$B$2:$G$5822,4,0),"")</f>
        <v>APAPET</v>
      </c>
    </row>
    <row r="1713" spans="1:7" x14ac:dyDescent="0.25">
      <c r="A1713" s="17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IFERROR(VLOOKUP(B1713,'Diciembre 2023'!$B$2:$G$5822,4,0),"")</f>
        <v>DPAPET</v>
      </c>
    </row>
    <row r="1714" spans="1:7" x14ac:dyDescent="0.25">
      <c r="A1714" s="17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IFERROR(VLOOKUP(B1714,'Diciembre 2023'!$B$2:$G$5822,4,0),"")</f>
        <v>APA_PC</v>
      </c>
    </row>
    <row r="1715" spans="1:7" x14ac:dyDescent="0.25">
      <c r="A1715" s="17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IFERROR(VLOOKUP(B1715,'Diciembre 2023'!$B$2:$G$5822,4,0),"")</f>
        <v>ACTPETS</v>
      </c>
    </row>
    <row r="1716" spans="1:7" x14ac:dyDescent="0.25">
      <c r="A1716" s="17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IFERROR(VLOOKUP(B1716,'Diciembre 2023'!$B$2:$G$5822,4,0),"")</f>
        <v>APA_PC</v>
      </c>
    </row>
    <row r="1717" spans="1:7" x14ac:dyDescent="0.25">
      <c r="A1717" s="17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IFERROR(VLOOKUP(B1717,'Diciembre 2023'!$B$2:$G$5822,4,0),"")</f>
        <v>APA_PC</v>
      </c>
    </row>
    <row r="1718" spans="1:7" x14ac:dyDescent="0.25">
      <c r="A1718" s="17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IFERROR(VLOOKUP(B1718,'Diciembre 2023'!$B$2:$G$5822,4,0),"")</f>
        <v>APAPET</v>
      </c>
    </row>
    <row r="1719" spans="1:7" x14ac:dyDescent="0.25">
      <c r="A1719" s="17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IFERROR(VLOOKUP(B1719,'Diciembre 2023'!$B$2:$G$5822,4,0),"")</f>
        <v>APA_PC</v>
      </c>
    </row>
    <row r="1720" spans="1:7" x14ac:dyDescent="0.25">
      <c r="A1720" s="17"/>
      <c r="B1720" s="4" t="s">
        <v>1618</v>
      </c>
      <c r="C1720" s="4" t="s">
        <v>14</v>
      </c>
      <c r="D1720" s="4" t="s">
        <v>15</v>
      </c>
      <c r="E1720" s="4" t="s">
        <v>16</v>
      </c>
      <c r="F1720" s="4" t="s">
        <v>14</v>
      </c>
      <c r="G1720" s="5" t="str">
        <f>IFERROR(VLOOKUP(B1720,'Diciembre 2023'!$B$2:$G$5822,4,0),"")</f>
        <v>ATAPET</v>
      </c>
    </row>
    <row r="1721" spans="1:7" x14ac:dyDescent="0.25">
      <c r="A1721" s="17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IFERROR(VLOOKUP(B1721,'Diciembre 2023'!$B$2:$G$5822,4,0),"")</f>
        <v>INACTPETS</v>
      </c>
    </row>
    <row r="1722" spans="1:7" x14ac:dyDescent="0.25">
      <c r="A1722" s="17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IFERROR(VLOOKUP(B1722,'Diciembre 2023'!$B$2:$G$5822,4,0),"")</f>
        <v>APA_PC</v>
      </c>
    </row>
    <row r="1723" spans="1:7" x14ac:dyDescent="0.25">
      <c r="A1723" s="17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IFERROR(VLOOKUP(B1723,'Diciembre 2023'!$B$2:$G$5822,4,0),"")</f>
        <v>ACTPETS</v>
      </c>
    </row>
    <row r="1724" spans="1:7" x14ac:dyDescent="0.25">
      <c r="A1724" s="17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IFERROR(VLOOKUP(B1724,'Diciembre 2023'!$B$2:$G$5822,4,0),"")</f>
        <v>APAPET</v>
      </c>
    </row>
    <row r="1725" spans="1:7" x14ac:dyDescent="0.25">
      <c r="A1725" s="17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IFERROR(VLOOKUP(B1725,'Diciembre 2023'!$B$2:$G$5822,4,0),"")</f>
        <v>APAPET</v>
      </c>
    </row>
    <row r="1726" spans="1:7" x14ac:dyDescent="0.25">
      <c r="A1726" s="17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IFERROR(VLOOKUP(B1726,'Diciembre 2023'!$B$2:$G$5822,4,0),"")</f>
        <v>APAPET</v>
      </c>
    </row>
    <row r="1727" spans="1:7" x14ac:dyDescent="0.25">
      <c r="A1727" s="17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IFERROR(VLOOKUP(B1727,'Diciembre 2023'!$B$2:$G$5822,4,0),"")</f>
        <v>ACTPETS</v>
      </c>
    </row>
    <row r="1728" spans="1:7" x14ac:dyDescent="0.25">
      <c r="A1728" s="17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IFERROR(VLOOKUP(B1728,'Diciembre 2023'!$B$2:$G$5822,4,0),"")</f>
        <v>ACTPETS</v>
      </c>
    </row>
    <row r="1729" spans="1:7" x14ac:dyDescent="0.25">
      <c r="A1729" s="17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IFERROR(VLOOKUP(B1729,'Diciembre 2023'!$B$2:$G$5822,4,0),"")</f>
        <v>APA_PC</v>
      </c>
    </row>
    <row r="1730" spans="1:7" x14ac:dyDescent="0.25">
      <c r="A1730" s="17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IFERROR(VLOOKUP(B1730,'Diciembre 2023'!$B$2:$G$5822,4,0),"")</f>
        <v>APA_PC</v>
      </c>
    </row>
    <row r="1731" spans="1:7" x14ac:dyDescent="0.25">
      <c r="A1731" s="17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IFERROR(VLOOKUP(B1731,'Diciembre 2023'!$B$2:$G$5822,4,0),"")</f>
        <v>BM</v>
      </c>
    </row>
    <row r="1732" spans="1:7" x14ac:dyDescent="0.25">
      <c r="A1732" s="17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IFERROR(VLOOKUP(B1732,'Diciembre 2023'!$B$2:$G$5822,4,0),"")</f>
        <v>ACTPETS</v>
      </c>
    </row>
    <row r="1733" spans="1:7" x14ac:dyDescent="0.25">
      <c r="A1733" s="17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IFERROR(VLOOKUP(B1733,'Diciembre 2023'!$B$2:$G$5822,4,0),"")</f>
        <v>APA_PC</v>
      </c>
    </row>
    <row r="1734" spans="1:7" x14ac:dyDescent="0.25">
      <c r="A1734" s="17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IFERROR(VLOOKUP(B1734,'Diciembre 2023'!$B$2:$G$5822,4,0),"")</f>
        <v>ACTPETS</v>
      </c>
    </row>
    <row r="1735" spans="1:7" x14ac:dyDescent="0.25">
      <c r="A1735" s="17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IFERROR(VLOOKUP(B1735,'Diciembre 2023'!$B$2:$G$5822,4,0),"")</f>
        <v>APAPET</v>
      </c>
    </row>
    <row r="1736" spans="1:7" x14ac:dyDescent="0.25">
      <c r="A1736" s="17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IFERROR(VLOOKUP(B1736,'Diciembre 2023'!$B$2:$G$5822,4,0),"")</f>
        <v>ACTPETS</v>
      </c>
    </row>
    <row r="1737" spans="1:7" x14ac:dyDescent="0.25">
      <c r="A1737" s="17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IFERROR(VLOOKUP(B1737,'Diciembre 2023'!$B$2:$G$5822,4,0),"")</f>
        <v>APA_PC</v>
      </c>
    </row>
    <row r="1738" spans="1:7" x14ac:dyDescent="0.25">
      <c r="A1738" s="17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IFERROR(VLOOKUP(B1738,'Diciembre 2023'!$B$2:$G$5822,4,0),"")</f>
        <v>INACTBM</v>
      </c>
    </row>
    <row r="1739" spans="1:7" x14ac:dyDescent="0.25">
      <c r="A1739" s="17"/>
      <c r="B1739" s="4" t="s">
        <v>1637</v>
      </c>
      <c r="C1739" s="4" t="s">
        <v>18</v>
      </c>
      <c r="D1739" s="4" t="s">
        <v>19</v>
      </c>
      <c r="E1739" s="4" t="s">
        <v>20</v>
      </c>
      <c r="F1739" s="4" t="s">
        <v>21</v>
      </c>
      <c r="G1739" s="5" t="str">
        <f>IFERROR(VLOOKUP(B1739,'Diciembre 2023'!$B$2:$G$5822,4,0),"")</f>
        <v>ACTPETS</v>
      </c>
    </row>
    <row r="1740" spans="1:7" x14ac:dyDescent="0.25">
      <c r="A1740" s="17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IFERROR(VLOOKUP(B1740,'Diciembre 2023'!$B$2:$G$5822,4,0),"")</f>
        <v>APAPET</v>
      </c>
    </row>
    <row r="1741" spans="1:7" x14ac:dyDescent="0.25">
      <c r="A1741" s="17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IFERROR(VLOOKUP(B1741,'Diciembre 2023'!$B$2:$G$5822,4,0),"")</f>
        <v>ACTPETS</v>
      </c>
    </row>
    <row r="1742" spans="1:7" x14ac:dyDescent="0.25">
      <c r="A1742" s="17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IFERROR(VLOOKUP(B1742,'Diciembre 2023'!$B$2:$G$5822,4,0),"")</f>
        <v>APA_PC</v>
      </c>
    </row>
    <row r="1743" spans="1:7" x14ac:dyDescent="0.25">
      <c r="A1743" s="17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IFERROR(VLOOKUP(B1743,'Diciembre 2023'!$B$2:$G$5822,4,0),"")</f>
        <v>ACTPETS</v>
      </c>
    </row>
    <row r="1744" spans="1:7" x14ac:dyDescent="0.25">
      <c r="A1744" s="17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IFERROR(VLOOKUP(B1744,'Diciembre 2023'!$B$2:$G$5822,4,0),"")</f>
        <v>APA_PC</v>
      </c>
    </row>
    <row r="1745" spans="1:7" x14ac:dyDescent="0.25">
      <c r="A1745" s="17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IFERROR(VLOOKUP(B1745,'Diciembre 2023'!$B$2:$G$5822,4,0),"")</f>
        <v>DPAPET</v>
      </c>
    </row>
    <row r="1746" spans="1:7" x14ac:dyDescent="0.25">
      <c r="A1746" s="17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IFERROR(VLOOKUP(B1746,'Diciembre 2023'!$B$2:$G$5822,4,0),"")</f>
        <v>APA_PC</v>
      </c>
    </row>
    <row r="1747" spans="1:7" x14ac:dyDescent="0.25">
      <c r="A1747" s="17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IFERROR(VLOOKUP(B1747,'Diciembre 2023'!$B$2:$G$5822,4,0),"")</f>
        <v>APAPET</v>
      </c>
    </row>
    <row r="1748" spans="1:7" x14ac:dyDescent="0.25">
      <c r="A1748" s="17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IFERROR(VLOOKUP(B1748,'Diciembre 2023'!$B$2:$G$5822,4,0),"")</f>
        <v>ATAPET</v>
      </c>
    </row>
    <row r="1749" spans="1:7" x14ac:dyDescent="0.25">
      <c r="A1749" s="17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IFERROR(VLOOKUP(B1749,'Diciembre 2023'!$B$2:$G$5822,4,0),"")</f>
        <v>ACTPETS</v>
      </c>
    </row>
    <row r="1750" spans="1:7" x14ac:dyDescent="0.25">
      <c r="A1750" s="17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IFERROR(VLOOKUP(B1750,'Diciembre 2023'!$B$2:$G$5822,4,0),"")</f>
        <v>ACTPETS</v>
      </c>
    </row>
    <row r="1751" spans="1:7" x14ac:dyDescent="0.25">
      <c r="A1751" s="17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IFERROR(VLOOKUP(B1751,'Diciembre 2023'!$B$2:$G$5822,4,0),"")</f>
        <v>ATAPET</v>
      </c>
    </row>
    <row r="1752" spans="1:7" x14ac:dyDescent="0.25">
      <c r="A1752" s="17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IFERROR(VLOOKUP(B1752,'Diciembre 2023'!$B$2:$G$5822,4,0),"")</f>
        <v>APA_PC</v>
      </c>
    </row>
    <row r="1753" spans="1:7" x14ac:dyDescent="0.25">
      <c r="A1753" s="17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IFERROR(VLOOKUP(B1753,'Diciembre 2023'!$B$2:$G$5822,4,0),"")</f>
        <v>APA_PC</v>
      </c>
    </row>
    <row r="1754" spans="1:7" x14ac:dyDescent="0.25">
      <c r="A1754" s="17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IFERROR(VLOOKUP(B1754,'Diciembre 2023'!$B$2:$G$5822,4,0),"")</f>
        <v>BM</v>
      </c>
    </row>
    <row r="1755" spans="1:7" x14ac:dyDescent="0.25">
      <c r="A1755" s="17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IFERROR(VLOOKUP(B1755,'Diciembre 2023'!$B$2:$G$5822,4,0),"")</f>
        <v>ACTPETS</v>
      </c>
    </row>
    <row r="1756" spans="1:7" x14ac:dyDescent="0.25">
      <c r="A1756" s="17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IFERROR(VLOOKUP(B1756,'Diciembre 2023'!$B$2:$G$5822,4,0),"")</f>
        <v>APA_PC</v>
      </c>
    </row>
    <row r="1757" spans="1:7" x14ac:dyDescent="0.25">
      <c r="A1757" s="17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IFERROR(VLOOKUP(B1757,'Diciembre 2023'!$B$2:$G$5822,4,0),"")</f>
        <v>ACTPETS</v>
      </c>
    </row>
    <row r="1758" spans="1:7" x14ac:dyDescent="0.25">
      <c r="A1758" s="17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IFERROR(VLOOKUP(B1758,'Diciembre 2023'!$B$2:$G$5822,4,0),"")</f>
        <v>ACTPETS</v>
      </c>
    </row>
    <row r="1759" spans="1:7" x14ac:dyDescent="0.25">
      <c r="A1759" s="17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IFERROR(VLOOKUP(B1759,'Diciembre 2023'!$B$2:$G$5822,4,0),"")</f>
        <v>ACTPETS</v>
      </c>
    </row>
    <row r="1760" spans="1:7" x14ac:dyDescent="0.25">
      <c r="A1760" s="17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IFERROR(VLOOKUP(B1760,'Diciembre 2023'!$B$2:$G$5822,4,0),"")</f>
        <v>APAPET</v>
      </c>
    </row>
    <row r="1761" spans="1:7" x14ac:dyDescent="0.25">
      <c r="A1761" s="17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IFERROR(VLOOKUP(B1761,'Diciembre 2023'!$B$2:$G$5822,4,0),"")</f>
        <v>APA_PC</v>
      </c>
    </row>
    <row r="1762" spans="1:7" x14ac:dyDescent="0.25">
      <c r="A1762" s="17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IFERROR(VLOOKUP(B1762,'Diciembre 2023'!$B$2:$G$5822,4,0),"")</f>
        <v>ACTPETS</v>
      </c>
    </row>
    <row r="1763" spans="1:7" x14ac:dyDescent="0.25">
      <c r="A1763" s="17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IFERROR(VLOOKUP(B1763,'Diciembre 2023'!$B$2:$G$5822,4,0),"")</f>
        <v>APA_PC</v>
      </c>
    </row>
    <row r="1764" spans="1:7" x14ac:dyDescent="0.25">
      <c r="A1764" s="17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IFERROR(VLOOKUP(B1764,'Diciembre 2023'!$B$2:$G$5822,4,0),"")</f>
        <v>APAPET</v>
      </c>
    </row>
    <row r="1765" spans="1:7" x14ac:dyDescent="0.25">
      <c r="A1765" s="17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IFERROR(VLOOKUP(B1765,'Diciembre 2023'!$B$2:$G$5822,4,0),"")</f>
        <v>APA_PC</v>
      </c>
    </row>
    <row r="1766" spans="1:7" x14ac:dyDescent="0.25">
      <c r="A1766" s="17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IFERROR(VLOOKUP(B1766,'Diciembre 2023'!$B$2:$G$5822,4,0),"")</f>
        <v>APA_PC</v>
      </c>
    </row>
    <row r="1767" spans="1:7" x14ac:dyDescent="0.25">
      <c r="A1767" s="17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IFERROR(VLOOKUP(B1767,'Diciembre 2023'!$B$2:$G$5822,4,0),"")</f>
        <v>ACTPETS</v>
      </c>
    </row>
    <row r="1768" spans="1:7" x14ac:dyDescent="0.25">
      <c r="A1768" s="17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IFERROR(VLOOKUP(B1768,'Diciembre 2023'!$B$2:$G$5822,4,0),"")</f>
        <v>ATAPET</v>
      </c>
    </row>
    <row r="1769" spans="1:7" x14ac:dyDescent="0.25">
      <c r="A1769" s="17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IFERROR(VLOOKUP(B1769,'Diciembre 2023'!$B$2:$G$5822,4,0),"")</f>
        <v>ACTPETS</v>
      </c>
    </row>
    <row r="1770" spans="1:7" x14ac:dyDescent="0.25">
      <c r="A1770" s="17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IFERROR(VLOOKUP(B1770,'Diciembre 2023'!$B$2:$G$5822,4,0),"")</f>
        <v>APA_PC</v>
      </c>
    </row>
    <row r="1771" spans="1:7" x14ac:dyDescent="0.25">
      <c r="A1771" s="17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IFERROR(VLOOKUP(B1771,'Diciembre 2023'!$B$2:$G$5822,4,0),"")</f>
        <v>ACTPETS</v>
      </c>
    </row>
    <row r="1772" spans="1:7" x14ac:dyDescent="0.25">
      <c r="A1772" s="17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IFERROR(VLOOKUP(B1772,'Diciembre 2023'!$B$2:$G$5822,4,0),"")</f>
        <v>BM</v>
      </c>
    </row>
    <row r="1773" spans="1:7" x14ac:dyDescent="0.25">
      <c r="A1773" s="17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IFERROR(VLOOKUP(B1773,'Diciembre 2023'!$B$2:$G$5822,4,0),"")</f>
        <v>APAPET</v>
      </c>
    </row>
    <row r="1774" spans="1:7" x14ac:dyDescent="0.25">
      <c r="A1774" s="17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IFERROR(VLOOKUP(B1774,'Diciembre 2023'!$B$2:$G$5822,4,0),"")</f>
        <v>BM</v>
      </c>
    </row>
    <row r="1775" spans="1:7" x14ac:dyDescent="0.25">
      <c r="A1775" s="17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IFERROR(VLOOKUP(B1775,'Diciembre 2023'!$B$2:$G$5822,4,0),"")</f>
        <v>APAPET</v>
      </c>
    </row>
    <row r="1776" spans="1:7" x14ac:dyDescent="0.25">
      <c r="A1776" s="17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IFERROR(VLOOKUP(B1776,'Diciembre 2023'!$B$2:$G$5822,4,0),"")</f>
        <v>APA_CNPC</v>
      </c>
    </row>
    <row r="1777" spans="1:7" x14ac:dyDescent="0.25">
      <c r="A1777" s="17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IFERROR(VLOOKUP(B1777,'Diciembre 2023'!$B$2:$G$5822,4,0),"")</f>
        <v>ATAPET</v>
      </c>
    </row>
    <row r="1778" spans="1:7" x14ac:dyDescent="0.25">
      <c r="A1778" s="17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IFERROR(VLOOKUP(B1778,'Diciembre 2023'!$B$2:$G$5822,4,0),"")</f>
        <v>APAPET</v>
      </c>
    </row>
    <row r="1779" spans="1:7" x14ac:dyDescent="0.25">
      <c r="A1779" s="17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IFERROR(VLOOKUP(B1779,'Diciembre 2023'!$B$2:$G$5822,4,0),"")</f>
        <v>DPAPET</v>
      </c>
    </row>
    <row r="1780" spans="1:7" x14ac:dyDescent="0.25">
      <c r="A1780" s="17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IFERROR(VLOOKUP(B1780,'Diciembre 2023'!$B$2:$G$5822,4,0),"")</f>
        <v>APAPET</v>
      </c>
    </row>
    <row r="1781" spans="1:7" x14ac:dyDescent="0.25">
      <c r="A1781" s="17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IFERROR(VLOOKUP(B1781,'Diciembre 2023'!$B$2:$G$5822,4,0),"")</f>
        <v>APA_PC</v>
      </c>
    </row>
    <row r="1782" spans="1:7" x14ac:dyDescent="0.25">
      <c r="A1782" s="17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IFERROR(VLOOKUP(B1782,'Diciembre 2023'!$B$2:$G$5822,4,0),"")</f>
        <v>APAPET</v>
      </c>
    </row>
    <row r="1783" spans="1:7" x14ac:dyDescent="0.25">
      <c r="A1783" s="17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IFERROR(VLOOKUP(B1783,'Diciembre 2023'!$B$2:$G$5822,4,0),"")</f>
        <v>APAPET</v>
      </c>
    </row>
    <row r="1784" spans="1:7" x14ac:dyDescent="0.25">
      <c r="A1784" s="17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IFERROR(VLOOKUP(B1784,'Diciembre 2023'!$B$2:$G$5822,4,0),"")</f>
        <v>APAPET</v>
      </c>
    </row>
    <row r="1785" spans="1:7" x14ac:dyDescent="0.25">
      <c r="A1785" s="17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IFERROR(VLOOKUP(B1785,'Diciembre 2023'!$B$2:$G$5822,4,0),"")</f>
        <v>APAPET</v>
      </c>
    </row>
    <row r="1786" spans="1:7" x14ac:dyDescent="0.25">
      <c r="A1786" s="17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IFERROR(VLOOKUP(B1786,'Diciembre 2023'!$B$2:$G$5822,4,0),"")</f>
        <v>APAPET</v>
      </c>
    </row>
    <row r="1787" spans="1:7" x14ac:dyDescent="0.25">
      <c r="A1787" s="17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IFERROR(VLOOKUP(B1787,'Diciembre 2023'!$B$2:$G$5822,4,0),"")</f>
        <v>APAPET</v>
      </c>
    </row>
    <row r="1788" spans="1:7" x14ac:dyDescent="0.25">
      <c r="A1788" s="17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IFERROR(VLOOKUP(B1788,'Diciembre 2023'!$B$2:$G$5822,4,0),"")</f>
        <v>BM</v>
      </c>
    </row>
    <row r="1789" spans="1:7" x14ac:dyDescent="0.25">
      <c r="A1789" s="17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IFERROR(VLOOKUP(B1789,'Diciembre 2023'!$B$2:$G$5822,4,0),"")</f>
        <v>APA_PC</v>
      </c>
    </row>
    <row r="1790" spans="1:7" x14ac:dyDescent="0.25">
      <c r="A1790" s="17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IFERROR(VLOOKUP(B1790,'Diciembre 2023'!$B$2:$G$5822,4,0),"")</f>
        <v>DPAPET</v>
      </c>
    </row>
    <row r="1791" spans="1:7" x14ac:dyDescent="0.25">
      <c r="A1791" s="17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IFERROR(VLOOKUP(B1791,'Diciembre 2023'!$B$2:$G$5822,4,0),"")</f>
        <v>APAPET</v>
      </c>
    </row>
    <row r="1792" spans="1:7" x14ac:dyDescent="0.25">
      <c r="A1792" s="17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IFERROR(VLOOKUP(B1792,'Diciembre 2023'!$B$2:$G$5822,4,0),"")</f>
        <v>APAPET</v>
      </c>
    </row>
    <row r="1793" spans="1:7" x14ac:dyDescent="0.25">
      <c r="A1793" s="17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IFERROR(VLOOKUP(B1793,'Diciembre 2023'!$B$2:$G$5822,4,0),"")</f>
        <v>APAPET</v>
      </c>
    </row>
    <row r="1794" spans="1:7" x14ac:dyDescent="0.25">
      <c r="A1794" s="17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IFERROR(VLOOKUP(B1794,'Diciembre 2023'!$B$2:$G$5822,4,0),"")</f>
        <v>APAPET</v>
      </c>
    </row>
    <row r="1795" spans="1:7" x14ac:dyDescent="0.25">
      <c r="A1795" s="17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IFERROR(VLOOKUP(B1795,'Diciembre 2023'!$B$2:$G$5822,4,0),"")</f>
        <v>APAPET</v>
      </c>
    </row>
    <row r="1796" spans="1:7" x14ac:dyDescent="0.25">
      <c r="A1796" s="17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IFERROR(VLOOKUP(B1796,'Diciembre 2023'!$B$2:$G$5822,4,0),"")</f>
        <v>APAPET</v>
      </c>
    </row>
    <row r="1797" spans="1:7" x14ac:dyDescent="0.25">
      <c r="A1797" s="17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IFERROR(VLOOKUP(B1797,'Diciembre 2023'!$B$2:$G$5822,4,0),"")</f>
        <v>APA_PC</v>
      </c>
    </row>
    <row r="1798" spans="1:7" x14ac:dyDescent="0.25">
      <c r="A1798" s="17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IFERROR(VLOOKUP(B1798,'Diciembre 2023'!$B$2:$G$5822,4,0),"")</f>
        <v>BM</v>
      </c>
    </row>
    <row r="1799" spans="1:7" x14ac:dyDescent="0.25">
      <c r="A1799" s="17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IFERROR(VLOOKUP(B1799,'Diciembre 2023'!$B$2:$G$5822,4,0),"")</f>
        <v>ATAPET</v>
      </c>
    </row>
    <row r="1800" spans="1:7" x14ac:dyDescent="0.25">
      <c r="A1800" s="17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IFERROR(VLOOKUP(B1800,'Diciembre 2023'!$B$2:$G$5822,4,0),"")</f>
        <v>APAPET</v>
      </c>
    </row>
    <row r="1801" spans="1:7" x14ac:dyDescent="0.25">
      <c r="A1801" s="17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IFERROR(VLOOKUP(B1801,'Diciembre 2023'!$B$2:$G$5822,4,0),"")</f>
        <v>APAPET</v>
      </c>
    </row>
    <row r="1802" spans="1:7" x14ac:dyDescent="0.25">
      <c r="A1802" s="17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IFERROR(VLOOKUP(B1802,'Diciembre 2023'!$B$2:$G$5822,4,0),"")</f>
        <v>APA_PC</v>
      </c>
    </row>
    <row r="1803" spans="1:7" x14ac:dyDescent="0.25">
      <c r="A1803" s="17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IFERROR(VLOOKUP(B1803,'Diciembre 2023'!$B$2:$G$5822,4,0),"")</f>
        <v>APA_PC</v>
      </c>
    </row>
    <row r="1804" spans="1:7" x14ac:dyDescent="0.25">
      <c r="A1804" s="17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IFERROR(VLOOKUP(B1804,'Diciembre 2023'!$B$2:$G$5822,4,0),"")</f>
        <v>DPAPET</v>
      </c>
    </row>
    <row r="1805" spans="1:7" x14ac:dyDescent="0.25">
      <c r="A1805" s="17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IFERROR(VLOOKUP(B1805,'Diciembre 2023'!$B$2:$G$5822,4,0),"")</f>
        <v>APA_PC</v>
      </c>
    </row>
    <row r="1806" spans="1:7" x14ac:dyDescent="0.25">
      <c r="A1806" s="17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IFERROR(VLOOKUP(B1806,'Diciembre 2023'!$B$2:$G$5822,4,0),"")</f>
        <v>APA_PC</v>
      </c>
    </row>
    <row r="1807" spans="1:7" x14ac:dyDescent="0.25">
      <c r="A1807" s="17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IFERROR(VLOOKUP(B1807,'Diciembre 2023'!$B$2:$G$5822,4,0),"")</f>
        <v>APAPET</v>
      </c>
    </row>
    <row r="1808" spans="1:7" x14ac:dyDescent="0.25">
      <c r="A1808" s="17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IFERROR(VLOOKUP(B1808,'Diciembre 2023'!$B$2:$G$5822,4,0),"")</f>
        <v>BM</v>
      </c>
    </row>
    <row r="1809" spans="1:7" x14ac:dyDescent="0.25">
      <c r="A1809" s="17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IFERROR(VLOOKUP(B1809,'Diciembre 2023'!$B$2:$G$5822,4,0),"")</f>
        <v>APAPET</v>
      </c>
    </row>
    <row r="1810" spans="1:7" x14ac:dyDescent="0.25">
      <c r="A1810" s="17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IFERROR(VLOOKUP(B1810,'Diciembre 2023'!$B$2:$G$5822,4,0),"")</f>
        <v>APAPET</v>
      </c>
    </row>
    <row r="1811" spans="1:7" x14ac:dyDescent="0.25">
      <c r="A1811" s="17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IFERROR(VLOOKUP(B1811,'Diciembre 2023'!$B$2:$G$5822,4,0),"")</f>
        <v>APAPET</v>
      </c>
    </row>
    <row r="1812" spans="1:7" x14ac:dyDescent="0.25">
      <c r="A1812" s="17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IFERROR(VLOOKUP(B1812,'Diciembre 2023'!$B$2:$G$5822,4,0),"")</f>
        <v>APAPET</v>
      </c>
    </row>
    <row r="1813" spans="1:7" x14ac:dyDescent="0.25">
      <c r="A1813" s="17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IFERROR(VLOOKUP(B1813,'Diciembre 2023'!$B$2:$G$5822,4,0),"")</f>
        <v>APAPET</v>
      </c>
    </row>
    <row r="1814" spans="1:7" x14ac:dyDescent="0.25">
      <c r="A1814" s="17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IFERROR(VLOOKUP(B1814,'Diciembre 2023'!$B$2:$G$5822,4,0),"")</f>
        <v>APA_PC</v>
      </c>
    </row>
    <row r="1815" spans="1:7" x14ac:dyDescent="0.25">
      <c r="A1815" s="17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IFERROR(VLOOKUP(B1815,'Diciembre 2023'!$B$2:$G$5822,4,0),"")</f>
        <v>ATAPET</v>
      </c>
    </row>
    <row r="1816" spans="1:7" x14ac:dyDescent="0.25">
      <c r="A1816" s="17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IFERROR(VLOOKUP(B1816,'Diciembre 2023'!$B$2:$G$5822,4,0),"")</f>
        <v>APAPET</v>
      </c>
    </row>
    <row r="1817" spans="1:7" x14ac:dyDescent="0.25">
      <c r="A1817" s="17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IFERROR(VLOOKUP(B1817,'Diciembre 2023'!$B$2:$G$5822,4,0),"")</f>
        <v>INACTPETS</v>
      </c>
    </row>
    <row r="1818" spans="1:7" x14ac:dyDescent="0.25">
      <c r="A1818" s="17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IFERROR(VLOOKUP(B1818,'Diciembre 2023'!$B$2:$G$5822,4,0),"")</f>
        <v>INACTBM</v>
      </c>
    </row>
    <row r="1819" spans="1:7" x14ac:dyDescent="0.25">
      <c r="A1819" s="17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IFERROR(VLOOKUP(B1819,'Diciembre 2023'!$B$2:$G$5822,4,0),"")</f>
        <v>APAPET</v>
      </c>
    </row>
    <row r="1820" spans="1:7" x14ac:dyDescent="0.25">
      <c r="A1820" s="17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IFERROR(VLOOKUP(B1820,'Diciembre 2023'!$B$2:$G$5822,4,0),"")</f>
        <v>BM</v>
      </c>
    </row>
    <row r="1821" spans="1:7" x14ac:dyDescent="0.25">
      <c r="A1821" s="17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IFERROR(VLOOKUP(B1821,'Diciembre 2023'!$B$2:$G$5822,4,0),"")</f>
        <v>APA_PC</v>
      </c>
    </row>
    <row r="1822" spans="1:7" x14ac:dyDescent="0.25">
      <c r="A1822" s="17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IFERROR(VLOOKUP(B1822,'Diciembre 2023'!$B$2:$G$5822,4,0),"")</f>
        <v>ACTPETS</v>
      </c>
    </row>
    <row r="1823" spans="1:7" x14ac:dyDescent="0.25">
      <c r="A1823" s="17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IFERROR(VLOOKUP(B1823,'Diciembre 2023'!$B$2:$G$5822,4,0),"")</f>
        <v>ACTPETS</v>
      </c>
    </row>
    <row r="1824" spans="1:7" x14ac:dyDescent="0.25">
      <c r="A1824" s="17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IFERROR(VLOOKUP(B1824,'Diciembre 2023'!$B$2:$G$5822,4,0),"")</f>
        <v>ACTPETS</v>
      </c>
    </row>
    <row r="1825" spans="1:7" x14ac:dyDescent="0.25">
      <c r="A1825" s="17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IFERROR(VLOOKUP(B1825,'Diciembre 2023'!$B$2:$G$5822,4,0),"")</f>
        <v>BM</v>
      </c>
    </row>
    <row r="1826" spans="1:7" x14ac:dyDescent="0.25">
      <c r="A1826" s="17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IFERROR(VLOOKUP(B1826,'Diciembre 2023'!$B$2:$G$5822,4,0),"")</f>
        <v>APA_PC</v>
      </c>
    </row>
    <row r="1827" spans="1:7" x14ac:dyDescent="0.25">
      <c r="A1827" s="17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IFERROR(VLOOKUP(B1827,'Diciembre 2023'!$B$2:$G$5822,4,0),"")</f>
        <v>INACTPETS</v>
      </c>
    </row>
    <row r="1828" spans="1:7" x14ac:dyDescent="0.25">
      <c r="A1828" s="17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IFERROR(VLOOKUP(B1828,'Diciembre 2023'!$B$2:$G$5822,4,0),"")</f>
        <v>APA_PC</v>
      </c>
    </row>
    <row r="1829" spans="1:7" x14ac:dyDescent="0.25">
      <c r="A1829" s="17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IFERROR(VLOOKUP(B1829,'Diciembre 2023'!$B$2:$G$5822,4,0),"")</f>
        <v>ACTPETS</v>
      </c>
    </row>
    <row r="1830" spans="1:7" x14ac:dyDescent="0.25">
      <c r="A1830" s="17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IFERROR(VLOOKUP(B1830,'Diciembre 2023'!$B$2:$G$5822,4,0),"")</f>
        <v>ACTPETS</v>
      </c>
    </row>
    <row r="1831" spans="1:7" x14ac:dyDescent="0.25">
      <c r="A1831" s="17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IFERROR(VLOOKUP(B1831,'Diciembre 2023'!$B$2:$G$5822,4,0),"")</f>
        <v>APA_PC</v>
      </c>
    </row>
    <row r="1832" spans="1:7" x14ac:dyDescent="0.25">
      <c r="A1832" s="17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IFERROR(VLOOKUP(B1832,'Diciembre 2023'!$B$2:$G$5822,4,0),"")</f>
        <v>BM</v>
      </c>
    </row>
    <row r="1833" spans="1:7" x14ac:dyDescent="0.25">
      <c r="A1833" s="17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IFERROR(VLOOKUP(B1833,'Diciembre 2023'!$B$2:$G$5822,4,0),"")</f>
        <v>APA_PC</v>
      </c>
    </row>
    <row r="1834" spans="1:7" x14ac:dyDescent="0.25">
      <c r="A1834" s="17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IFERROR(VLOOKUP(B1834,'Diciembre 2023'!$B$2:$G$5822,4,0),"")</f>
        <v>APA_PC</v>
      </c>
    </row>
    <row r="1835" spans="1:7" x14ac:dyDescent="0.25">
      <c r="A1835" s="17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IFERROR(VLOOKUP(B1835,'Diciembre 2023'!$B$2:$G$5822,4,0),"")</f>
        <v>APA_PC</v>
      </c>
    </row>
    <row r="1836" spans="1:7" x14ac:dyDescent="0.25">
      <c r="A1836" s="17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IFERROR(VLOOKUP(B1836,'Diciembre 2023'!$B$2:$G$5822,4,0),"")</f>
        <v>APA_PC</v>
      </c>
    </row>
    <row r="1837" spans="1:7" x14ac:dyDescent="0.25">
      <c r="A1837" s="17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IFERROR(VLOOKUP(B1837,'Diciembre 2023'!$B$2:$G$5822,4,0),"")</f>
        <v>ACTPETS</v>
      </c>
    </row>
    <row r="1838" spans="1:7" x14ac:dyDescent="0.25">
      <c r="A1838" s="17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IFERROR(VLOOKUP(B1838,'Diciembre 2023'!$B$2:$G$5822,4,0),"")</f>
        <v>APAPET</v>
      </c>
    </row>
    <row r="1839" spans="1:7" x14ac:dyDescent="0.25">
      <c r="A1839" s="17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IFERROR(VLOOKUP(B1839,'Diciembre 2023'!$B$2:$G$5822,4,0),"")</f>
        <v>APAPET</v>
      </c>
    </row>
    <row r="1840" spans="1:7" x14ac:dyDescent="0.25">
      <c r="A1840" s="17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IFERROR(VLOOKUP(B1840,'Diciembre 2023'!$B$2:$G$5822,4,0),"")</f>
        <v>APAPET</v>
      </c>
    </row>
    <row r="1841" spans="1:7" x14ac:dyDescent="0.25">
      <c r="A1841" s="17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IFERROR(VLOOKUP(B1841,'Diciembre 2023'!$B$2:$G$5822,4,0),"")</f>
        <v>APAPET</v>
      </c>
    </row>
    <row r="1842" spans="1:7" x14ac:dyDescent="0.25">
      <c r="A1842" s="17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IFERROR(VLOOKUP(B1842,'Diciembre 2023'!$B$2:$G$5822,4,0),"")</f>
        <v>APAPET</v>
      </c>
    </row>
    <row r="1843" spans="1:7" x14ac:dyDescent="0.25">
      <c r="A1843" s="17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IFERROR(VLOOKUP(B1843,'Diciembre 2023'!$B$2:$G$5822,4,0),"")</f>
        <v>BM</v>
      </c>
    </row>
    <row r="1844" spans="1:7" x14ac:dyDescent="0.25">
      <c r="A1844" s="17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IFERROR(VLOOKUP(B1844,'Diciembre 2023'!$B$2:$G$5822,4,0),"")</f>
        <v>ACTPETS</v>
      </c>
    </row>
    <row r="1845" spans="1:7" x14ac:dyDescent="0.25">
      <c r="A1845" s="17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IFERROR(VLOOKUP(B1845,'Diciembre 2023'!$B$2:$G$5822,4,0),"")</f>
        <v>ATAPET</v>
      </c>
    </row>
    <row r="1846" spans="1:7" x14ac:dyDescent="0.25">
      <c r="A1846" s="17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IFERROR(VLOOKUP(B1846,'Diciembre 2023'!$B$2:$G$5822,4,0),"")</f>
        <v>APA_PC</v>
      </c>
    </row>
    <row r="1847" spans="1:7" x14ac:dyDescent="0.25">
      <c r="A1847" s="17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IFERROR(VLOOKUP(B1847,'Diciembre 2023'!$B$2:$G$5822,4,0),"")</f>
        <v>APAPET</v>
      </c>
    </row>
    <row r="1848" spans="1:7" x14ac:dyDescent="0.25">
      <c r="A1848" s="17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IFERROR(VLOOKUP(B1848,'Diciembre 2023'!$B$2:$G$5822,4,0),"")</f>
        <v>ACTPETS</v>
      </c>
    </row>
    <row r="1849" spans="1:7" x14ac:dyDescent="0.25">
      <c r="A1849" s="17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IFERROR(VLOOKUP(B1849,'Diciembre 2023'!$B$2:$G$5822,4,0),"")</f>
        <v>BM</v>
      </c>
    </row>
    <row r="1850" spans="1:7" x14ac:dyDescent="0.25">
      <c r="A1850" s="17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IFERROR(VLOOKUP(B1850,'Diciembre 2023'!$B$2:$G$5822,4,0),"")</f>
        <v>BM</v>
      </c>
    </row>
    <row r="1851" spans="1:7" x14ac:dyDescent="0.25">
      <c r="A1851" s="17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IFERROR(VLOOKUP(B1851,'Diciembre 2023'!$B$2:$G$5822,4,0),"")</f>
        <v>APA_PC</v>
      </c>
    </row>
    <row r="1852" spans="1:7" x14ac:dyDescent="0.25">
      <c r="A1852" s="17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IFERROR(VLOOKUP(B1852,'Diciembre 2023'!$B$2:$G$5822,4,0),"")</f>
        <v>BO</v>
      </c>
    </row>
    <row r="1853" spans="1:7" x14ac:dyDescent="0.25">
      <c r="A1853" s="17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IFERROR(VLOOKUP(B1853,'Diciembre 2023'!$B$2:$G$5822,4,0),"")</f>
        <v>DPAPET</v>
      </c>
    </row>
    <row r="1854" spans="1:7" x14ac:dyDescent="0.25">
      <c r="A1854" s="17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IFERROR(VLOOKUP(B1854,'Diciembre 2023'!$B$2:$G$5822,4,0),"")</f>
        <v>ACTPETF</v>
      </c>
    </row>
    <row r="1855" spans="1:7" x14ac:dyDescent="0.25">
      <c r="A1855" s="17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IFERROR(VLOOKUP(B1855,'Diciembre 2023'!$B$2:$G$5822,4,0),"")</f>
        <v>APAPET</v>
      </c>
    </row>
    <row r="1856" spans="1:7" x14ac:dyDescent="0.25">
      <c r="A1856" s="17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IFERROR(VLOOKUP(B1856,'Diciembre 2023'!$B$2:$G$5822,4,0),"")</f>
        <v>APAPET</v>
      </c>
    </row>
    <row r="1857" spans="1:7" x14ac:dyDescent="0.25">
      <c r="A1857" s="17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IFERROR(VLOOKUP(B1857,'Diciembre 2023'!$B$2:$G$5822,4,0),"")</f>
        <v>APAPET</v>
      </c>
    </row>
    <row r="1858" spans="1:7" x14ac:dyDescent="0.25">
      <c r="A1858" s="17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IFERROR(VLOOKUP(B1858,'Diciembre 2023'!$B$2:$G$5822,4,0),"")</f>
        <v>APAPET</v>
      </c>
    </row>
    <row r="1859" spans="1:7" x14ac:dyDescent="0.25">
      <c r="A1859" s="17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IFERROR(VLOOKUP(B1859,'Diciembre 2023'!$B$2:$G$5822,4,0),"")</f>
        <v>APAPET</v>
      </c>
    </row>
    <row r="1860" spans="1:7" x14ac:dyDescent="0.25">
      <c r="A1860" s="17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IFERROR(VLOOKUP(B1860,'Diciembre 2023'!$B$2:$G$5822,4,0),"")</f>
        <v>APAPET</v>
      </c>
    </row>
    <row r="1861" spans="1:7" x14ac:dyDescent="0.25">
      <c r="A1861" s="17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IFERROR(VLOOKUP(B1861,'Diciembre 2023'!$B$2:$G$5822,4,0),"")</f>
        <v>APAPET</v>
      </c>
    </row>
    <row r="1862" spans="1:7" x14ac:dyDescent="0.25">
      <c r="A1862" s="17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IFERROR(VLOOKUP(B1862,'Diciembre 2023'!$B$2:$G$5822,4,0),"")</f>
        <v>BM</v>
      </c>
    </row>
    <row r="1863" spans="1:7" x14ac:dyDescent="0.25">
      <c r="A1863" s="17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IFERROR(VLOOKUP(B1863,'Diciembre 2023'!$B$2:$G$5822,4,0),"")</f>
        <v>APAPET</v>
      </c>
    </row>
    <row r="1864" spans="1:7" x14ac:dyDescent="0.25">
      <c r="A1864" s="17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IFERROR(VLOOKUP(B1864,'Diciembre 2023'!$B$2:$G$5822,4,0),"")</f>
        <v>APAPET</v>
      </c>
    </row>
    <row r="1865" spans="1:7" x14ac:dyDescent="0.25">
      <c r="A1865" s="17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IFERROR(VLOOKUP(B1865,'Diciembre 2023'!$B$2:$G$5822,4,0),"")</f>
        <v>APAPET</v>
      </c>
    </row>
    <row r="1866" spans="1:7" x14ac:dyDescent="0.25">
      <c r="A1866" s="17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IFERROR(VLOOKUP(B1866,'Diciembre 2023'!$B$2:$G$5822,4,0),"")</f>
        <v>APAPET</v>
      </c>
    </row>
    <row r="1867" spans="1:7" x14ac:dyDescent="0.25">
      <c r="A1867" s="17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IFERROR(VLOOKUP(B1867,'Diciembre 2023'!$B$2:$G$5822,4,0),"")</f>
        <v>APAPET</v>
      </c>
    </row>
    <row r="1868" spans="1:7" x14ac:dyDescent="0.25">
      <c r="A1868" s="17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IFERROR(VLOOKUP(B1868,'Diciembre 2023'!$B$2:$G$5822,4,0),"")</f>
        <v>APA_PC</v>
      </c>
    </row>
    <row r="1869" spans="1:7" x14ac:dyDescent="0.25">
      <c r="A1869" s="17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IFERROR(VLOOKUP(B1869,'Diciembre 2023'!$B$2:$G$5822,4,0),"")</f>
        <v>APA_PC</v>
      </c>
    </row>
    <row r="1870" spans="1:7" x14ac:dyDescent="0.25">
      <c r="A1870" s="17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IFERROR(VLOOKUP(B1870,'Diciembre 2023'!$B$2:$G$5822,4,0),"")</f>
        <v>ACTPETS</v>
      </c>
    </row>
    <row r="1871" spans="1:7" x14ac:dyDescent="0.25">
      <c r="A1871" s="17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IFERROR(VLOOKUP(B1871,'Diciembre 2023'!$B$2:$G$5822,4,0),"")</f>
        <v>ACTPETS</v>
      </c>
    </row>
    <row r="1872" spans="1:7" x14ac:dyDescent="0.25">
      <c r="A1872" s="17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IFERROR(VLOOKUP(B1872,'Diciembre 2023'!$B$2:$G$5822,4,0),"")</f>
        <v>APA_PC</v>
      </c>
    </row>
    <row r="1873" spans="1:7" x14ac:dyDescent="0.25">
      <c r="A1873" s="17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IFERROR(VLOOKUP(B1873,'Diciembre 2023'!$B$2:$G$5822,4,0),"")</f>
        <v>APAPET</v>
      </c>
    </row>
    <row r="1874" spans="1:7" x14ac:dyDescent="0.25">
      <c r="A1874" s="17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IFERROR(VLOOKUP(B1874,'Diciembre 2023'!$B$2:$G$5822,4,0),"")</f>
        <v>APAPET</v>
      </c>
    </row>
    <row r="1875" spans="1:7" x14ac:dyDescent="0.25">
      <c r="A1875" s="17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IFERROR(VLOOKUP(B1875,'Diciembre 2023'!$B$2:$G$5822,4,0),"")</f>
        <v>APAPET</v>
      </c>
    </row>
    <row r="1876" spans="1:7" x14ac:dyDescent="0.25">
      <c r="A1876" s="17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IFERROR(VLOOKUP(B1876,'Diciembre 2023'!$B$2:$G$5822,4,0),"")</f>
        <v>APA_PC</v>
      </c>
    </row>
    <row r="1877" spans="1:7" x14ac:dyDescent="0.25">
      <c r="A1877" s="17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IFERROR(VLOOKUP(B1877,'Diciembre 2023'!$B$2:$G$5822,4,0),"")</f>
        <v>APAPET</v>
      </c>
    </row>
    <row r="1878" spans="1:7" x14ac:dyDescent="0.25">
      <c r="A1878" s="17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IFERROR(VLOOKUP(B1878,'Diciembre 2023'!$B$2:$G$5822,4,0),"")</f>
        <v>APAPET</v>
      </c>
    </row>
    <row r="1879" spans="1:7" x14ac:dyDescent="0.25">
      <c r="A1879" s="17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IFERROR(VLOOKUP(B1879,'Diciembre 2023'!$B$2:$G$5822,4,0),"")</f>
        <v>APA_PC</v>
      </c>
    </row>
    <row r="1880" spans="1:7" x14ac:dyDescent="0.25">
      <c r="A1880" s="17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IFERROR(VLOOKUP(B1880,'Diciembre 2023'!$B$2:$G$5822,4,0),"")</f>
        <v>APAPET</v>
      </c>
    </row>
    <row r="1881" spans="1:7" x14ac:dyDescent="0.25">
      <c r="A1881" s="17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IFERROR(VLOOKUP(B1881,'Diciembre 2023'!$B$2:$G$5822,4,0),"")</f>
        <v>APAPET</v>
      </c>
    </row>
    <row r="1882" spans="1:7" x14ac:dyDescent="0.25">
      <c r="A1882" s="17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IFERROR(VLOOKUP(B1882,'Diciembre 2023'!$B$2:$G$5822,4,0),"")</f>
        <v>APAPET</v>
      </c>
    </row>
    <row r="1883" spans="1:7" x14ac:dyDescent="0.25">
      <c r="A1883" s="17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IFERROR(VLOOKUP(B1883,'Diciembre 2023'!$B$2:$G$5822,4,0),"")</f>
        <v>APAPET</v>
      </c>
    </row>
    <row r="1884" spans="1:7" x14ac:dyDescent="0.25">
      <c r="A1884" s="17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IFERROR(VLOOKUP(B1884,'Diciembre 2023'!$B$2:$G$5822,4,0),"")</f>
        <v>APAPET</v>
      </c>
    </row>
    <row r="1885" spans="1:7" x14ac:dyDescent="0.25">
      <c r="A1885" s="17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IFERROR(VLOOKUP(B1885,'Diciembre 2023'!$B$2:$G$5822,4,0),"")</f>
        <v>APAPET</v>
      </c>
    </row>
    <row r="1886" spans="1:7" x14ac:dyDescent="0.25">
      <c r="A1886" s="17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IFERROR(VLOOKUP(B1886,'Diciembre 2023'!$B$2:$G$5822,4,0),"")</f>
        <v>ACTPETS</v>
      </c>
    </row>
    <row r="1887" spans="1:7" x14ac:dyDescent="0.25">
      <c r="A1887" s="17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IFERROR(VLOOKUP(B1887,'Diciembre 2023'!$B$2:$G$5822,4,0),"")</f>
        <v>APAPET</v>
      </c>
    </row>
    <row r="1888" spans="1:7" x14ac:dyDescent="0.25">
      <c r="A1888" s="17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IFERROR(VLOOKUP(B1888,'Diciembre 2023'!$B$2:$G$5822,4,0),"")</f>
        <v>APA_PC</v>
      </c>
    </row>
    <row r="1889" spans="1:7" x14ac:dyDescent="0.25">
      <c r="A1889" s="17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IFERROR(VLOOKUP(B1889,'Diciembre 2023'!$B$2:$G$5822,4,0),"")</f>
        <v>DPAPET</v>
      </c>
    </row>
    <row r="1890" spans="1:7" x14ac:dyDescent="0.25">
      <c r="A1890" s="17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IFERROR(VLOOKUP(B1890,'Diciembre 2023'!$B$2:$G$5822,4,0),"")</f>
        <v>DPAPET</v>
      </c>
    </row>
    <row r="1891" spans="1:7" x14ac:dyDescent="0.25">
      <c r="A1891" s="17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IFERROR(VLOOKUP(B1891,'Diciembre 2023'!$B$2:$G$5822,4,0),"")</f>
        <v>APAPET</v>
      </c>
    </row>
    <row r="1892" spans="1:7" x14ac:dyDescent="0.25">
      <c r="A1892" s="17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IFERROR(VLOOKUP(B1892,'Diciembre 2023'!$B$2:$G$5822,4,0),"")</f>
        <v>APA_PC</v>
      </c>
    </row>
    <row r="1893" spans="1:7" x14ac:dyDescent="0.25">
      <c r="A1893" s="17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IFERROR(VLOOKUP(B1893,'Diciembre 2023'!$B$2:$G$5822,4,0),"")</f>
        <v>APA_PC</v>
      </c>
    </row>
    <row r="1894" spans="1:7" x14ac:dyDescent="0.25">
      <c r="A1894" s="17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IFERROR(VLOOKUP(B1894,'Diciembre 2023'!$B$2:$G$5822,4,0),"")</f>
        <v>BM</v>
      </c>
    </row>
    <row r="1895" spans="1:7" x14ac:dyDescent="0.25">
      <c r="A1895" s="17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IFERROR(VLOOKUP(B1895,'Diciembre 2023'!$B$2:$G$5822,4,0),"")</f>
        <v>BM</v>
      </c>
    </row>
    <row r="1896" spans="1:7" x14ac:dyDescent="0.25">
      <c r="A1896" s="17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IFERROR(VLOOKUP(B1896,'Diciembre 2023'!$B$2:$G$5822,4,0),"")</f>
        <v>INACTPETS</v>
      </c>
    </row>
    <row r="1897" spans="1:7" x14ac:dyDescent="0.25">
      <c r="A1897" s="17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IFERROR(VLOOKUP(B1897,'Diciembre 2023'!$B$2:$G$5822,4,0),"")</f>
        <v>BM</v>
      </c>
    </row>
    <row r="1898" spans="1:7" x14ac:dyDescent="0.25">
      <c r="A1898" s="17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IFERROR(VLOOKUP(B1898,'Diciembre 2023'!$B$2:$G$5822,4,0),"")</f>
        <v>APA_PC</v>
      </c>
    </row>
    <row r="1899" spans="1:7" x14ac:dyDescent="0.25">
      <c r="A1899" s="17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IFERROR(VLOOKUP(B1899,'Diciembre 2023'!$B$2:$G$5822,4,0),"")</f>
        <v>DPAPET</v>
      </c>
    </row>
    <row r="1900" spans="1:7" x14ac:dyDescent="0.25">
      <c r="A1900" s="17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IFERROR(VLOOKUP(B1900,'Diciembre 2023'!$B$2:$G$5822,4,0),"")</f>
        <v>APA_PC</v>
      </c>
    </row>
    <row r="1901" spans="1:7" x14ac:dyDescent="0.25">
      <c r="A1901" s="17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IFERROR(VLOOKUP(B1901,'Diciembre 2023'!$B$2:$G$5822,4,0),"")</f>
        <v>BM</v>
      </c>
    </row>
    <row r="1902" spans="1:7" x14ac:dyDescent="0.25">
      <c r="A1902" s="17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IFERROR(VLOOKUP(B1902,'Diciembre 2023'!$B$2:$G$5822,4,0),"")</f>
        <v>ATAPET</v>
      </c>
    </row>
    <row r="1903" spans="1:7" x14ac:dyDescent="0.25">
      <c r="A1903" s="17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IFERROR(VLOOKUP(B1903,'Diciembre 2023'!$B$2:$G$5822,4,0),"")</f>
        <v>ATAPET</v>
      </c>
    </row>
    <row r="1904" spans="1:7" x14ac:dyDescent="0.25">
      <c r="A1904" s="17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IFERROR(VLOOKUP(B1904,'Diciembre 2023'!$B$2:$G$5822,4,0),"")</f>
        <v>APA_PC</v>
      </c>
    </row>
    <row r="1905" spans="1:7" x14ac:dyDescent="0.25">
      <c r="A1905" s="17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IFERROR(VLOOKUP(B1905,'Diciembre 2023'!$B$2:$G$5822,4,0),"")</f>
        <v>INACTPETS</v>
      </c>
    </row>
    <row r="1906" spans="1:7" x14ac:dyDescent="0.25">
      <c r="A1906" s="17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IFERROR(VLOOKUP(B1906,'Diciembre 2023'!$B$2:$G$5822,4,0),"")</f>
        <v>DPAPET</v>
      </c>
    </row>
    <row r="1907" spans="1:7" x14ac:dyDescent="0.25">
      <c r="A1907" s="17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IFERROR(VLOOKUP(B1907,'Diciembre 2023'!$B$2:$G$5822,4,0),"")</f>
        <v>ACTPETF</v>
      </c>
    </row>
    <row r="1908" spans="1:7" x14ac:dyDescent="0.25">
      <c r="A1908" s="17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IFERROR(VLOOKUP(B1908,'Diciembre 2023'!$B$2:$G$5822,4,0),"")</f>
        <v>APA_PC</v>
      </c>
    </row>
    <row r="1909" spans="1:7" x14ac:dyDescent="0.25">
      <c r="A1909" s="17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IFERROR(VLOOKUP(B1909,'Diciembre 2023'!$B$2:$G$5822,4,0),"")</f>
        <v>ACTPETS</v>
      </c>
    </row>
    <row r="1910" spans="1:7" x14ac:dyDescent="0.25">
      <c r="A1910" s="17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IFERROR(VLOOKUP(B1910,'Diciembre 2023'!$B$2:$G$5822,4,0),"")</f>
        <v>APA_PC</v>
      </c>
    </row>
    <row r="1911" spans="1:7" x14ac:dyDescent="0.25">
      <c r="A1911" s="17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IFERROR(VLOOKUP(B1911,'Diciembre 2023'!$B$2:$G$5822,4,0),"")</f>
        <v>ACTPETS</v>
      </c>
    </row>
    <row r="1912" spans="1:7" x14ac:dyDescent="0.25">
      <c r="A1912" s="17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IFERROR(VLOOKUP(B1912,'Diciembre 2023'!$B$2:$G$5822,4,0),"")</f>
        <v>APA_PC</v>
      </c>
    </row>
    <row r="1913" spans="1:7" x14ac:dyDescent="0.25">
      <c r="A1913" s="17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IFERROR(VLOOKUP(B1913,'Diciembre 2023'!$B$2:$G$5822,4,0),"")</f>
        <v>INACTPETF</v>
      </c>
    </row>
    <row r="1914" spans="1:7" x14ac:dyDescent="0.25">
      <c r="A1914" s="17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IFERROR(VLOOKUP(B1914,'Diciembre 2023'!$B$2:$G$5822,4,0),"")</f>
        <v>APA_PC</v>
      </c>
    </row>
    <row r="1915" spans="1:7" x14ac:dyDescent="0.25">
      <c r="A1915" s="17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IFERROR(VLOOKUP(B1915,'Diciembre 2023'!$B$2:$G$5822,4,0),"")</f>
        <v>ACTPETS</v>
      </c>
    </row>
    <row r="1916" spans="1:7" x14ac:dyDescent="0.25">
      <c r="A1916" s="17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IFERROR(VLOOKUP(B1916,'Diciembre 2023'!$B$2:$G$5822,4,0),"")</f>
        <v>APA_PC</v>
      </c>
    </row>
    <row r="1917" spans="1:7" x14ac:dyDescent="0.25">
      <c r="A1917" s="17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IFERROR(VLOOKUP(B1917,'Diciembre 2023'!$B$2:$G$5822,4,0),"")</f>
        <v>DPAPET</v>
      </c>
    </row>
    <row r="1918" spans="1:7" x14ac:dyDescent="0.25">
      <c r="A1918" s="17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IFERROR(VLOOKUP(B1918,'Diciembre 2023'!$B$2:$G$5822,4,0),"")</f>
        <v>APA_PC</v>
      </c>
    </row>
    <row r="1919" spans="1:7" x14ac:dyDescent="0.25">
      <c r="A1919" s="17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IFERROR(VLOOKUP(B1919,'Diciembre 2023'!$B$2:$G$5822,4,0),"")</f>
        <v>ATAPET</v>
      </c>
    </row>
    <row r="1920" spans="1:7" x14ac:dyDescent="0.25">
      <c r="A1920" s="17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IFERROR(VLOOKUP(B1920,'Diciembre 2023'!$B$2:$G$5822,4,0),"")</f>
        <v>APA_PC</v>
      </c>
    </row>
    <row r="1921" spans="1:7" x14ac:dyDescent="0.25">
      <c r="A1921" s="17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IFERROR(VLOOKUP(B1921,'Diciembre 2023'!$B$2:$G$5822,4,0),"")</f>
        <v>APAPET</v>
      </c>
    </row>
    <row r="1922" spans="1:7" x14ac:dyDescent="0.25">
      <c r="A1922" s="17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IFERROR(VLOOKUP(B1922,'Diciembre 2023'!$B$2:$G$5822,4,0),"")</f>
        <v>ACTPETS</v>
      </c>
    </row>
    <row r="1923" spans="1:7" x14ac:dyDescent="0.25">
      <c r="A1923" s="17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IFERROR(VLOOKUP(B1923,'Diciembre 2023'!$B$2:$G$5822,4,0),"")</f>
        <v>BM</v>
      </c>
    </row>
    <row r="1924" spans="1:7" x14ac:dyDescent="0.25">
      <c r="A1924" s="17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IFERROR(VLOOKUP(B1924,'Diciembre 2023'!$B$2:$G$5822,4,0),"")</f>
        <v>ACTPETS</v>
      </c>
    </row>
    <row r="1925" spans="1:7" x14ac:dyDescent="0.25">
      <c r="A1925" s="17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IFERROR(VLOOKUP(B1925,'Diciembre 2023'!$B$2:$G$5822,4,0),"")</f>
        <v>ACTPETS</v>
      </c>
    </row>
    <row r="1926" spans="1:7" x14ac:dyDescent="0.25">
      <c r="A1926" s="17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IFERROR(VLOOKUP(B1926,'Diciembre 2023'!$B$2:$G$5822,4,0),"")</f>
        <v>APA_CNPC</v>
      </c>
    </row>
    <row r="1927" spans="1:7" x14ac:dyDescent="0.25">
      <c r="A1927" s="17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IFERROR(VLOOKUP(B1927,'Diciembre 2023'!$B$2:$G$5822,4,0),"")</f>
        <v>APA_PC</v>
      </c>
    </row>
    <row r="1928" spans="1:7" x14ac:dyDescent="0.25">
      <c r="A1928" s="17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IFERROR(VLOOKUP(B1928,'Diciembre 2023'!$B$2:$G$5822,4,0),"")</f>
        <v>BM</v>
      </c>
    </row>
    <row r="1929" spans="1:7" x14ac:dyDescent="0.25">
      <c r="A1929" s="17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IFERROR(VLOOKUP(B1929,'Diciembre 2023'!$B$2:$G$5822,4,0),"")</f>
        <v>ATAPET</v>
      </c>
    </row>
    <row r="1930" spans="1:7" x14ac:dyDescent="0.25">
      <c r="A1930" s="17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IFERROR(VLOOKUP(B1930,'Diciembre 2023'!$B$2:$G$5822,4,0),"")</f>
        <v>ATAPET</v>
      </c>
    </row>
    <row r="1931" spans="1:7" x14ac:dyDescent="0.25">
      <c r="A1931" s="17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IFERROR(VLOOKUP(B1931,'Diciembre 2023'!$B$2:$G$5822,4,0),"")</f>
        <v>BM</v>
      </c>
    </row>
    <row r="1932" spans="1:7" x14ac:dyDescent="0.25">
      <c r="A1932" s="17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IFERROR(VLOOKUP(B1932,'Diciembre 2023'!$B$2:$G$5822,4,0),"")</f>
        <v>APAPET</v>
      </c>
    </row>
    <row r="1933" spans="1:7" x14ac:dyDescent="0.25">
      <c r="A1933" s="17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IFERROR(VLOOKUP(B1933,'Diciembre 2023'!$B$2:$G$5822,4,0),"")</f>
        <v>ACTPETS</v>
      </c>
    </row>
    <row r="1934" spans="1:7" x14ac:dyDescent="0.25">
      <c r="A1934" s="17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IFERROR(VLOOKUP(B1934,'Diciembre 2023'!$B$2:$G$5822,4,0),"")</f>
        <v>DPAPET</v>
      </c>
    </row>
    <row r="1935" spans="1:7" x14ac:dyDescent="0.25">
      <c r="A1935" s="17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IFERROR(VLOOKUP(B1935,'Diciembre 2023'!$B$2:$G$5822,4,0),"")</f>
        <v>APAPET</v>
      </c>
    </row>
    <row r="1936" spans="1:7" x14ac:dyDescent="0.25">
      <c r="A1936" s="17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IFERROR(VLOOKUP(B1936,'Diciembre 2023'!$B$2:$G$5822,4,0),"")</f>
        <v>DPAPET</v>
      </c>
    </row>
    <row r="1937" spans="1:7" x14ac:dyDescent="0.25">
      <c r="A1937" s="17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IFERROR(VLOOKUP(B1937,'Diciembre 2023'!$B$2:$G$5822,4,0),"")</f>
        <v>DPAPET</v>
      </c>
    </row>
    <row r="1938" spans="1:7" x14ac:dyDescent="0.25">
      <c r="A1938" s="17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IFERROR(VLOOKUP(B1938,'Diciembre 2023'!$B$2:$G$5822,4,0),"")</f>
        <v>ACTPETS</v>
      </c>
    </row>
    <row r="1939" spans="1:7" x14ac:dyDescent="0.25">
      <c r="A1939" s="17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IFERROR(VLOOKUP(B1939,'Diciembre 2023'!$B$2:$G$5822,4,0),"")</f>
        <v>ACTPETS</v>
      </c>
    </row>
    <row r="1940" spans="1:7" x14ac:dyDescent="0.25">
      <c r="A1940" s="17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IFERROR(VLOOKUP(B1940,'Diciembre 2023'!$B$2:$G$5822,4,0),"")</f>
        <v>BM</v>
      </c>
    </row>
    <row r="1941" spans="1:7" x14ac:dyDescent="0.25">
      <c r="A1941" s="17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IFERROR(VLOOKUP(B1941,'Diciembre 2023'!$B$2:$G$5822,4,0),"")</f>
        <v>ACTPETF</v>
      </c>
    </row>
    <row r="1942" spans="1:7" x14ac:dyDescent="0.25">
      <c r="A1942" s="17"/>
      <c r="B1942" s="4" t="s">
        <v>1842</v>
      </c>
      <c r="C1942" s="4" t="s">
        <v>35</v>
      </c>
      <c r="D1942" s="4" t="s">
        <v>35</v>
      </c>
      <c r="E1942" s="4" t="s">
        <v>57</v>
      </c>
      <c r="F1942" s="4" t="s">
        <v>1385</v>
      </c>
      <c r="G1942" s="5" t="str">
        <f>IFERROR(VLOOKUP(B1942,'Diciembre 2023'!$B$2:$G$5822,4,0),"")</f>
        <v>INACTBM</v>
      </c>
    </row>
    <row r="1943" spans="1:7" x14ac:dyDescent="0.25">
      <c r="A1943" s="17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IFERROR(VLOOKUP(B1943,'Diciembre 2023'!$B$2:$G$5822,4,0),"")</f>
        <v>APAPET</v>
      </c>
    </row>
    <row r="1944" spans="1:7" x14ac:dyDescent="0.25">
      <c r="A1944" s="17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IFERROR(VLOOKUP(B1944,'Diciembre 2023'!$B$2:$G$5822,4,0),"")</f>
        <v>APAPET</v>
      </c>
    </row>
    <row r="1945" spans="1:7" x14ac:dyDescent="0.25">
      <c r="A1945" s="17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IFERROR(VLOOKUP(B1945,'Diciembre 2023'!$B$2:$G$5822,4,0),"")</f>
        <v>APAPET</v>
      </c>
    </row>
    <row r="1946" spans="1:7" x14ac:dyDescent="0.25">
      <c r="A1946" s="17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IFERROR(VLOOKUP(B1946,'Diciembre 2023'!$B$2:$G$5822,4,0),"")</f>
        <v>APAPET</v>
      </c>
    </row>
    <row r="1947" spans="1:7" x14ac:dyDescent="0.25">
      <c r="A1947" s="17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IFERROR(VLOOKUP(B1947,'Diciembre 2023'!$B$2:$G$5822,4,0),"")</f>
        <v>ATAPET</v>
      </c>
    </row>
    <row r="1948" spans="1:7" x14ac:dyDescent="0.25">
      <c r="A1948" s="17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IFERROR(VLOOKUP(B1948,'Diciembre 2023'!$B$2:$G$5822,4,0),"")</f>
        <v>APAPET</v>
      </c>
    </row>
    <row r="1949" spans="1:7" x14ac:dyDescent="0.25">
      <c r="A1949" s="17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IFERROR(VLOOKUP(B1949,'Diciembre 2023'!$B$2:$G$5822,4,0),"")</f>
        <v>APAPET</v>
      </c>
    </row>
    <row r="1950" spans="1:7" x14ac:dyDescent="0.25">
      <c r="A1950" s="17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IFERROR(VLOOKUP(B1950,'Diciembre 2023'!$B$2:$G$5822,4,0),"")</f>
        <v>APAPET</v>
      </c>
    </row>
    <row r="1951" spans="1:7" x14ac:dyDescent="0.25">
      <c r="A1951" s="17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IFERROR(VLOOKUP(B1951,'Diciembre 2023'!$B$2:$G$5822,4,0),"")</f>
        <v>DPAPET</v>
      </c>
    </row>
    <row r="1952" spans="1:7" x14ac:dyDescent="0.25">
      <c r="A1952" s="17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IFERROR(VLOOKUP(B1952,'Diciembre 2023'!$B$2:$G$5822,4,0),"")</f>
        <v>APAPET</v>
      </c>
    </row>
    <row r="1953" spans="1:7" x14ac:dyDescent="0.25">
      <c r="A1953" s="17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IFERROR(VLOOKUP(B1953,'Diciembre 2023'!$B$2:$G$5822,4,0),"")</f>
        <v>APAPET</v>
      </c>
    </row>
    <row r="1954" spans="1:7" x14ac:dyDescent="0.25">
      <c r="A1954" s="17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IFERROR(VLOOKUP(B1954,'Diciembre 2023'!$B$2:$G$5822,4,0),"")</f>
        <v>APAPET</v>
      </c>
    </row>
    <row r="1955" spans="1:7" x14ac:dyDescent="0.25">
      <c r="A1955" s="17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IFERROR(VLOOKUP(B1955,'Diciembre 2023'!$B$2:$G$5822,4,0),"")</f>
        <v>BM</v>
      </c>
    </row>
    <row r="1956" spans="1:7" x14ac:dyDescent="0.25">
      <c r="A1956" s="17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IFERROR(VLOOKUP(B1956,'Diciembre 2023'!$B$2:$G$5822,4,0),"")</f>
        <v>APA_CNPC</v>
      </c>
    </row>
    <row r="1957" spans="1:7" x14ac:dyDescent="0.25">
      <c r="A1957" s="17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IFERROR(VLOOKUP(B1957,'Diciembre 2023'!$B$2:$G$5822,4,0),"")</f>
        <v>BM</v>
      </c>
    </row>
    <row r="1958" spans="1:7" x14ac:dyDescent="0.25">
      <c r="A1958" s="17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IFERROR(VLOOKUP(B1958,'Diciembre 2023'!$B$2:$G$5822,4,0),"")</f>
        <v>BM</v>
      </c>
    </row>
    <row r="1959" spans="1:7" x14ac:dyDescent="0.25">
      <c r="A1959" s="17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IFERROR(VLOOKUP(B1959,'Diciembre 2023'!$B$2:$G$5822,4,0),"")</f>
        <v>DPAPET</v>
      </c>
    </row>
    <row r="1960" spans="1:7" x14ac:dyDescent="0.25">
      <c r="A1960" s="17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IFERROR(VLOOKUP(B1960,'Diciembre 2023'!$B$2:$G$5822,4,0),"")</f>
        <v>DPAPET</v>
      </c>
    </row>
    <row r="1961" spans="1:7" x14ac:dyDescent="0.25">
      <c r="A1961" s="17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IFERROR(VLOOKUP(B1961,'Diciembre 2023'!$B$2:$G$5822,4,0),"")</f>
        <v>DPAPET</v>
      </c>
    </row>
    <row r="1962" spans="1:7" x14ac:dyDescent="0.25">
      <c r="A1962" s="17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IFERROR(VLOOKUP(B1962,'Diciembre 2023'!$B$2:$G$5822,4,0),"")</f>
        <v>DPAPET</v>
      </c>
    </row>
    <row r="1963" spans="1:7" x14ac:dyDescent="0.25">
      <c r="A1963" s="17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IFERROR(VLOOKUP(B1963,'Diciembre 2023'!$B$2:$G$5822,4,0),"")</f>
        <v>BM</v>
      </c>
    </row>
    <row r="1964" spans="1:7" x14ac:dyDescent="0.25">
      <c r="A1964" s="17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IFERROR(VLOOKUP(B1964,'Diciembre 2023'!$B$2:$G$5822,4,0),"")</f>
        <v>INACTPETS</v>
      </c>
    </row>
    <row r="1965" spans="1:7" x14ac:dyDescent="0.25">
      <c r="A1965" s="17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IFERROR(VLOOKUP(B1965,'Diciembre 2023'!$B$2:$G$5822,4,0),"")</f>
        <v>APAPET</v>
      </c>
    </row>
    <row r="1966" spans="1:7" x14ac:dyDescent="0.25">
      <c r="A1966" s="17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IFERROR(VLOOKUP(B1966,'Diciembre 2023'!$B$2:$G$5822,4,0),"")</f>
        <v>ATAPET</v>
      </c>
    </row>
    <row r="1967" spans="1:7" x14ac:dyDescent="0.25">
      <c r="A1967" s="17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IFERROR(VLOOKUP(B1967,'Diciembre 2023'!$B$2:$G$5822,4,0),"")</f>
        <v>PL</v>
      </c>
    </row>
    <row r="1968" spans="1:7" x14ac:dyDescent="0.25">
      <c r="A1968" s="17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IFERROR(VLOOKUP(B1968,'Diciembre 2023'!$B$2:$G$5822,4,0),"")</f>
        <v>ATAPET</v>
      </c>
    </row>
    <row r="1969" spans="1:7" x14ac:dyDescent="0.25">
      <c r="A1969" s="17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IFERROR(VLOOKUP(B1969,'Diciembre 2023'!$B$2:$G$5822,4,0),"")</f>
        <v>BM</v>
      </c>
    </row>
    <row r="1970" spans="1:7" x14ac:dyDescent="0.25">
      <c r="A1970" s="17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IFERROR(VLOOKUP(B1970,'Diciembre 2023'!$B$2:$G$5822,4,0),"")</f>
        <v>DPAPET</v>
      </c>
    </row>
    <row r="1971" spans="1:7" x14ac:dyDescent="0.25">
      <c r="A1971" s="17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IFERROR(VLOOKUP(B1971,'Diciembre 2023'!$B$2:$G$5822,4,0),"")</f>
        <v>APA_PC</v>
      </c>
    </row>
    <row r="1972" spans="1:7" x14ac:dyDescent="0.25">
      <c r="A1972" s="17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IFERROR(VLOOKUP(B1972,'Diciembre 2023'!$B$2:$G$5822,4,0),"")</f>
        <v>BM</v>
      </c>
    </row>
    <row r="1973" spans="1:7" x14ac:dyDescent="0.25">
      <c r="A1973" s="17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IFERROR(VLOOKUP(B1973,'Diciembre 2023'!$B$2:$G$5822,4,0),"")</f>
        <v>ATAPET</v>
      </c>
    </row>
    <row r="1974" spans="1:7" x14ac:dyDescent="0.25">
      <c r="A1974" s="17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IFERROR(VLOOKUP(B1974,'Diciembre 2023'!$B$2:$G$5822,4,0),"")</f>
        <v>APAPET</v>
      </c>
    </row>
    <row r="1975" spans="1:7" x14ac:dyDescent="0.25">
      <c r="A1975" s="17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IFERROR(VLOOKUP(B1975,'Diciembre 2023'!$B$2:$G$5822,4,0),"")</f>
        <v>APA_PC</v>
      </c>
    </row>
    <row r="1976" spans="1:7" x14ac:dyDescent="0.25">
      <c r="A1976" s="17"/>
      <c r="B1976" s="4" t="s">
        <v>1876</v>
      </c>
      <c r="C1976" s="4" t="s">
        <v>35</v>
      </c>
      <c r="D1976" s="4" t="s">
        <v>35</v>
      </c>
      <c r="E1976" s="4" t="s">
        <v>163</v>
      </c>
      <c r="F1976" s="4" t="s">
        <v>21</v>
      </c>
      <c r="G1976" s="5" t="str">
        <f>IFERROR(VLOOKUP(B1976,'Diciembre 2023'!$B$2:$G$5822,4,0),"")</f>
        <v>INACTPETS</v>
      </c>
    </row>
    <row r="1977" spans="1:7" x14ac:dyDescent="0.25">
      <c r="A1977" s="17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IFERROR(VLOOKUP(B1977,'Diciembre 2023'!$B$2:$G$5822,4,0),"")</f>
        <v>APA_PC</v>
      </c>
    </row>
    <row r="1978" spans="1:7" x14ac:dyDescent="0.25">
      <c r="A1978" s="17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IFERROR(VLOOKUP(B1978,'Diciembre 2023'!$B$2:$G$5822,4,0),"")</f>
        <v>DPAPET</v>
      </c>
    </row>
    <row r="1979" spans="1:7" x14ac:dyDescent="0.25">
      <c r="A1979" s="17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IFERROR(VLOOKUP(B1979,'Diciembre 2023'!$B$2:$G$5822,4,0),"")</f>
        <v>DPAPET</v>
      </c>
    </row>
    <row r="1980" spans="1:7" x14ac:dyDescent="0.25">
      <c r="A1980" s="17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IFERROR(VLOOKUP(B1980,'Diciembre 2023'!$B$2:$G$5822,4,0),"")</f>
        <v>DPAPET</v>
      </c>
    </row>
    <row r="1981" spans="1:7" x14ac:dyDescent="0.25">
      <c r="A1981" s="17"/>
      <c r="B1981" s="4" t="s">
        <v>1881</v>
      </c>
      <c r="C1981" s="4" t="s">
        <v>11</v>
      </c>
      <c r="D1981" s="4" t="s">
        <v>11</v>
      </c>
      <c r="E1981" s="4" t="s">
        <v>11</v>
      </c>
      <c r="F1981" s="4" t="s">
        <v>137</v>
      </c>
      <c r="G1981" s="5" t="str">
        <f>IFERROR(VLOOKUP(B1981,'Diciembre 2023'!$B$2:$G$5822,4,0),"")</f>
        <v>BM</v>
      </c>
    </row>
    <row r="1982" spans="1:7" x14ac:dyDescent="0.25">
      <c r="A1982" s="17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IFERROR(VLOOKUP(B1982,'Diciembre 2023'!$B$2:$G$5822,4,0),"")</f>
        <v>ATAPET</v>
      </c>
    </row>
    <row r="1983" spans="1:7" x14ac:dyDescent="0.25">
      <c r="A1983" s="17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IFERROR(VLOOKUP(B1983,'Diciembre 2023'!$B$2:$G$5822,4,0),"")</f>
        <v>DPAPET</v>
      </c>
    </row>
    <row r="1984" spans="1:7" x14ac:dyDescent="0.25">
      <c r="A1984" s="17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IFERROR(VLOOKUP(B1984,'Diciembre 2023'!$B$2:$G$5822,4,0),"")</f>
        <v>DPAPET</v>
      </c>
    </row>
    <row r="1985" spans="1:7" x14ac:dyDescent="0.25">
      <c r="A1985" s="17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IFERROR(VLOOKUP(B1985,'Diciembre 2023'!$B$2:$G$5822,4,0),"")</f>
        <v>ACTPETS</v>
      </c>
    </row>
    <row r="1986" spans="1:7" x14ac:dyDescent="0.25">
      <c r="A1986" s="17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IFERROR(VLOOKUP(B1986,'Diciembre 2023'!$B$2:$G$5822,4,0),"")</f>
        <v>ACTPETS</v>
      </c>
    </row>
    <row r="1987" spans="1:7" x14ac:dyDescent="0.25">
      <c r="A1987" s="17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IFERROR(VLOOKUP(B1987,'Diciembre 2023'!$B$2:$G$5822,4,0),"")</f>
        <v>INACTPETF</v>
      </c>
    </row>
    <row r="1988" spans="1:7" x14ac:dyDescent="0.25">
      <c r="A1988" s="17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IFERROR(VLOOKUP(B1988,'Diciembre 2023'!$B$2:$G$5822,4,0),"")</f>
        <v>ATAPET</v>
      </c>
    </row>
    <row r="1989" spans="1:7" x14ac:dyDescent="0.25">
      <c r="A1989" s="17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IFERROR(VLOOKUP(B1989,'Diciembre 2023'!$B$2:$G$5822,4,0),"")</f>
        <v>ACTPETS</v>
      </c>
    </row>
    <row r="1990" spans="1:7" x14ac:dyDescent="0.25">
      <c r="A1990" s="17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IFERROR(VLOOKUP(B1990,'Diciembre 2023'!$B$2:$G$5822,4,0),"")</f>
        <v>ATAPET</v>
      </c>
    </row>
    <row r="1991" spans="1:7" x14ac:dyDescent="0.25">
      <c r="A1991" s="17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IFERROR(VLOOKUP(B1991,'Diciembre 2023'!$B$2:$G$5822,4,0),"")</f>
        <v>DPAPET</v>
      </c>
    </row>
    <row r="1992" spans="1:7" x14ac:dyDescent="0.25">
      <c r="A1992" s="17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IFERROR(VLOOKUP(B1992,'Diciembre 2023'!$B$2:$G$5822,4,0),"")</f>
        <v>ACTPETS</v>
      </c>
    </row>
    <row r="1993" spans="1:7" x14ac:dyDescent="0.25">
      <c r="A1993" s="17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IFERROR(VLOOKUP(B1993,'Diciembre 2023'!$B$2:$G$5822,4,0),"")</f>
        <v>APAPET</v>
      </c>
    </row>
    <row r="1994" spans="1:7" x14ac:dyDescent="0.25">
      <c r="A1994" s="17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IFERROR(VLOOKUP(B1994,'Diciembre 2023'!$B$2:$G$5822,4,0),"")</f>
        <v>APAPET</v>
      </c>
    </row>
    <row r="1995" spans="1:7" x14ac:dyDescent="0.25">
      <c r="A1995" s="17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IFERROR(VLOOKUP(B1995,'Diciembre 2023'!$B$2:$G$5822,4,0),"")</f>
        <v>APA_PC</v>
      </c>
    </row>
    <row r="1996" spans="1:7" x14ac:dyDescent="0.25">
      <c r="A1996" s="17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IFERROR(VLOOKUP(B1996,'Diciembre 2023'!$B$2:$G$5822,4,0),"")</f>
        <v>BM</v>
      </c>
    </row>
    <row r="1997" spans="1:7" x14ac:dyDescent="0.25">
      <c r="A1997" s="17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IFERROR(VLOOKUP(B1997,'Diciembre 2023'!$B$2:$G$5822,4,0),"")</f>
        <v>APA_PC</v>
      </c>
    </row>
    <row r="1998" spans="1:7" x14ac:dyDescent="0.25">
      <c r="A1998" s="17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IFERROR(VLOOKUP(B1998,'Diciembre 2023'!$B$2:$G$5822,4,0),"")</f>
        <v>APAPET</v>
      </c>
    </row>
    <row r="1999" spans="1:7" x14ac:dyDescent="0.25">
      <c r="A1999" s="17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IFERROR(VLOOKUP(B1999,'Diciembre 2023'!$B$2:$G$5822,4,0),"")</f>
        <v>DPAPET</v>
      </c>
    </row>
    <row r="2000" spans="1:7" x14ac:dyDescent="0.25">
      <c r="A2000" s="17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IFERROR(VLOOKUP(B2000,'Diciembre 2023'!$B$2:$G$5822,4,0),"")</f>
        <v>BM</v>
      </c>
    </row>
    <row r="2001" spans="1:7" x14ac:dyDescent="0.25">
      <c r="A2001" s="17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IFERROR(VLOOKUP(B2001,'Diciembre 2023'!$B$2:$G$5822,4,0),"")</f>
        <v>APA_CNPC</v>
      </c>
    </row>
    <row r="2002" spans="1:7" x14ac:dyDescent="0.25">
      <c r="A2002" s="17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IFERROR(VLOOKUP(B2002,'Diciembre 2023'!$B$2:$G$5822,4,0),"")</f>
        <v>INACTPETS</v>
      </c>
    </row>
    <row r="2003" spans="1:7" x14ac:dyDescent="0.25">
      <c r="A2003" s="17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IFERROR(VLOOKUP(B2003,'Diciembre 2023'!$B$2:$G$5822,4,0),"")</f>
        <v>APA_PC</v>
      </c>
    </row>
    <row r="2004" spans="1:7" x14ac:dyDescent="0.25">
      <c r="A2004" s="17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IFERROR(VLOOKUP(B2004,'Diciembre 2023'!$B$2:$G$5822,4,0),"")</f>
        <v>APA_PC</v>
      </c>
    </row>
    <row r="2005" spans="1:7" x14ac:dyDescent="0.25">
      <c r="A2005" s="17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IFERROR(VLOOKUP(B2005,'Diciembre 2023'!$B$2:$G$5822,4,0),"")</f>
        <v>APA_PC</v>
      </c>
    </row>
    <row r="2006" spans="1:7" x14ac:dyDescent="0.25">
      <c r="A2006" s="17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IFERROR(VLOOKUP(B2006,'Diciembre 2023'!$B$2:$G$5822,4,0),"")</f>
        <v>DPAPET</v>
      </c>
    </row>
    <row r="2007" spans="1:7" x14ac:dyDescent="0.25">
      <c r="A2007" s="17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IFERROR(VLOOKUP(B2007,'Diciembre 2023'!$B$2:$G$5822,4,0),"")</f>
        <v>INACTBM</v>
      </c>
    </row>
    <row r="2008" spans="1:7" x14ac:dyDescent="0.25">
      <c r="A2008" s="17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IFERROR(VLOOKUP(B2008,'Diciembre 2023'!$B$2:$G$5822,4,0),"")</f>
        <v>APA_CNPC</v>
      </c>
    </row>
    <row r="2009" spans="1:7" x14ac:dyDescent="0.25">
      <c r="A2009" s="17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IFERROR(VLOOKUP(B2009,'Diciembre 2023'!$B$2:$G$5822,4,0),"")</f>
        <v>DPAPET</v>
      </c>
    </row>
    <row r="2010" spans="1:7" x14ac:dyDescent="0.25">
      <c r="A2010" s="17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IFERROR(VLOOKUP(B2010,'Diciembre 2023'!$B$2:$G$5822,4,0),"")</f>
        <v>APA_PC</v>
      </c>
    </row>
    <row r="2011" spans="1:7" x14ac:dyDescent="0.25">
      <c r="A2011" s="17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IFERROR(VLOOKUP(B2011,'Diciembre 2023'!$B$2:$G$5822,4,0),"")</f>
        <v>ATAPET</v>
      </c>
    </row>
    <row r="2012" spans="1:7" x14ac:dyDescent="0.25">
      <c r="A2012" s="17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IFERROR(VLOOKUP(B2012,'Diciembre 2023'!$B$2:$G$5822,4,0),"")</f>
        <v>DPAPET</v>
      </c>
    </row>
    <row r="2013" spans="1:7" x14ac:dyDescent="0.25">
      <c r="A2013" s="17"/>
      <c r="B2013" s="4" t="s">
        <v>1914</v>
      </c>
      <c r="C2013" s="4" t="s">
        <v>14</v>
      </c>
      <c r="D2013" s="4" t="s">
        <v>15</v>
      </c>
      <c r="E2013" s="4" t="s">
        <v>16</v>
      </c>
      <c r="F2013" s="4" t="s">
        <v>14</v>
      </c>
      <c r="G2013" s="5" t="str">
        <f>IFERROR(VLOOKUP(B2013,'Diciembre 2023'!$B$2:$G$5822,4,0),"")</f>
        <v>ATAPET</v>
      </c>
    </row>
    <row r="2014" spans="1:7" x14ac:dyDescent="0.25">
      <c r="A2014" s="17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IFERROR(VLOOKUP(B2014,'Diciembre 2023'!$B$2:$G$5822,4,0),"")</f>
        <v>DPAPET</v>
      </c>
    </row>
    <row r="2015" spans="1:7" x14ac:dyDescent="0.25">
      <c r="A2015" s="17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IFERROR(VLOOKUP(B2015,'Diciembre 2023'!$B$2:$G$5822,4,0),"")</f>
        <v>ACTPETS</v>
      </c>
    </row>
    <row r="2016" spans="1:7" x14ac:dyDescent="0.25">
      <c r="A2016" s="17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IFERROR(VLOOKUP(B2016,'Diciembre 2023'!$B$2:$G$5822,4,0),"")</f>
        <v>ATAPET</v>
      </c>
    </row>
    <row r="2017" spans="1:7" x14ac:dyDescent="0.25">
      <c r="A2017" s="17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IFERROR(VLOOKUP(B2017,'Diciembre 2023'!$B$2:$G$5822,4,0),"")</f>
        <v>APA_PC</v>
      </c>
    </row>
    <row r="2018" spans="1:7" x14ac:dyDescent="0.25">
      <c r="A2018" s="17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IFERROR(VLOOKUP(B2018,'Diciembre 2023'!$B$2:$G$5822,4,0),"")</f>
        <v>DPAPET</v>
      </c>
    </row>
    <row r="2019" spans="1:7" x14ac:dyDescent="0.25">
      <c r="A2019" s="17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IFERROR(VLOOKUP(B2019,'Diciembre 2023'!$B$2:$G$5822,4,0),"")</f>
        <v>APA_PC</v>
      </c>
    </row>
    <row r="2020" spans="1:7" x14ac:dyDescent="0.25">
      <c r="A2020" s="17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IFERROR(VLOOKUP(B2020,'Diciembre 2023'!$B$2:$G$5822,4,0),"")</f>
        <v>APA_PC</v>
      </c>
    </row>
    <row r="2021" spans="1:7" x14ac:dyDescent="0.25">
      <c r="A2021" s="17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IFERROR(VLOOKUP(B2021,'Diciembre 2023'!$B$2:$G$5822,4,0),"")</f>
        <v>APA_PC</v>
      </c>
    </row>
    <row r="2022" spans="1:7" x14ac:dyDescent="0.25">
      <c r="A2022" s="17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IFERROR(VLOOKUP(B2022,'Diciembre 2023'!$B$2:$G$5822,4,0),"")</f>
        <v>ACTPETS</v>
      </c>
    </row>
    <row r="2023" spans="1:7" x14ac:dyDescent="0.25">
      <c r="A2023" s="17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IFERROR(VLOOKUP(B2023,'Diciembre 2023'!$B$2:$G$5822,4,0),"")</f>
        <v>ATAPET</v>
      </c>
    </row>
    <row r="2024" spans="1:7" x14ac:dyDescent="0.25">
      <c r="A2024" s="17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IFERROR(VLOOKUP(B2024,'Diciembre 2023'!$B$2:$G$5822,4,0),"")</f>
        <v>ATAPET</v>
      </c>
    </row>
    <row r="2025" spans="1:7" x14ac:dyDescent="0.25">
      <c r="A2025" s="17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IFERROR(VLOOKUP(B2025,'Diciembre 2023'!$B$2:$G$5822,4,0),"")</f>
        <v>ACTPETS</v>
      </c>
    </row>
    <row r="2026" spans="1:7" x14ac:dyDescent="0.25">
      <c r="A2026" s="17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IFERROR(VLOOKUP(B2026,'Diciembre 2023'!$B$2:$G$5822,4,0),"")</f>
        <v>ACTPETS</v>
      </c>
    </row>
    <row r="2027" spans="1:7" x14ac:dyDescent="0.25">
      <c r="A2027" s="17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IFERROR(VLOOKUP(B2027,'Diciembre 2023'!$B$2:$G$5822,4,0),"")</f>
        <v>ACTPETS</v>
      </c>
    </row>
    <row r="2028" spans="1:7" x14ac:dyDescent="0.25">
      <c r="A2028" s="17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IFERROR(VLOOKUP(B2028,'Diciembre 2023'!$B$2:$G$5822,4,0),"")</f>
        <v>DPAPET</v>
      </c>
    </row>
    <row r="2029" spans="1:7" x14ac:dyDescent="0.25">
      <c r="A2029" s="17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IFERROR(VLOOKUP(B2029,'Diciembre 2023'!$B$2:$G$5822,4,0),"")</f>
        <v>BM</v>
      </c>
    </row>
    <row r="2030" spans="1:7" x14ac:dyDescent="0.25">
      <c r="A2030" s="17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IFERROR(VLOOKUP(B2030,'Diciembre 2023'!$B$2:$G$5822,4,0),"")</f>
        <v>APAPET</v>
      </c>
    </row>
    <row r="2031" spans="1:7" x14ac:dyDescent="0.25">
      <c r="A2031" s="17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IFERROR(VLOOKUP(B2031,'Diciembre 2023'!$B$2:$G$5822,4,0),"")</f>
        <v>BM</v>
      </c>
    </row>
    <row r="2032" spans="1:7" x14ac:dyDescent="0.25">
      <c r="A2032" s="17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IFERROR(VLOOKUP(B2032,'Diciembre 2023'!$B$2:$G$5822,4,0),"")</f>
        <v>BM</v>
      </c>
    </row>
    <row r="2033" spans="1:7" x14ac:dyDescent="0.25">
      <c r="A2033" s="17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IFERROR(VLOOKUP(B2033,'Diciembre 2023'!$B$2:$G$5822,4,0),"")</f>
        <v>ACTPETS</v>
      </c>
    </row>
    <row r="2034" spans="1:7" x14ac:dyDescent="0.25">
      <c r="A2034" s="17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IFERROR(VLOOKUP(B2034,'Diciembre 2023'!$B$2:$G$5822,4,0),"")</f>
        <v>DPAPET</v>
      </c>
    </row>
    <row r="2035" spans="1:7" x14ac:dyDescent="0.25">
      <c r="A2035" s="17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IFERROR(VLOOKUP(B2035,'Diciembre 2023'!$B$2:$G$5822,4,0),"")</f>
        <v>DPAPET</v>
      </c>
    </row>
    <row r="2036" spans="1:7" x14ac:dyDescent="0.25">
      <c r="A2036" s="17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IFERROR(VLOOKUP(B2036,'Diciembre 2023'!$B$2:$G$5822,4,0),"")</f>
        <v>APA_PC</v>
      </c>
    </row>
    <row r="2037" spans="1:7" x14ac:dyDescent="0.25">
      <c r="A2037" s="17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IFERROR(VLOOKUP(B2037,'Diciembre 2023'!$B$2:$G$5822,4,0),"")</f>
        <v>APA_PC</v>
      </c>
    </row>
    <row r="2038" spans="1:7" x14ac:dyDescent="0.25">
      <c r="A2038" s="17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IFERROR(VLOOKUP(B2038,'Diciembre 2023'!$B$2:$G$5822,4,0),"")</f>
        <v>APA_PC</v>
      </c>
    </row>
    <row r="2039" spans="1:7" x14ac:dyDescent="0.25">
      <c r="A2039" s="17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IFERROR(VLOOKUP(B2039,'Diciembre 2023'!$B$2:$G$5822,4,0),"")</f>
        <v>DPAPET</v>
      </c>
    </row>
    <row r="2040" spans="1:7" x14ac:dyDescent="0.25">
      <c r="A2040" s="17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IFERROR(VLOOKUP(B2040,'Diciembre 2023'!$B$2:$G$5822,4,0),"")</f>
        <v>APA_PC</v>
      </c>
    </row>
    <row r="2041" spans="1:7" x14ac:dyDescent="0.25">
      <c r="A2041" s="17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IFERROR(VLOOKUP(B2041,'Diciembre 2023'!$B$2:$G$5822,4,0),"")</f>
        <v>APA_PC</v>
      </c>
    </row>
    <row r="2042" spans="1:7" x14ac:dyDescent="0.25">
      <c r="A2042" s="17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IFERROR(VLOOKUP(B2042,'Diciembre 2023'!$B$2:$G$5822,4,0),"")</f>
        <v>ACTPETS</v>
      </c>
    </row>
    <row r="2043" spans="1:7" x14ac:dyDescent="0.25">
      <c r="A2043" s="17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IFERROR(VLOOKUP(B2043,'Diciembre 2023'!$B$2:$G$5822,4,0),"")</f>
        <v>ATAPET</v>
      </c>
    </row>
    <row r="2044" spans="1:7" x14ac:dyDescent="0.25">
      <c r="A2044" s="17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IFERROR(VLOOKUP(B2044,'Diciembre 2023'!$B$2:$G$5822,4,0),"")</f>
        <v>ACTPETF</v>
      </c>
    </row>
    <row r="2045" spans="1:7" x14ac:dyDescent="0.25">
      <c r="A2045" s="17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IFERROR(VLOOKUP(B2045,'Diciembre 2023'!$B$2:$G$5822,4,0),"")</f>
        <v>DPAPET</v>
      </c>
    </row>
    <row r="2046" spans="1:7" x14ac:dyDescent="0.25">
      <c r="A2046" s="17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IFERROR(VLOOKUP(B2046,'Diciembre 2023'!$B$2:$G$5822,4,0),"")</f>
        <v>DPAPET</v>
      </c>
    </row>
    <row r="2047" spans="1:7" x14ac:dyDescent="0.25">
      <c r="A2047" s="17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IFERROR(VLOOKUP(B2047,'Diciembre 2023'!$B$2:$G$5822,4,0),"")</f>
        <v>DPAPET</v>
      </c>
    </row>
    <row r="2048" spans="1:7" x14ac:dyDescent="0.25">
      <c r="A2048" s="17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IFERROR(VLOOKUP(B2048,'Diciembre 2023'!$B$2:$G$5822,4,0),"")</f>
        <v>DPAPET</v>
      </c>
    </row>
    <row r="2049" spans="1:7" x14ac:dyDescent="0.25">
      <c r="A2049" s="17"/>
      <c r="B2049" s="4" t="s">
        <v>1951</v>
      </c>
      <c r="C2049" s="4" t="s">
        <v>14</v>
      </c>
      <c r="D2049" s="4" t="s">
        <v>15</v>
      </c>
      <c r="E2049" s="4" t="s">
        <v>16</v>
      </c>
      <c r="F2049" s="4" t="s">
        <v>14</v>
      </c>
      <c r="G2049" s="5" t="str">
        <f>IFERROR(VLOOKUP(B2049,'Diciembre 2023'!$B$2:$G$5822,4,0),"")</f>
        <v>ATAPET</v>
      </c>
    </row>
    <row r="2050" spans="1:7" x14ac:dyDescent="0.25">
      <c r="A2050" s="17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IFERROR(VLOOKUP(B2050,'Diciembre 2023'!$B$2:$G$5822,4,0),"")</f>
        <v>DPAPET</v>
      </c>
    </row>
    <row r="2051" spans="1:7" x14ac:dyDescent="0.25">
      <c r="A2051" s="17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IFERROR(VLOOKUP(B2051,'Diciembre 2023'!$B$2:$G$5822,4,0),"")</f>
        <v>ACTPETS</v>
      </c>
    </row>
    <row r="2052" spans="1:7" x14ac:dyDescent="0.25">
      <c r="A2052" s="17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IFERROR(VLOOKUP(B2052,'Diciembre 2023'!$B$2:$G$5822,4,0),"")</f>
        <v>DPAPET</v>
      </c>
    </row>
    <row r="2053" spans="1:7" x14ac:dyDescent="0.25">
      <c r="A2053" s="17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IFERROR(VLOOKUP(B2053,'Diciembre 2023'!$B$2:$G$5822,4,0),"")</f>
        <v>ATAPET</v>
      </c>
    </row>
    <row r="2054" spans="1:7" x14ac:dyDescent="0.25">
      <c r="A2054" s="17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IFERROR(VLOOKUP(B2054,'Diciembre 2023'!$B$2:$G$5822,4,0),"")</f>
        <v>APA_PC</v>
      </c>
    </row>
    <row r="2055" spans="1:7" x14ac:dyDescent="0.25">
      <c r="A2055" s="17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IFERROR(VLOOKUP(B2055,'Diciembre 2023'!$B$2:$G$5822,4,0),"")</f>
        <v>ACTPETS</v>
      </c>
    </row>
    <row r="2056" spans="1:7" x14ac:dyDescent="0.25">
      <c r="A2056" s="17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IFERROR(VLOOKUP(B2056,'Diciembre 2023'!$B$2:$G$5822,4,0),"")</f>
        <v>BM</v>
      </c>
    </row>
    <row r="2057" spans="1:7" x14ac:dyDescent="0.25">
      <c r="A2057" s="17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IFERROR(VLOOKUP(B2057,'Diciembre 2023'!$B$2:$G$5822,4,0),"")</f>
        <v>ATAPET</v>
      </c>
    </row>
    <row r="2058" spans="1:7" x14ac:dyDescent="0.25">
      <c r="A2058" s="17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IFERROR(VLOOKUP(B2058,'Diciembre 2023'!$B$2:$G$5822,4,0),"")</f>
        <v>BM</v>
      </c>
    </row>
    <row r="2059" spans="1:7" x14ac:dyDescent="0.25">
      <c r="A2059" s="17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IFERROR(VLOOKUP(B2059,'Diciembre 2023'!$B$2:$G$5822,4,0),"")</f>
        <v>INACTPETF</v>
      </c>
    </row>
    <row r="2060" spans="1:7" x14ac:dyDescent="0.25">
      <c r="A2060" s="17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IFERROR(VLOOKUP(B2060,'Diciembre 2023'!$B$2:$G$5822,4,0),"")</f>
        <v>DPAPET</v>
      </c>
    </row>
    <row r="2061" spans="1:7" x14ac:dyDescent="0.25">
      <c r="A2061" s="17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IFERROR(VLOOKUP(B2061,'Diciembre 2023'!$B$2:$G$5822,4,0),"")</f>
        <v>DPAPET</v>
      </c>
    </row>
    <row r="2062" spans="1:7" x14ac:dyDescent="0.25">
      <c r="A2062" s="17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IFERROR(VLOOKUP(B2062,'Diciembre 2023'!$B$2:$G$5822,4,0),"")</f>
        <v>APA_PC</v>
      </c>
    </row>
    <row r="2063" spans="1:7" x14ac:dyDescent="0.25">
      <c r="A2063" s="17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IFERROR(VLOOKUP(B2063,'Diciembre 2023'!$B$2:$G$5822,4,0),"")</f>
        <v>APA_PC</v>
      </c>
    </row>
    <row r="2064" spans="1:7" x14ac:dyDescent="0.25">
      <c r="A2064" s="17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IFERROR(VLOOKUP(B2064,'Diciembre 2023'!$B$2:$G$5822,4,0),"")</f>
        <v>ATAPET</v>
      </c>
    </row>
    <row r="2065" spans="1:7" x14ac:dyDescent="0.25">
      <c r="A2065" s="17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IFERROR(VLOOKUP(B2065,'Diciembre 2023'!$B$2:$G$5822,4,0),"")</f>
        <v>INACTPETS</v>
      </c>
    </row>
    <row r="2066" spans="1:7" x14ac:dyDescent="0.25">
      <c r="A2066" s="17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IFERROR(VLOOKUP(B2066,'Diciembre 2023'!$B$2:$G$5822,4,0),"")</f>
        <v>ATAPET</v>
      </c>
    </row>
    <row r="2067" spans="1:7" x14ac:dyDescent="0.25">
      <c r="A2067" s="17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IFERROR(VLOOKUP(B2067,'Diciembre 2023'!$B$2:$G$5822,4,0),"")</f>
        <v>DPAPET</v>
      </c>
    </row>
    <row r="2068" spans="1:7" x14ac:dyDescent="0.25">
      <c r="A2068" s="17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IFERROR(VLOOKUP(B2068,'Diciembre 2023'!$B$2:$G$5822,4,0),"")</f>
        <v>DPAPET</v>
      </c>
    </row>
    <row r="2069" spans="1:7" x14ac:dyDescent="0.25">
      <c r="A2069" s="17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IFERROR(VLOOKUP(B2069,'Diciembre 2023'!$B$2:$G$5822,4,0),"")</f>
        <v>APA_PC</v>
      </c>
    </row>
    <row r="2070" spans="1:7" x14ac:dyDescent="0.25">
      <c r="A2070" s="17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IFERROR(VLOOKUP(B2070,'Diciembre 2023'!$B$2:$G$5822,4,0),"")</f>
        <v>APA_PC</v>
      </c>
    </row>
    <row r="2071" spans="1:7" x14ac:dyDescent="0.25">
      <c r="A2071" s="17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IFERROR(VLOOKUP(B2071,'Diciembre 2023'!$B$2:$G$5822,4,0),"")</f>
        <v>DPAPET</v>
      </c>
    </row>
    <row r="2072" spans="1:7" x14ac:dyDescent="0.25">
      <c r="A2072" s="17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IFERROR(VLOOKUP(B2072,'Diciembre 2023'!$B$2:$G$5822,4,0),"")</f>
        <v>ATAPET</v>
      </c>
    </row>
    <row r="2073" spans="1:7" x14ac:dyDescent="0.25">
      <c r="A2073" s="17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IFERROR(VLOOKUP(B2073,'Diciembre 2023'!$B$2:$G$5822,4,0),"")</f>
        <v>ACTPETS</v>
      </c>
    </row>
    <row r="2074" spans="1:7" x14ac:dyDescent="0.25">
      <c r="A2074" s="17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IFERROR(VLOOKUP(B2074,'Diciembre 2023'!$B$2:$G$5822,4,0),"")</f>
        <v>APA_CNPC</v>
      </c>
    </row>
    <row r="2075" spans="1:7" x14ac:dyDescent="0.25">
      <c r="A2075" s="17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IFERROR(VLOOKUP(B2075,'Diciembre 2023'!$B$2:$G$5822,4,0),"")</f>
        <v>ATAPET</v>
      </c>
    </row>
    <row r="2076" spans="1:7" x14ac:dyDescent="0.25">
      <c r="A2076" s="17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IFERROR(VLOOKUP(B2076,'Diciembre 2023'!$B$2:$G$5822,4,0),"")</f>
        <v>APA_PC</v>
      </c>
    </row>
    <row r="2077" spans="1:7" x14ac:dyDescent="0.25">
      <c r="A2077" s="17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IFERROR(VLOOKUP(B2077,'Diciembre 2023'!$B$2:$G$5822,4,0),"")</f>
        <v>BM</v>
      </c>
    </row>
    <row r="2078" spans="1:7" x14ac:dyDescent="0.25">
      <c r="A2078" s="17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IFERROR(VLOOKUP(B2078,'Diciembre 2023'!$B$2:$G$5822,4,0),"")</f>
        <v>BO</v>
      </c>
    </row>
    <row r="2079" spans="1:7" x14ac:dyDescent="0.25">
      <c r="A2079" s="17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IFERROR(VLOOKUP(B2079,'Diciembre 2023'!$B$2:$G$5822,4,0),"")</f>
        <v>INACTBM</v>
      </c>
    </row>
    <row r="2080" spans="1:7" x14ac:dyDescent="0.25">
      <c r="A2080" s="17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IFERROR(VLOOKUP(B2080,'Diciembre 2023'!$B$2:$G$5822,4,0),"")</f>
        <v>APA_PC</v>
      </c>
    </row>
    <row r="2081" spans="1:7" x14ac:dyDescent="0.25">
      <c r="A2081" s="17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IFERROR(VLOOKUP(B2081,'Diciembre 2023'!$B$2:$G$5822,4,0),"")</f>
        <v>DPAPET</v>
      </c>
    </row>
    <row r="2082" spans="1:7" x14ac:dyDescent="0.25">
      <c r="A2082" s="17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IFERROR(VLOOKUP(B2082,'Diciembre 2023'!$B$2:$G$5822,4,0),"")</f>
        <v>BM</v>
      </c>
    </row>
    <row r="2083" spans="1:7" x14ac:dyDescent="0.25">
      <c r="A2083" s="17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IFERROR(VLOOKUP(B2083,'Diciembre 2023'!$B$2:$G$5822,4,0),"")</f>
        <v>ACTPETS</v>
      </c>
    </row>
    <row r="2084" spans="1:7" x14ac:dyDescent="0.25">
      <c r="A2084" s="17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IFERROR(VLOOKUP(B2084,'Diciembre 2023'!$B$2:$G$5822,4,0),"")</f>
        <v>ATAPET</v>
      </c>
    </row>
    <row r="2085" spans="1:7" x14ac:dyDescent="0.25">
      <c r="A2085" s="17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IFERROR(VLOOKUP(B2085,'Diciembre 2023'!$B$2:$G$5822,4,0),"")</f>
        <v>ATAPET</v>
      </c>
    </row>
    <row r="2086" spans="1:7" x14ac:dyDescent="0.25">
      <c r="A2086" s="17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IFERROR(VLOOKUP(B2086,'Diciembre 2023'!$B$2:$G$5822,4,0),"")</f>
        <v>BM</v>
      </c>
    </row>
    <row r="2087" spans="1:7" x14ac:dyDescent="0.25">
      <c r="A2087" s="17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IFERROR(VLOOKUP(B2087,'Diciembre 2023'!$B$2:$G$5822,4,0),"")</f>
        <v>BM</v>
      </c>
    </row>
    <row r="2088" spans="1:7" x14ac:dyDescent="0.25">
      <c r="A2088" s="17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IFERROR(VLOOKUP(B2088,'Diciembre 2023'!$B$2:$G$5822,4,0),"")</f>
        <v>ATAPET</v>
      </c>
    </row>
    <row r="2089" spans="1:7" x14ac:dyDescent="0.25">
      <c r="A2089" s="17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IFERROR(VLOOKUP(B2089,'Diciembre 2023'!$B$2:$G$5822,4,0),"")</f>
        <v>ACTPETS</v>
      </c>
    </row>
    <row r="2090" spans="1:7" x14ac:dyDescent="0.25">
      <c r="A2090" s="17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IFERROR(VLOOKUP(B2090,'Diciembre 2023'!$B$2:$G$5822,4,0),"")</f>
        <v>APA_PC</v>
      </c>
    </row>
    <row r="2091" spans="1:7" x14ac:dyDescent="0.25">
      <c r="A2091" s="17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IFERROR(VLOOKUP(B2091,'Diciembre 2023'!$B$2:$G$5822,4,0),"")</f>
        <v>DPAPET</v>
      </c>
    </row>
    <row r="2092" spans="1:7" x14ac:dyDescent="0.25">
      <c r="A2092" s="17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IFERROR(VLOOKUP(B2092,'Diciembre 2023'!$B$2:$G$5822,4,0),"")</f>
        <v>APA_PC</v>
      </c>
    </row>
    <row r="2093" spans="1:7" x14ac:dyDescent="0.25">
      <c r="A2093" s="17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IFERROR(VLOOKUP(B2093,'Diciembre 2023'!$B$2:$G$5822,4,0),"")</f>
        <v>APA_PC</v>
      </c>
    </row>
    <row r="2094" spans="1:7" x14ac:dyDescent="0.25">
      <c r="A2094" s="17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IFERROR(VLOOKUP(B2094,'Diciembre 2023'!$B$2:$G$5822,4,0),"")</f>
        <v>APA_PC</v>
      </c>
    </row>
    <row r="2095" spans="1:7" x14ac:dyDescent="0.25">
      <c r="A2095" s="17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IFERROR(VLOOKUP(B2095,'Diciembre 2023'!$B$2:$G$5822,4,0),"")</f>
        <v>DPAPET</v>
      </c>
    </row>
    <row r="2096" spans="1:7" x14ac:dyDescent="0.25">
      <c r="A2096" s="17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IFERROR(VLOOKUP(B2096,'Diciembre 2023'!$B$2:$G$5822,4,0),"")</f>
        <v>ACTPETS</v>
      </c>
    </row>
    <row r="2097" spans="1:7" x14ac:dyDescent="0.25">
      <c r="A2097" s="17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IFERROR(VLOOKUP(B2097,'Diciembre 2023'!$B$2:$G$5822,4,0),"")</f>
        <v>DPAPET</v>
      </c>
    </row>
    <row r="2098" spans="1:7" x14ac:dyDescent="0.25">
      <c r="A2098" s="17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IFERROR(VLOOKUP(B2098,'Diciembre 2023'!$B$2:$G$5822,4,0),"")</f>
        <v>APA_PC</v>
      </c>
    </row>
    <row r="2099" spans="1:7" x14ac:dyDescent="0.25">
      <c r="A2099" s="17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IFERROR(VLOOKUP(B2099,'Diciembre 2023'!$B$2:$G$5822,4,0),"")</f>
        <v>APA_PC</v>
      </c>
    </row>
    <row r="2100" spans="1:7" x14ac:dyDescent="0.25">
      <c r="A2100" s="17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IFERROR(VLOOKUP(B2100,'Diciembre 2023'!$B$2:$G$5822,4,0),"")</f>
        <v>APA_PC</v>
      </c>
    </row>
    <row r="2101" spans="1:7" x14ac:dyDescent="0.25">
      <c r="A2101" s="17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IFERROR(VLOOKUP(B2101,'Diciembre 2023'!$B$2:$G$5822,4,0),"")</f>
        <v>APA_PC</v>
      </c>
    </row>
    <row r="2102" spans="1:7" x14ac:dyDescent="0.25">
      <c r="A2102" s="17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IFERROR(VLOOKUP(B2102,'Diciembre 2023'!$B$2:$G$5822,4,0),"")</f>
        <v>BM</v>
      </c>
    </row>
    <row r="2103" spans="1:7" x14ac:dyDescent="0.25">
      <c r="A2103" s="17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IFERROR(VLOOKUP(B2103,'Diciembre 2023'!$B$2:$G$5822,4,0),"")</f>
        <v>DPAPET</v>
      </c>
    </row>
    <row r="2104" spans="1:7" x14ac:dyDescent="0.25">
      <c r="A2104" s="17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IFERROR(VLOOKUP(B2104,'Diciembre 2023'!$B$2:$G$5822,4,0),"")</f>
        <v>ATAPET</v>
      </c>
    </row>
    <row r="2105" spans="1:7" x14ac:dyDescent="0.25">
      <c r="A2105" s="17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IFERROR(VLOOKUP(B2105,'Diciembre 2023'!$B$2:$G$5822,4,0),"")</f>
        <v>ACTPETS</v>
      </c>
    </row>
    <row r="2106" spans="1:7" x14ac:dyDescent="0.25">
      <c r="A2106" s="17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IFERROR(VLOOKUP(B2106,'Diciembre 2023'!$B$2:$G$5822,4,0),"")</f>
        <v>DPAPET</v>
      </c>
    </row>
    <row r="2107" spans="1:7" x14ac:dyDescent="0.25">
      <c r="A2107" s="17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IFERROR(VLOOKUP(B2107,'Diciembre 2023'!$B$2:$G$5822,4,0),"")</f>
        <v>APA_PC</v>
      </c>
    </row>
    <row r="2108" spans="1:7" x14ac:dyDescent="0.25">
      <c r="A2108" s="17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IFERROR(VLOOKUP(B2108,'Diciembre 2023'!$B$2:$G$5822,4,0),"")</f>
        <v>ACTPETS</v>
      </c>
    </row>
    <row r="2109" spans="1:7" x14ac:dyDescent="0.25">
      <c r="A2109" s="17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IFERROR(VLOOKUP(B2109,'Diciembre 2023'!$B$2:$G$5822,4,0),"")</f>
        <v>ACTPETF</v>
      </c>
    </row>
    <row r="2110" spans="1:7" x14ac:dyDescent="0.25">
      <c r="A2110" s="17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IFERROR(VLOOKUP(B2110,'Diciembre 2023'!$B$2:$G$5822,4,0),"")</f>
        <v>BM</v>
      </c>
    </row>
    <row r="2111" spans="1:7" x14ac:dyDescent="0.25">
      <c r="A2111" s="17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IFERROR(VLOOKUP(B2111,'Diciembre 2023'!$B$2:$G$5822,4,0),"")</f>
        <v>BM</v>
      </c>
    </row>
    <row r="2112" spans="1:7" x14ac:dyDescent="0.25">
      <c r="A2112" s="17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IFERROR(VLOOKUP(B2112,'Diciembre 2023'!$B$2:$G$5822,4,0),"")</f>
        <v>APA_PC</v>
      </c>
    </row>
    <row r="2113" spans="1:7" x14ac:dyDescent="0.25">
      <c r="A2113" s="17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IFERROR(VLOOKUP(B2113,'Diciembre 2023'!$B$2:$G$5822,4,0),"")</f>
        <v>BM</v>
      </c>
    </row>
    <row r="2114" spans="1:7" x14ac:dyDescent="0.25">
      <c r="A2114" s="17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IFERROR(VLOOKUP(B2114,'Diciembre 2023'!$B$2:$G$5822,4,0),"")</f>
        <v>APA_PB</v>
      </c>
    </row>
    <row r="2115" spans="1:7" x14ac:dyDescent="0.25">
      <c r="A2115" s="17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IFERROR(VLOOKUP(B2115,'Diciembre 2023'!$B$2:$G$5822,4,0),"")</f>
        <v>DPAPET</v>
      </c>
    </row>
    <row r="2116" spans="1:7" x14ac:dyDescent="0.25">
      <c r="A2116" s="17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IFERROR(VLOOKUP(B2116,'Diciembre 2023'!$B$2:$G$5822,4,0),"")</f>
        <v>APA_PC</v>
      </c>
    </row>
    <row r="2117" spans="1:7" x14ac:dyDescent="0.25">
      <c r="A2117" s="17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IFERROR(VLOOKUP(B2117,'Diciembre 2023'!$B$2:$G$5822,4,0),"")</f>
        <v>ATAPET</v>
      </c>
    </row>
    <row r="2118" spans="1:7" x14ac:dyDescent="0.25">
      <c r="A2118" s="17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IFERROR(VLOOKUP(B2118,'Diciembre 2023'!$B$2:$G$5822,4,0),"")</f>
        <v>ATAPET</v>
      </c>
    </row>
    <row r="2119" spans="1:7" x14ac:dyDescent="0.25">
      <c r="A2119" s="17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IFERROR(VLOOKUP(B2119,'Diciembre 2023'!$B$2:$G$5822,4,0),"")</f>
        <v>APA_PC</v>
      </c>
    </row>
    <row r="2120" spans="1:7" x14ac:dyDescent="0.25">
      <c r="A2120" s="17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IFERROR(VLOOKUP(B2120,'Diciembre 2023'!$B$2:$G$5822,4,0),"")</f>
        <v>DPAPET</v>
      </c>
    </row>
    <row r="2121" spans="1:7" x14ac:dyDescent="0.25">
      <c r="A2121" s="17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IFERROR(VLOOKUP(B2121,'Diciembre 2023'!$B$2:$G$5822,4,0),"")</f>
        <v>APA_PC</v>
      </c>
    </row>
    <row r="2122" spans="1:7" x14ac:dyDescent="0.25">
      <c r="A2122" s="17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IFERROR(VLOOKUP(B2122,'Diciembre 2023'!$B$2:$G$5822,4,0),"")</f>
        <v>APA_PC</v>
      </c>
    </row>
    <row r="2123" spans="1:7" x14ac:dyDescent="0.25">
      <c r="A2123" s="17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IFERROR(VLOOKUP(B2123,'Diciembre 2023'!$B$2:$G$5822,4,0),"")</f>
        <v>APA_PC</v>
      </c>
    </row>
    <row r="2124" spans="1:7" x14ac:dyDescent="0.25">
      <c r="A2124" s="17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IFERROR(VLOOKUP(B2124,'Diciembre 2023'!$B$2:$G$5822,4,0),"")</f>
        <v>INACTPETF</v>
      </c>
    </row>
    <row r="2125" spans="1:7" x14ac:dyDescent="0.25">
      <c r="A2125" s="17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IFERROR(VLOOKUP(B2125,'Diciembre 2023'!$B$2:$G$5822,4,0),"")</f>
        <v>APA_PC</v>
      </c>
    </row>
    <row r="2126" spans="1:7" x14ac:dyDescent="0.25">
      <c r="A2126" s="17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IFERROR(VLOOKUP(B2126,'Diciembre 2023'!$B$2:$G$5822,4,0),"")</f>
        <v>DPAPET</v>
      </c>
    </row>
    <row r="2127" spans="1:7" x14ac:dyDescent="0.25">
      <c r="A2127" s="17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IFERROR(VLOOKUP(B2127,'Diciembre 2023'!$B$2:$G$5822,4,0),"")</f>
        <v>DPAPET</v>
      </c>
    </row>
    <row r="2128" spans="1:7" x14ac:dyDescent="0.25">
      <c r="A2128" s="17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IFERROR(VLOOKUP(B2128,'Diciembre 2023'!$B$2:$G$5822,4,0),"")</f>
        <v>APA_PC</v>
      </c>
    </row>
    <row r="2129" spans="1:7" x14ac:dyDescent="0.25">
      <c r="A2129" s="17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IFERROR(VLOOKUP(B2129,'Diciembre 2023'!$B$2:$G$5822,4,0),"")</f>
        <v>BO</v>
      </c>
    </row>
    <row r="2130" spans="1:7" x14ac:dyDescent="0.25">
      <c r="A2130" s="17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IFERROR(VLOOKUP(B2130,'Diciembre 2023'!$B$2:$G$5822,4,0),"")</f>
        <v>DPAPET</v>
      </c>
    </row>
    <row r="2131" spans="1:7" x14ac:dyDescent="0.25">
      <c r="A2131" s="17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IFERROR(VLOOKUP(B2131,'Diciembre 2023'!$B$2:$G$5822,4,0),"")</f>
        <v>ACTINYA</v>
      </c>
    </row>
    <row r="2132" spans="1:7" x14ac:dyDescent="0.25">
      <c r="A2132" s="17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IFERROR(VLOOKUP(B2132,'Diciembre 2023'!$B$2:$G$5822,4,0),"")</f>
        <v>APA_PC</v>
      </c>
    </row>
    <row r="2133" spans="1:7" x14ac:dyDescent="0.25">
      <c r="A2133" s="17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IFERROR(VLOOKUP(B2133,'Diciembre 2023'!$B$2:$G$5822,4,0),"")</f>
        <v>APA_PC</v>
      </c>
    </row>
    <row r="2134" spans="1:7" x14ac:dyDescent="0.25">
      <c r="A2134" s="17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IFERROR(VLOOKUP(B2134,'Diciembre 2023'!$B$2:$G$5822,4,0),"")</f>
        <v>DPAPET</v>
      </c>
    </row>
    <row r="2135" spans="1:7" x14ac:dyDescent="0.25">
      <c r="A2135" s="17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IFERROR(VLOOKUP(B2135,'Diciembre 2023'!$B$2:$G$5822,4,0),"")</f>
        <v>DPAPET</v>
      </c>
    </row>
    <row r="2136" spans="1:7" x14ac:dyDescent="0.25">
      <c r="A2136" s="17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IFERROR(VLOOKUP(B2136,'Diciembre 2023'!$B$2:$G$5822,4,0),"")</f>
        <v>ATAPET</v>
      </c>
    </row>
    <row r="2137" spans="1:7" x14ac:dyDescent="0.25">
      <c r="A2137" s="17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IFERROR(VLOOKUP(B2137,'Diciembre 2023'!$B$2:$G$5822,4,0),"")</f>
        <v>DPAPET</v>
      </c>
    </row>
    <row r="2138" spans="1:7" x14ac:dyDescent="0.25">
      <c r="A2138" s="17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IFERROR(VLOOKUP(B2138,'Diciembre 2023'!$B$2:$G$5822,4,0),"")</f>
        <v>ACTPETS</v>
      </c>
    </row>
    <row r="2139" spans="1:7" x14ac:dyDescent="0.25">
      <c r="A2139" s="17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IFERROR(VLOOKUP(B2139,'Diciembre 2023'!$B$2:$G$5822,4,0),"")</f>
        <v>INACTBM</v>
      </c>
    </row>
    <row r="2140" spans="1:7" x14ac:dyDescent="0.25">
      <c r="A2140" s="17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IFERROR(VLOOKUP(B2140,'Diciembre 2023'!$B$2:$G$5822,4,0),"")</f>
        <v>ATAPET</v>
      </c>
    </row>
    <row r="2141" spans="1:7" x14ac:dyDescent="0.25">
      <c r="A2141" s="17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IFERROR(VLOOKUP(B2141,'Diciembre 2023'!$B$2:$G$5822,4,0),"")</f>
        <v>APA_CNPC</v>
      </c>
    </row>
    <row r="2142" spans="1:7" x14ac:dyDescent="0.25">
      <c r="A2142" s="17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IFERROR(VLOOKUP(B2142,'Diciembre 2023'!$B$2:$G$5822,4,0),"")</f>
        <v>DPAPET</v>
      </c>
    </row>
    <row r="2143" spans="1:7" x14ac:dyDescent="0.25">
      <c r="A2143" s="17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IFERROR(VLOOKUP(B2143,'Diciembre 2023'!$B$2:$G$5822,4,0),"")</f>
        <v>DPAPET</v>
      </c>
    </row>
    <row r="2144" spans="1:7" x14ac:dyDescent="0.25">
      <c r="A2144" s="17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IFERROR(VLOOKUP(B2144,'Diciembre 2023'!$B$2:$G$5822,4,0),"")</f>
        <v>BM</v>
      </c>
    </row>
    <row r="2145" spans="1:7" x14ac:dyDescent="0.25">
      <c r="A2145" s="17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IFERROR(VLOOKUP(B2145,'Diciembre 2023'!$B$2:$G$5822,4,0),"")</f>
        <v>BM</v>
      </c>
    </row>
    <row r="2146" spans="1:7" x14ac:dyDescent="0.25">
      <c r="A2146" s="17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IFERROR(VLOOKUP(B2146,'Diciembre 2023'!$B$2:$G$5822,4,0),"")</f>
        <v>INACTPETS</v>
      </c>
    </row>
    <row r="2147" spans="1:7" x14ac:dyDescent="0.25">
      <c r="A2147" s="17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IFERROR(VLOOKUP(B2147,'Diciembre 2023'!$B$2:$G$5822,4,0),"")</f>
        <v>DPAPET</v>
      </c>
    </row>
    <row r="2148" spans="1:7" x14ac:dyDescent="0.25">
      <c r="A2148" s="17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IFERROR(VLOOKUP(B2148,'Diciembre 2023'!$B$2:$G$5822,4,0),"")</f>
        <v>DPAPET</v>
      </c>
    </row>
    <row r="2149" spans="1:7" x14ac:dyDescent="0.25">
      <c r="A2149" s="17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IFERROR(VLOOKUP(B2149,'Diciembre 2023'!$B$2:$G$5822,4,0),"")</f>
        <v>APA_PC</v>
      </c>
    </row>
    <row r="2150" spans="1:7" x14ac:dyDescent="0.25">
      <c r="A2150" s="17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IFERROR(VLOOKUP(B2150,'Diciembre 2023'!$B$2:$G$5822,4,0),"")</f>
        <v>ACTPETS</v>
      </c>
    </row>
    <row r="2151" spans="1:7" x14ac:dyDescent="0.25">
      <c r="A2151" s="17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IFERROR(VLOOKUP(B2151,'Diciembre 2023'!$B$2:$G$5822,4,0),"")</f>
        <v>APA_PC</v>
      </c>
    </row>
    <row r="2152" spans="1:7" x14ac:dyDescent="0.25">
      <c r="A2152" s="17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IFERROR(VLOOKUP(B2152,'Diciembre 2023'!$B$2:$G$5822,4,0),"")</f>
        <v>DPAPET</v>
      </c>
    </row>
    <row r="2153" spans="1:7" x14ac:dyDescent="0.25">
      <c r="A2153" s="17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IFERROR(VLOOKUP(B2153,'Diciembre 2023'!$B$2:$G$5822,4,0),"")</f>
        <v>APA_PC</v>
      </c>
    </row>
    <row r="2154" spans="1:7" x14ac:dyDescent="0.25">
      <c r="A2154" s="17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IFERROR(VLOOKUP(B2154,'Diciembre 2023'!$B$2:$G$5822,4,0),"")</f>
        <v>DPAPET</v>
      </c>
    </row>
    <row r="2155" spans="1:7" x14ac:dyDescent="0.25">
      <c r="A2155" s="17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IFERROR(VLOOKUP(B2155,'Diciembre 2023'!$B$2:$G$5822,4,0),"")</f>
        <v>APA_PC</v>
      </c>
    </row>
    <row r="2156" spans="1:7" x14ac:dyDescent="0.25">
      <c r="A2156" s="17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IFERROR(VLOOKUP(B2156,'Diciembre 2023'!$B$2:$G$5822,4,0),"")</f>
        <v>ACTPETS</v>
      </c>
    </row>
    <row r="2157" spans="1:7" x14ac:dyDescent="0.25">
      <c r="A2157" s="17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IFERROR(VLOOKUP(B2157,'Diciembre 2023'!$B$2:$G$5822,4,0),"")</f>
        <v>INACTPETF</v>
      </c>
    </row>
    <row r="2158" spans="1:7" x14ac:dyDescent="0.25">
      <c r="A2158" s="17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IFERROR(VLOOKUP(B2158,'Diciembre 2023'!$B$2:$G$5822,4,0),"")</f>
        <v>APA_PC</v>
      </c>
    </row>
    <row r="2159" spans="1:7" x14ac:dyDescent="0.25">
      <c r="A2159" s="17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IFERROR(VLOOKUP(B2159,'Diciembre 2023'!$B$2:$G$5822,4,0),"")</f>
        <v>DPAPET</v>
      </c>
    </row>
    <row r="2160" spans="1:7" x14ac:dyDescent="0.25">
      <c r="A2160" s="17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IFERROR(VLOOKUP(B2160,'Diciembre 2023'!$B$2:$G$5822,4,0),"")</f>
        <v>APA_PC</v>
      </c>
    </row>
    <row r="2161" spans="1:7" x14ac:dyDescent="0.25">
      <c r="A2161" s="17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IFERROR(VLOOKUP(B2161,'Diciembre 2023'!$B$2:$G$5822,4,0),"")</f>
        <v>BM</v>
      </c>
    </row>
    <row r="2162" spans="1:7" x14ac:dyDescent="0.25">
      <c r="A2162" s="17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IFERROR(VLOOKUP(B2162,'Diciembre 2023'!$B$2:$G$5822,4,0),"")</f>
        <v>DPAPET</v>
      </c>
    </row>
    <row r="2163" spans="1:7" x14ac:dyDescent="0.25">
      <c r="A2163" s="17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IFERROR(VLOOKUP(B2163,'Diciembre 2023'!$B$2:$G$5822,4,0),"")</f>
        <v>ACTPETF</v>
      </c>
    </row>
    <row r="2164" spans="1:7" x14ac:dyDescent="0.25">
      <c r="A2164" s="17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IFERROR(VLOOKUP(B2164,'Diciembre 2023'!$B$2:$G$5822,4,0),"")</f>
        <v>DPAPET</v>
      </c>
    </row>
    <row r="2165" spans="1:7" x14ac:dyDescent="0.25">
      <c r="A2165" s="17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IFERROR(VLOOKUP(B2165,'Diciembre 2023'!$B$2:$G$5822,4,0),"")</f>
        <v>ACTPETF</v>
      </c>
    </row>
    <row r="2166" spans="1:7" x14ac:dyDescent="0.25">
      <c r="A2166" s="17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IFERROR(VLOOKUP(B2166,'Diciembre 2023'!$B$2:$G$5822,4,0),"")</f>
        <v>DPAPET</v>
      </c>
    </row>
    <row r="2167" spans="1:7" x14ac:dyDescent="0.25">
      <c r="A2167" s="17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IFERROR(VLOOKUP(B2167,'Diciembre 2023'!$B$2:$G$5822,4,0),"")</f>
        <v>BM</v>
      </c>
    </row>
    <row r="2168" spans="1:7" x14ac:dyDescent="0.25">
      <c r="A2168" s="17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IFERROR(VLOOKUP(B2168,'Diciembre 2023'!$B$2:$G$5822,4,0),"")</f>
        <v>ATAPET</v>
      </c>
    </row>
    <row r="2169" spans="1:7" x14ac:dyDescent="0.25">
      <c r="A2169" s="17"/>
      <c r="B2169" s="4" t="s">
        <v>2073</v>
      </c>
      <c r="C2169" s="4" t="s">
        <v>18</v>
      </c>
      <c r="D2169" s="4" t="s">
        <v>19</v>
      </c>
      <c r="E2169" s="4" t="s">
        <v>20</v>
      </c>
      <c r="F2169" s="4" t="s">
        <v>21</v>
      </c>
      <c r="G2169" s="5" t="str">
        <f>IFERROR(VLOOKUP(B2169,'Diciembre 2023'!$B$2:$G$5822,4,0),"")</f>
        <v>ACTPETS</v>
      </c>
    </row>
    <row r="2170" spans="1:7" x14ac:dyDescent="0.25">
      <c r="A2170" s="17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IFERROR(VLOOKUP(B2170,'Diciembre 2023'!$B$2:$G$5822,4,0),"")</f>
        <v>APA_PC</v>
      </c>
    </row>
    <row r="2171" spans="1:7" x14ac:dyDescent="0.25">
      <c r="A2171" s="17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IFERROR(VLOOKUP(B2171,'Diciembre 2023'!$B$2:$G$5822,4,0),"")</f>
        <v>DPAPET</v>
      </c>
    </row>
    <row r="2172" spans="1:7" x14ac:dyDescent="0.25">
      <c r="A2172" s="17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IFERROR(VLOOKUP(B2172,'Diciembre 2023'!$B$2:$G$5822,4,0),"")</f>
        <v>ATAPET</v>
      </c>
    </row>
    <row r="2173" spans="1:7" x14ac:dyDescent="0.25">
      <c r="A2173" s="17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IFERROR(VLOOKUP(B2173,'Diciembre 2023'!$B$2:$G$5822,4,0),"")</f>
        <v>ACTPETS</v>
      </c>
    </row>
    <row r="2174" spans="1:7" x14ac:dyDescent="0.25">
      <c r="A2174" s="17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IFERROR(VLOOKUP(B2174,'Diciembre 2023'!$B$2:$G$5822,4,0),"")</f>
        <v>DPAPET</v>
      </c>
    </row>
    <row r="2175" spans="1:7" x14ac:dyDescent="0.25">
      <c r="A2175" s="17"/>
      <c r="B2175" s="4" t="s">
        <v>2079</v>
      </c>
      <c r="C2175" s="4" t="s">
        <v>24</v>
      </c>
      <c r="D2175" s="4" t="s">
        <v>25</v>
      </c>
      <c r="E2175" s="4" t="s">
        <v>26</v>
      </c>
      <c r="F2175" s="4" t="s">
        <v>21</v>
      </c>
      <c r="G2175" s="5" t="str">
        <f>IFERROR(VLOOKUP(B2175,'Diciembre 2023'!$B$2:$G$5822,4,0),"")</f>
        <v>ACTPETF</v>
      </c>
    </row>
    <row r="2176" spans="1:7" x14ac:dyDescent="0.25">
      <c r="A2176" s="17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IFERROR(VLOOKUP(B2176,'Diciembre 2023'!$B$2:$G$5822,4,0),"")</f>
        <v>ACTPETS</v>
      </c>
    </row>
    <row r="2177" spans="1:7" x14ac:dyDescent="0.25">
      <c r="A2177" s="17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IFERROR(VLOOKUP(B2177,'Diciembre 2023'!$B$2:$G$5822,4,0),"")</f>
        <v>INACTINYA</v>
      </c>
    </row>
    <row r="2178" spans="1:7" x14ac:dyDescent="0.25">
      <c r="A2178" s="17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IFERROR(VLOOKUP(B2178,'Diciembre 2023'!$B$2:$G$5822,4,0),"")</f>
        <v>APA_CNPC</v>
      </c>
    </row>
    <row r="2179" spans="1:7" x14ac:dyDescent="0.25">
      <c r="A2179" s="17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IFERROR(VLOOKUP(B2179,'Diciembre 2023'!$B$2:$G$5822,4,0),"")</f>
        <v>APA_PC</v>
      </c>
    </row>
    <row r="2180" spans="1:7" x14ac:dyDescent="0.25">
      <c r="A2180" s="17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IFERROR(VLOOKUP(B2180,'Diciembre 2023'!$B$2:$G$5822,4,0),"")</f>
        <v>APA_CNPC</v>
      </c>
    </row>
    <row r="2181" spans="1:7" x14ac:dyDescent="0.25">
      <c r="A2181" s="17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IFERROR(VLOOKUP(B2181,'Diciembre 2023'!$B$2:$G$5822,4,0),"")</f>
        <v>BO</v>
      </c>
    </row>
    <row r="2182" spans="1:7" x14ac:dyDescent="0.25">
      <c r="A2182" s="17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IFERROR(VLOOKUP(B2182,'Diciembre 2023'!$B$2:$G$5822,4,0),"")</f>
        <v>APA_PC</v>
      </c>
    </row>
    <row r="2183" spans="1:7" x14ac:dyDescent="0.25">
      <c r="A2183" s="17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IFERROR(VLOOKUP(B2183,'Diciembre 2023'!$B$2:$G$5822,4,0),"")</f>
        <v>DPAPET</v>
      </c>
    </row>
    <row r="2184" spans="1:7" x14ac:dyDescent="0.25">
      <c r="A2184" s="17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IFERROR(VLOOKUP(B2184,'Diciembre 2023'!$B$2:$G$5822,4,0),"")</f>
        <v>PL</v>
      </c>
    </row>
    <row r="2185" spans="1:7" x14ac:dyDescent="0.25">
      <c r="A2185" s="17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IFERROR(VLOOKUP(B2185,'Diciembre 2023'!$B$2:$G$5822,4,0),"")</f>
        <v>INACTPETF</v>
      </c>
    </row>
    <row r="2186" spans="1:7" x14ac:dyDescent="0.25">
      <c r="A2186" s="17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IFERROR(VLOOKUP(B2186,'Diciembre 2023'!$B$2:$G$5822,4,0),"")</f>
        <v>ACTPETF</v>
      </c>
    </row>
    <row r="2187" spans="1:7" x14ac:dyDescent="0.25">
      <c r="A2187" s="17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IFERROR(VLOOKUP(B2187,'Diciembre 2023'!$B$2:$G$5822,4,0),"")</f>
        <v>BO</v>
      </c>
    </row>
    <row r="2188" spans="1:7" x14ac:dyDescent="0.25">
      <c r="A2188" s="17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IFERROR(VLOOKUP(B2188,'Diciembre 2023'!$B$2:$G$5822,4,0),"")</f>
        <v>APA_PC</v>
      </c>
    </row>
    <row r="2189" spans="1:7" x14ac:dyDescent="0.25">
      <c r="A2189" s="17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IFERROR(VLOOKUP(B2189,'Diciembre 2023'!$B$2:$G$5822,4,0),"")</f>
        <v>DPAPET</v>
      </c>
    </row>
    <row r="2190" spans="1:7" x14ac:dyDescent="0.25">
      <c r="A2190" s="17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IFERROR(VLOOKUP(B2190,'Diciembre 2023'!$B$2:$G$5822,4,0),"")</f>
        <v>APA_PC</v>
      </c>
    </row>
    <row r="2191" spans="1:7" x14ac:dyDescent="0.25">
      <c r="A2191" s="17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IFERROR(VLOOKUP(B2191,'Diciembre 2023'!$B$2:$G$5822,4,0),"")</f>
        <v>APA_PC</v>
      </c>
    </row>
    <row r="2192" spans="1:7" x14ac:dyDescent="0.25">
      <c r="A2192" s="17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IFERROR(VLOOKUP(B2192,'Diciembre 2023'!$B$2:$G$5822,4,0),"")</f>
        <v>ATAPET</v>
      </c>
    </row>
    <row r="2193" spans="1:7" x14ac:dyDescent="0.25">
      <c r="A2193" s="17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IFERROR(VLOOKUP(B2193,'Diciembre 2023'!$B$2:$G$5822,4,0),"")</f>
        <v>APAPET</v>
      </c>
    </row>
    <row r="2194" spans="1:7" x14ac:dyDescent="0.25">
      <c r="A2194" s="17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IFERROR(VLOOKUP(B2194,'Diciembre 2023'!$B$2:$G$5822,4,0),"")</f>
        <v>ATAPET</v>
      </c>
    </row>
    <row r="2195" spans="1:7" x14ac:dyDescent="0.25">
      <c r="A2195" s="17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IFERROR(VLOOKUP(B2195,'Diciembre 2023'!$B$2:$G$5822,4,0),"")</f>
        <v>APA_PC</v>
      </c>
    </row>
    <row r="2196" spans="1:7" x14ac:dyDescent="0.25">
      <c r="A2196" s="17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IFERROR(VLOOKUP(B2196,'Diciembre 2023'!$B$2:$G$5822,4,0),"")</f>
        <v>ATAPET</v>
      </c>
    </row>
    <row r="2197" spans="1:7" x14ac:dyDescent="0.25">
      <c r="A2197" s="17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IFERROR(VLOOKUP(B2197,'Diciembre 2023'!$B$2:$G$5822,4,0),"")</f>
        <v>ATAPET</v>
      </c>
    </row>
    <row r="2198" spans="1:7" x14ac:dyDescent="0.25">
      <c r="A2198" s="17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IFERROR(VLOOKUP(B2198,'Diciembre 2023'!$B$2:$G$5822,4,0),"")</f>
        <v>DPAPET</v>
      </c>
    </row>
    <row r="2199" spans="1:7" x14ac:dyDescent="0.25">
      <c r="A2199" s="17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IFERROR(VLOOKUP(B2199,'Diciembre 2023'!$B$2:$G$5822,4,0),"")</f>
        <v>ACTPETS</v>
      </c>
    </row>
    <row r="2200" spans="1:7" x14ac:dyDescent="0.25">
      <c r="A2200" s="17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IFERROR(VLOOKUP(B2200,'Diciembre 2023'!$B$2:$G$5822,4,0),"")</f>
        <v>APA_PC</v>
      </c>
    </row>
    <row r="2201" spans="1:7" x14ac:dyDescent="0.25">
      <c r="A2201" s="17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IFERROR(VLOOKUP(B2201,'Diciembre 2023'!$B$2:$G$5822,4,0),"")</f>
        <v>APA_CNPC</v>
      </c>
    </row>
    <row r="2202" spans="1:7" x14ac:dyDescent="0.25">
      <c r="A2202" s="17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IFERROR(VLOOKUP(B2202,'Diciembre 2023'!$B$2:$G$5822,4,0),"")</f>
        <v>ACTPETS</v>
      </c>
    </row>
    <row r="2203" spans="1:7" x14ac:dyDescent="0.25">
      <c r="A2203" s="17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IFERROR(VLOOKUP(B2203,'Diciembre 2023'!$B$2:$G$5822,4,0),"")</f>
        <v>BM</v>
      </c>
    </row>
    <row r="2204" spans="1:7" x14ac:dyDescent="0.25">
      <c r="A2204" s="17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IFERROR(VLOOKUP(B2204,'Diciembre 2023'!$B$2:$G$5822,4,0),"")</f>
        <v>ACTPETS</v>
      </c>
    </row>
    <row r="2205" spans="1:7" x14ac:dyDescent="0.25">
      <c r="A2205" s="17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IFERROR(VLOOKUP(B2205,'Diciembre 2023'!$B$2:$G$5822,4,0),"")</f>
        <v>INACTBM</v>
      </c>
    </row>
    <row r="2206" spans="1:7" x14ac:dyDescent="0.25">
      <c r="A2206" s="17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IFERROR(VLOOKUP(B2206,'Diciembre 2023'!$B$2:$G$5822,4,0),"")</f>
        <v>ACTPETS</v>
      </c>
    </row>
    <row r="2207" spans="1:7" x14ac:dyDescent="0.25">
      <c r="A2207" s="17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IFERROR(VLOOKUP(B2207,'Diciembre 2023'!$B$2:$G$5822,4,0),"")</f>
        <v>BM</v>
      </c>
    </row>
    <row r="2208" spans="1:7" x14ac:dyDescent="0.25">
      <c r="A2208" s="17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tr">
        <f>IFERROR(VLOOKUP(B2208,'Diciembre 2023'!$B$2:$G$5822,4,0),"")</f>
        <v>INACTPETF</v>
      </c>
    </row>
    <row r="2209" spans="1:7" x14ac:dyDescent="0.25">
      <c r="A2209" s="17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IFERROR(VLOOKUP(B2209,'Diciembre 2023'!$B$2:$G$5822,4,0),"")</f>
        <v>BM</v>
      </c>
    </row>
    <row r="2210" spans="1:7" x14ac:dyDescent="0.25">
      <c r="A2210" s="17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IFERROR(VLOOKUP(B2210,'Diciembre 2023'!$B$2:$G$5822,4,0),"")</f>
        <v>APA_CNPC</v>
      </c>
    </row>
    <row r="2211" spans="1:7" x14ac:dyDescent="0.25">
      <c r="A2211" s="17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IFERROR(VLOOKUP(B2211,'Diciembre 2023'!$B$2:$G$5822,4,0),"")</f>
        <v>APA_PC</v>
      </c>
    </row>
    <row r="2212" spans="1:7" x14ac:dyDescent="0.25">
      <c r="A2212" s="17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IFERROR(VLOOKUP(B2212,'Diciembre 2023'!$B$2:$G$5822,4,0),"")</f>
        <v>DPAPET</v>
      </c>
    </row>
    <row r="2213" spans="1:7" x14ac:dyDescent="0.25">
      <c r="A2213" s="17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IFERROR(VLOOKUP(B2213,'Diciembre 2023'!$B$2:$G$5822,4,0),"")</f>
        <v>DPAPET</v>
      </c>
    </row>
    <row r="2214" spans="1:7" x14ac:dyDescent="0.25">
      <c r="A2214" s="17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IFERROR(VLOOKUP(B2214,'Diciembre 2023'!$B$2:$G$5822,4,0),"")</f>
        <v>DPAPET</v>
      </c>
    </row>
    <row r="2215" spans="1:7" x14ac:dyDescent="0.25">
      <c r="A2215" s="17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IFERROR(VLOOKUP(B2215,'Diciembre 2023'!$B$2:$G$5822,4,0),"")</f>
        <v>APA_PC</v>
      </c>
    </row>
    <row r="2216" spans="1:7" x14ac:dyDescent="0.25">
      <c r="A2216" s="17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IFERROR(VLOOKUP(B2216,'Diciembre 2023'!$B$2:$G$5822,4,0),"")</f>
        <v>DPAPET</v>
      </c>
    </row>
    <row r="2217" spans="1:7" x14ac:dyDescent="0.25">
      <c r="A2217" s="17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IFERROR(VLOOKUP(B2217,'Diciembre 2023'!$B$2:$G$5822,4,0),"")</f>
        <v>APA_CNPC</v>
      </c>
    </row>
    <row r="2218" spans="1:7" x14ac:dyDescent="0.25">
      <c r="A2218" s="17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IFERROR(VLOOKUP(B2218,'Diciembre 2023'!$B$2:$G$5822,4,0),"")</f>
        <v>APA_PC</v>
      </c>
    </row>
    <row r="2219" spans="1:7" x14ac:dyDescent="0.25">
      <c r="A2219" s="17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IFERROR(VLOOKUP(B2219,'Diciembre 2023'!$B$2:$G$5822,4,0),"")</f>
        <v>ACTPETS</v>
      </c>
    </row>
    <row r="2220" spans="1:7" x14ac:dyDescent="0.25">
      <c r="A2220" s="17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IFERROR(VLOOKUP(B2220,'Diciembre 2023'!$B$2:$G$5822,4,0),"")</f>
        <v>BM</v>
      </c>
    </row>
    <row r="2221" spans="1:7" x14ac:dyDescent="0.25">
      <c r="A2221" s="17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IFERROR(VLOOKUP(B2221,'Diciembre 2023'!$B$2:$G$5822,4,0),"")</f>
        <v>BM</v>
      </c>
    </row>
    <row r="2222" spans="1:7" x14ac:dyDescent="0.25">
      <c r="A2222" s="17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IFERROR(VLOOKUP(B2222,'Diciembre 2023'!$B$2:$G$5822,4,0),"")</f>
        <v>BM</v>
      </c>
    </row>
    <row r="2223" spans="1:7" x14ac:dyDescent="0.25">
      <c r="A2223" s="17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IFERROR(VLOOKUP(B2223,'Diciembre 2023'!$B$2:$G$5822,4,0),"")</f>
        <v>BM</v>
      </c>
    </row>
    <row r="2224" spans="1:7" x14ac:dyDescent="0.25">
      <c r="A2224" s="17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IFERROR(VLOOKUP(B2224,'Diciembre 2023'!$B$2:$G$5822,4,0),"")</f>
        <v>DPAPET</v>
      </c>
    </row>
    <row r="2225" spans="1:7" x14ac:dyDescent="0.25">
      <c r="A2225" s="17"/>
      <c r="B2225" s="4" t="s">
        <v>2129</v>
      </c>
      <c r="C2225" s="4" t="s">
        <v>14</v>
      </c>
      <c r="D2225" s="4" t="s">
        <v>15</v>
      </c>
      <c r="E2225" s="4" t="s">
        <v>16</v>
      </c>
      <c r="F2225" s="4" t="s">
        <v>14</v>
      </c>
      <c r="G2225" s="5" t="str">
        <f>IFERROR(VLOOKUP(B2225,'Diciembre 2023'!$B$2:$G$5822,4,0),"")</f>
        <v>ATAPET</v>
      </c>
    </row>
    <row r="2226" spans="1:7" x14ac:dyDescent="0.25">
      <c r="A2226" s="17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IFERROR(VLOOKUP(B2226,'Diciembre 2023'!$B$2:$G$5822,4,0),"")</f>
        <v>ATAPET</v>
      </c>
    </row>
    <row r="2227" spans="1:7" x14ac:dyDescent="0.25">
      <c r="A2227" s="17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IFERROR(VLOOKUP(B2227,'Diciembre 2023'!$B$2:$G$5822,4,0),"")</f>
        <v>ATAPET</v>
      </c>
    </row>
    <row r="2228" spans="1:7" x14ac:dyDescent="0.25">
      <c r="A2228" s="17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IFERROR(VLOOKUP(B2228,'Diciembre 2023'!$B$2:$G$5822,4,0),"")</f>
        <v>ATAPET</v>
      </c>
    </row>
    <row r="2229" spans="1:7" x14ac:dyDescent="0.25">
      <c r="A2229" s="17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IFERROR(VLOOKUP(B2229,'Diciembre 2023'!$B$2:$G$5822,4,0),"")</f>
        <v>ATAPET</v>
      </c>
    </row>
    <row r="2230" spans="1:7" x14ac:dyDescent="0.25">
      <c r="A2230" s="17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IFERROR(VLOOKUP(B2230,'Diciembre 2023'!$B$2:$G$5822,4,0),"")</f>
        <v>ACTPETS</v>
      </c>
    </row>
    <row r="2231" spans="1:7" x14ac:dyDescent="0.25">
      <c r="A2231" s="17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IFERROR(VLOOKUP(B2231,'Diciembre 2023'!$B$2:$G$5822,4,0),"")</f>
        <v>APA_PC</v>
      </c>
    </row>
    <row r="2232" spans="1:7" x14ac:dyDescent="0.25">
      <c r="A2232" s="17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IFERROR(VLOOKUP(B2232,'Diciembre 2023'!$B$2:$G$5822,4,0),"")</f>
        <v>DPAPET</v>
      </c>
    </row>
    <row r="2233" spans="1:7" x14ac:dyDescent="0.25">
      <c r="A2233" s="17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IFERROR(VLOOKUP(B2233,'Diciembre 2023'!$B$2:$G$5822,4,0),"")</f>
        <v>ATAPET</v>
      </c>
    </row>
    <row r="2234" spans="1:7" x14ac:dyDescent="0.25">
      <c r="A2234" s="17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IFERROR(VLOOKUP(B2234,'Diciembre 2023'!$B$2:$G$5822,4,0),"")</f>
        <v>APA_PC</v>
      </c>
    </row>
    <row r="2235" spans="1:7" x14ac:dyDescent="0.25">
      <c r="A2235" s="17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IFERROR(VLOOKUP(B2235,'Diciembre 2023'!$B$2:$G$5822,4,0),"")</f>
        <v>ATAPET</v>
      </c>
    </row>
    <row r="2236" spans="1:7" x14ac:dyDescent="0.25">
      <c r="A2236" s="17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IFERROR(VLOOKUP(B2236,'Diciembre 2023'!$B$2:$G$5822,4,0),"")</f>
        <v>ACTPETS</v>
      </c>
    </row>
    <row r="2237" spans="1:7" x14ac:dyDescent="0.25">
      <c r="A2237" s="17"/>
      <c r="B2237" s="4" t="s">
        <v>2141</v>
      </c>
      <c r="C2237" s="4" t="s">
        <v>14</v>
      </c>
      <c r="D2237" s="4" t="s">
        <v>15</v>
      </c>
      <c r="E2237" s="4" t="s">
        <v>16</v>
      </c>
      <c r="F2237" s="4" t="s">
        <v>14</v>
      </c>
      <c r="G2237" s="5" t="str">
        <f>IFERROR(VLOOKUP(B2237,'Diciembre 2023'!$B$2:$G$5822,4,0),"")</f>
        <v>ATAPET</v>
      </c>
    </row>
    <row r="2238" spans="1:7" x14ac:dyDescent="0.25">
      <c r="A2238" s="17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IFERROR(VLOOKUP(B2238,'Diciembre 2023'!$B$2:$G$5822,4,0),"")</f>
        <v>ATAPET</v>
      </c>
    </row>
    <row r="2239" spans="1:7" x14ac:dyDescent="0.25">
      <c r="A2239" s="17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IFERROR(VLOOKUP(B2239,'Diciembre 2023'!$B$2:$G$5822,4,0),"")</f>
        <v>APA_PC</v>
      </c>
    </row>
    <row r="2240" spans="1:7" x14ac:dyDescent="0.25">
      <c r="A2240" s="17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IFERROR(VLOOKUP(B2240,'Diciembre 2023'!$B$2:$G$5822,4,0),"")</f>
        <v>ACTPETS</v>
      </c>
    </row>
    <row r="2241" spans="1:7" x14ac:dyDescent="0.25">
      <c r="A2241" s="17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IFERROR(VLOOKUP(B2241,'Diciembre 2023'!$B$2:$G$5822,4,0),"")</f>
        <v>APA_PC</v>
      </c>
    </row>
    <row r="2242" spans="1:7" x14ac:dyDescent="0.25">
      <c r="A2242" s="17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IFERROR(VLOOKUP(B2242,'Diciembre 2023'!$B$2:$G$5822,4,0),"")</f>
        <v>INACTBM</v>
      </c>
    </row>
    <row r="2243" spans="1:7" x14ac:dyDescent="0.25">
      <c r="A2243" s="17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IFERROR(VLOOKUP(B2243,'Diciembre 2023'!$B$2:$G$5822,4,0),"")</f>
        <v>ATAINY</v>
      </c>
    </row>
    <row r="2244" spans="1:7" x14ac:dyDescent="0.25">
      <c r="A2244" s="17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IFERROR(VLOOKUP(B2244,'Diciembre 2023'!$B$2:$G$5822,4,0),"")</f>
        <v>APA_PC</v>
      </c>
    </row>
    <row r="2245" spans="1:7" x14ac:dyDescent="0.25">
      <c r="A2245" s="17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IFERROR(VLOOKUP(B2245,'Diciembre 2023'!$B$2:$G$5822,4,0),"")</f>
        <v>BM</v>
      </c>
    </row>
    <row r="2246" spans="1:7" x14ac:dyDescent="0.25">
      <c r="A2246" s="17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IFERROR(VLOOKUP(B2246,'Diciembre 2023'!$B$2:$G$5822,4,0),"")</f>
        <v>INACTPETS</v>
      </c>
    </row>
    <row r="2247" spans="1:7" x14ac:dyDescent="0.25">
      <c r="A2247" s="17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IFERROR(VLOOKUP(B2247,'Diciembre 2023'!$B$2:$G$5822,4,0),"")</f>
        <v>APA_PC</v>
      </c>
    </row>
    <row r="2248" spans="1:7" x14ac:dyDescent="0.25">
      <c r="A2248" s="17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IFERROR(VLOOKUP(B2248,'Diciembre 2023'!$B$2:$G$5822,4,0),"")</f>
        <v>INACTPETS</v>
      </c>
    </row>
    <row r="2249" spans="1:7" x14ac:dyDescent="0.25">
      <c r="A2249" s="17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IFERROR(VLOOKUP(B2249,'Diciembre 2023'!$B$2:$G$5822,4,0),"")</f>
        <v>ACTPETS</v>
      </c>
    </row>
    <row r="2250" spans="1:7" x14ac:dyDescent="0.25">
      <c r="A2250" s="17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IFERROR(VLOOKUP(B2250,'Diciembre 2023'!$B$2:$G$5822,4,0),"")</f>
        <v>ACTPETS</v>
      </c>
    </row>
    <row r="2251" spans="1:7" x14ac:dyDescent="0.25">
      <c r="A2251" s="17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IFERROR(VLOOKUP(B2251,'Diciembre 2023'!$B$2:$G$5822,4,0),"")</f>
        <v>INACTPETS</v>
      </c>
    </row>
    <row r="2252" spans="1:7" x14ac:dyDescent="0.25">
      <c r="A2252" s="17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IFERROR(VLOOKUP(B2252,'Diciembre 2023'!$B$2:$G$5822,4,0),"")</f>
        <v>ACTPETS</v>
      </c>
    </row>
    <row r="2253" spans="1:7" x14ac:dyDescent="0.25">
      <c r="A2253" s="17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IFERROR(VLOOKUP(B2253,'Diciembre 2023'!$B$2:$G$5822,4,0),"")</f>
        <v>INACTPETS</v>
      </c>
    </row>
    <row r="2254" spans="1:7" x14ac:dyDescent="0.25">
      <c r="A2254" s="17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IFERROR(VLOOKUP(B2254,'Diciembre 2023'!$B$2:$G$5822,4,0),"")</f>
        <v>ATAPET</v>
      </c>
    </row>
    <row r="2255" spans="1:7" x14ac:dyDescent="0.25">
      <c r="A2255" s="17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IFERROR(VLOOKUP(B2255,'Diciembre 2023'!$B$2:$G$5822,4,0),"")</f>
        <v>APA_PC</v>
      </c>
    </row>
    <row r="2256" spans="1:7" x14ac:dyDescent="0.25">
      <c r="A2256" s="17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IFERROR(VLOOKUP(B2256,'Diciembre 2023'!$B$2:$G$5822,4,0),"")</f>
        <v>APA_PC</v>
      </c>
    </row>
    <row r="2257" spans="1:7" x14ac:dyDescent="0.25">
      <c r="A2257" s="17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IFERROR(VLOOKUP(B2257,'Diciembre 2023'!$B$2:$G$5822,4,0),"")</f>
        <v>BM</v>
      </c>
    </row>
    <row r="2258" spans="1:7" x14ac:dyDescent="0.25">
      <c r="A2258" s="17"/>
      <c r="B2258" s="4" t="s">
        <v>2163</v>
      </c>
      <c r="C2258" s="4" t="s">
        <v>14</v>
      </c>
      <c r="D2258" s="4" t="s">
        <v>15</v>
      </c>
      <c r="E2258" s="4" t="s">
        <v>16</v>
      </c>
      <c r="F2258" s="4" t="s">
        <v>14</v>
      </c>
      <c r="G2258" s="5" t="str">
        <f>IFERROR(VLOOKUP(B2258,'Diciembre 2023'!$B$2:$G$5822,4,0),"")</f>
        <v>ATAPET</v>
      </c>
    </row>
    <row r="2259" spans="1:7" x14ac:dyDescent="0.25">
      <c r="A2259" s="17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IFERROR(VLOOKUP(B2259,'Diciembre 2023'!$B$2:$G$5822,4,0),"")</f>
        <v>BM</v>
      </c>
    </row>
    <row r="2260" spans="1:7" x14ac:dyDescent="0.25">
      <c r="A2260" s="17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IFERROR(VLOOKUP(B2260,'Diciembre 2023'!$B$2:$G$5822,4,0),"")</f>
        <v>APA_CNPC</v>
      </c>
    </row>
    <row r="2261" spans="1:7" x14ac:dyDescent="0.25">
      <c r="A2261" s="17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IFERROR(VLOOKUP(B2261,'Diciembre 2023'!$B$2:$G$5822,4,0),"")</f>
        <v>BM</v>
      </c>
    </row>
    <row r="2262" spans="1:7" x14ac:dyDescent="0.25">
      <c r="A2262" s="17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IFERROR(VLOOKUP(B2262,'Diciembre 2023'!$B$2:$G$5822,4,0),"")</f>
        <v>APA_PC</v>
      </c>
    </row>
    <row r="2263" spans="1:7" x14ac:dyDescent="0.25">
      <c r="A2263" s="17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IFERROR(VLOOKUP(B2263,'Diciembre 2023'!$B$2:$G$5822,4,0),"")</f>
        <v>ATAPET</v>
      </c>
    </row>
    <row r="2264" spans="1:7" x14ac:dyDescent="0.25">
      <c r="A2264" s="17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IFERROR(VLOOKUP(B2264,'Diciembre 2023'!$B$2:$G$5822,4,0),"")</f>
        <v>INACTBM</v>
      </c>
    </row>
    <row r="2265" spans="1:7" x14ac:dyDescent="0.25">
      <c r="A2265" s="17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IFERROR(VLOOKUP(B2265,'Diciembre 2023'!$B$2:$G$5822,4,0),"")</f>
        <v>ATAPET</v>
      </c>
    </row>
    <row r="2266" spans="1:7" x14ac:dyDescent="0.25">
      <c r="A2266" s="17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IFERROR(VLOOKUP(B2266,'Diciembre 2023'!$B$2:$G$5822,4,0),"")</f>
        <v>DPAPET</v>
      </c>
    </row>
    <row r="2267" spans="1:7" x14ac:dyDescent="0.25">
      <c r="A2267" s="17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IFERROR(VLOOKUP(B2267,'Diciembre 2023'!$B$2:$G$5822,4,0),"")</f>
        <v>BM</v>
      </c>
    </row>
    <row r="2268" spans="1:7" x14ac:dyDescent="0.25">
      <c r="A2268" s="17"/>
      <c r="B2268" s="4" t="s">
        <v>2173</v>
      </c>
      <c r="C2268" s="4" t="s">
        <v>11</v>
      </c>
      <c r="D2268" s="4" t="s">
        <v>11</v>
      </c>
      <c r="E2268" s="4" t="s">
        <v>11</v>
      </c>
      <c r="F2268" s="4" t="s">
        <v>137</v>
      </c>
      <c r="G2268" s="5" t="str">
        <f>IFERROR(VLOOKUP(B2268,'Diciembre 2023'!$B$2:$G$5822,4,0),"")</f>
        <v>BM</v>
      </c>
    </row>
    <row r="2269" spans="1:7" x14ac:dyDescent="0.25">
      <c r="A2269" s="17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IFERROR(VLOOKUP(B2269,'Diciembre 2023'!$B$2:$G$5822,4,0),"")</f>
        <v>BM</v>
      </c>
    </row>
    <row r="2270" spans="1:7" x14ac:dyDescent="0.25">
      <c r="A2270" s="17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IFERROR(VLOOKUP(B2270,'Diciembre 2023'!$B$2:$G$5822,4,0),"")</f>
        <v>ACTPETF</v>
      </c>
    </row>
    <row r="2271" spans="1:7" x14ac:dyDescent="0.25">
      <c r="A2271" s="17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IFERROR(VLOOKUP(B2271,'Diciembre 2023'!$B$2:$G$5822,4,0),"")</f>
        <v>ATAPET</v>
      </c>
    </row>
    <row r="2272" spans="1:7" x14ac:dyDescent="0.25">
      <c r="A2272" s="17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IFERROR(VLOOKUP(B2272,'Diciembre 2023'!$B$2:$G$5822,4,0),"")</f>
        <v>BM</v>
      </c>
    </row>
    <row r="2273" spans="1:7" x14ac:dyDescent="0.25">
      <c r="A2273" s="17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IFERROR(VLOOKUP(B2273,'Diciembre 2023'!$B$2:$G$5822,4,0),"")</f>
        <v>APAPET</v>
      </c>
    </row>
    <row r="2274" spans="1:7" x14ac:dyDescent="0.25">
      <c r="A2274" s="17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IFERROR(VLOOKUP(B2274,'Diciembre 2023'!$B$2:$G$5822,4,0),"")</f>
        <v>ATAPET</v>
      </c>
    </row>
    <row r="2275" spans="1:7" x14ac:dyDescent="0.25">
      <c r="A2275" s="17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IFERROR(VLOOKUP(B2275,'Diciembre 2023'!$B$2:$G$5822,4,0),"")</f>
        <v>BM</v>
      </c>
    </row>
    <row r="2276" spans="1:7" x14ac:dyDescent="0.25">
      <c r="A2276" s="17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IFERROR(VLOOKUP(B2276,'Diciembre 2023'!$B$2:$G$5822,4,0),"")</f>
        <v>BM</v>
      </c>
    </row>
    <row r="2277" spans="1:7" x14ac:dyDescent="0.25">
      <c r="A2277" s="17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IFERROR(VLOOKUP(B2277,'Diciembre 2023'!$B$2:$G$5822,4,0),"")</f>
        <v>APA_PC</v>
      </c>
    </row>
    <row r="2278" spans="1:7" x14ac:dyDescent="0.25">
      <c r="A2278" s="17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IFERROR(VLOOKUP(B2278,'Diciembre 2023'!$B$2:$G$5822,4,0),"")</f>
        <v>APAPET</v>
      </c>
    </row>
    <row r="2279" spans="1:7" x14ac:dyDescent="0.25">
      <c r="A2279" s="17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IFERROR(VLOOKUP(B2279,'Diciembre 2023'!$B$2:$G$5822,4,0),"")</f>
        <v>ATAPET</v>
      </c>
    </row>
    <row r="2280" spans="1:7" x14ac:dyDescent="0.25">
      <c r="A2280" s="17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IFERROR(VLOOKUP(B2280,'Diciembre 2023'!$B$2:$G$5822,4,0),"")</f>
        <v>ACTPETS</v>
      </c>
    </row>
    <row r="2281" spans="1:7" x14ac:dyDescent="0.25">
      <c r="A2281" s="17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IFERROR(VLOOKUP(B2281,'Diciembre 2023'!$B$2:$G$5822,4,0),"")</f>
        <v>DPAPET</v>
      </c>
    </row>
    <row r="2282" spans="1:7" x14ac:dyDescent="0.25">
      <c r="A2282" s="17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IFERROR(VLOOKUP(B2282,'Diciembre 2023'!$B$2:$G$5822,4,0),"")</f>
        <v>APA_PC</v>
      </c>
    </row>
    <row r="2283" spans="1:7" x14ac:dyDescent="0.25">
      <c r="A2283" s="17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IFERROR(VLOOKUP(B2283,'Diciembre 2023'!$B$2:$G$5822,4,0),"")</f>
        <v>BM</v>
      </c>
    </row>
    <row r="2284" spans="1:7" x14ac:dyDescent="0.25">
      <c r="A2284" s="17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IFERROR(VLOOKUP(B2284,'Diciembre 2023'!$B$2:$G$5822,4,0),"")</f>
        <v>APA_PC</v>
      </c>
    </row>
    <row r="2285" spans="1:7" x14ac:dyDescent="0.25">
      <c r="A2285" s="17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IFERROR(VLOOKUP(B2285,'Diciembre 2023'!$B$2:$G$5822,4,0),"")</f>
        <v>ATAPET</v>
      </c>
    </row>
    <row r="2286" spans="1:7" x14ac:dyDescent="0.25">
      <c r="A2286" s="17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IFERROR(VLOOKUP(B2286,'Diciembre 2023'!$B$2:$G$5822,4,0),"")</f>
        <v>APA_PC</v>
      </c>
    </row>
    <row r="2287" spans="1:7" x14ac:dyDescent="0.25">
      <c r="A2287" s="17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IFERROR(VLOOKUP(B2287,'Diciembre 2023'!$B$2:$G$5822,4,0),"")</f>
        <v>INACTPL</v>
      </c>
    </row>
    <row r="2288" spans="1:7" x14ac:dyDescent="0.25">
      <c r="A2288" s="17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IFERROR(VLOOKUP(B2288,'Diciembre 2023'!$B$2:$G$5822,4,0),"")</f>
        <v>APA_PC</v>
      </c>
    </row>
    <row r="2289" spans="1:7" x14ac:dyDescent="0.25">
      <c r="A2289" s="17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IFERROR(VLOOKUP(B2289,'Diciembre 2023'!$B$2:$G$5822,4,0),"")</f>
        <v>APA_PC</v>
      </c>
    </row>
    <row r="2290" spans="1:7" x14ac:dyDescent="0.25">
      <c r="A2290" s="17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IFERROR(VLOOKUP(B2290,'Diciembre 2023'!$B$2:$G$5822,4,0),"")</f>
        <v>APA_PC</v>
      </c>
    </row>
    <row r="2291" spans="1:7" x14ac:dyDescent="0.25">
      <c r="A2291" s="17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IFERROR(VLOOKUP(B2291,'Diciembre 2023'!$B$2:$G$5822,4,0),"")</f>
        <v>INACTBM</v>
      </c>
    </row>
    <row r="2292" spans="1:7" x14ac:dyDescent="0.25">
      <c r="A2292" s="17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IFERROR(VLOOKUP(B2292,'Diciembre 2023'!$B$2:$G$5822,4,0),"")</f>
        <v>BM</v>
      </c>
    </row>
    <row r="2293" spans="1:7" x14ac:dyDescent="0.25">
      <c r="A2293" s="17"/>
      <c r="B2293" s="4" t="s">
        <v>2199</v>
      </c>
      <c r="C2293" s="4" t="s">
        <v>35</v>
      </c>
      <c r="D2293" s="4" t="s">
        <v>35</v>
      </c>
      <c r="E2293" s="4" t="s">
        <v>163</v>
      </c>
      <c r="F2293" s="4" t="s">
        <v>21</v>
      </c>
      <c r="G2293" s="5" t="str">
        <f>IFERROR(VLOOKUP(B2293,'Diciembre 2023'!$B$2:$G$5822,4,0),"")</f>
        <v>INACTPETS</v>
      </c>
    </row>
    <row r="2294" spans="1:7" x14ac:dyDescent="0.25">
      <c r="A2294" s="17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IFERROR(VLOOKUP(B2294,'Diciembre 2023'!$B$2:$G$5822,4,0),"")</f>
        <v>INACTBM</v>
      </c>
    </row>
    <row r="2295" spans="1:7" x14ac:dyDescent="0.25">
      <c r="A2295" s="17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IFERROR(VLOOKUP(B2295,'Diciembre 2023'!$B$2:$G$5822,4,0),"")</f>
        <v>BM</v>
      </c>
    </row>
    <row r="2296" spans="1:7" x14ac:dyDescent="0.25">
      <c r="A2296" s="17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IFERROR(VLOOKUP(B2296,'Diciembre 2023'!$B$2:$G$5822,4,0),"")</f>
        <v>INACTPETS</v>
      </c>
    </row>
    <row r="2297" spans="1:7" x14ac:dyDescent="0.25">
      <c r="A2297" s="17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IFERROR(VLOOKUP(B2297,'Diciembre 2023'!$B$2:$G$5822,4,0),"")</f>
        <v>ACTPETS</v>
      </c>
    </row>
    <row r="2298" spans="1:7" x14ac:dyDescent="0.25">
      <c r="A2298" s="17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IFERROR(VLOOKUP(B2298,'Diciembre 2023'!$B$2:$G$5822,4,0),"")</f>
        <v>BM</v>
      </c>
    </row>
    <row r="2299" spans="1:7" x14ac:dyDescent="0.25">
      <c r="A2299" s="17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IFERROR(VLOOKUP(B2299,'Diciembre 2023'!$B$2:$G$5822,4,0),"")</f>
        <v>BM</v>
      </c>
    </row>
    <row r="2300" spans="1:7" x14ac:dyDescent="0.25">
      <c r="A2300" s="17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IFERROR(VLOOKUP(B2300,'Diciembre 2023'!$B$2:$G$5822,4,0),"")</f>
        <v>BM</v>
      </c>
    </row>
    <row r="2301" spans="1:7" x14ac:dyDescent="0.25">
      <c r="A2301" s="17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IFERROR(VLOOKUP(B2301,'Diciembre 2023'!$B$2:$G$5822,4,0),"")</f>
        <v>BM</v>
      </c>
    </row>
    <row r="2302" spans="1:7" x14ac:dyDescent="0.25">
      <c r="A2302" s="17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tr">
        <f>IFERROR(VLOOKUP(B2302,'Diciembre 2023'!$B$2:$G$5822,4,0),"")</f>
        <v>INACTPETS</v>
      </c>
    </row>
    <row r="2303" spans="1:7" x14ac:dyDescent="0.25">
      <c r="A2303" s="17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IFERROR(VLOOKUP(B2303,'Diciembre 2023'!$B$2:$G$5822,4,0),"")</f>
        <v>ACTPETS</v>
      </c>
    </row>
    <row r="2304" spans="1:7" x14ac:dyDescent="0.25">
      <c r="A2304" s="17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IFERROR(VLOOKUP(B2304,'Diciembre 2023'!$B$2:$G$5822,4,0),"")</f>
        <v>BM</v>
      </c>
    </row>
    <row r="2305" spans="1:7" x14ac:dyDescent="0.25">
      <c r="A2305" s="17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IFERROR(VLOOKUP(B2305,'Diciembre 2023'!$B$2:$G$5822,4,0),"")</f>
        <v>BM</v>
      </c>
    </row>
    <row r="2306" spans="1:7" x14ac:dyDescent="0.25">
      <c r="A2306" s="17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IFERROR(VLOOKUP(B2306,'Diciembre 2023'!$B$2:$G$5822,4,0),"")</f>
        <v>BM</v>
      </c>
    </row>
    <row r="2307" spans="1:7" x14ac:dyDescent="0.25">
      <c r="A2307" s="17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IFERROR(VLOOKUP(B2307,'Diciembre 2023'!$B$2:$G$5822,4,0),"")</f>
        <v>ATAPET</v>
      </c>
    </row>
    <row r="2308" spans="1:7" x14ac:dyDescent="0.25">
      <c r="A2308" s="17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IFERROR(VLOOKUP(B2308,'Diciembre 2023'!$B$2:$G$5822,4,0),"")</f>
        <v>BM</v>
      </c>
    </row>
    <row r="2309" spans="1:7" x14ac:dyDescent="0.25">
      <c r="A2309" s="17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IFERROR(VLOOKUP(B2309,'Diciembre 2023'!$B$2:$G$5822,4,0),"")</f>
        <v>ATAPET</v>
      </c>
    </row>
    <row r="2310" spans="1:7" x14ac:dyDescent="0.25">
      <c r="A2310" s="17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IFERROR(VLOOKUP(B2310,'Diciembre 2023'!$B$2:$G$5822,4,0),"")</f>
        <v>INACTPETF</v>
      </c>
    </row>
    <row r="2311" spans="1:7" x14ac:dyDescent="0.25">
      <c r="A2311" s="17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IFERROR(VLOOKUP(B2311,'Diciembre 2023'!$B$2:$G$5822,4,0),"")</f>
        <v>INACTPETS</v>
      </c>
    </row>
    <row r="2312" spans="1:7" x14ac:dyDescent="0.25">
      <c r="A2312" s="17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IFERROR(VLOOKUP(B2312,'Diciembre 2023'!$B$2:$G$5822,4,0),"")</f>
        <v>PL</v>
      </c>
    </row>
    <row r="2313" spans="1:7" x14ac:dyDescent="0.25">
      <c r="A2313" s="17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IFERROR(VLOOKUP(B2313,'Diciembre 2023'!$B$2:$G$5822,4,0),"")</f>
        <v>ACTPETS</v>
      </c>
    </row>
    <row r="2314" spans="1:7" x14ac:dyDescent="0.25">
      <c r="A2314" s="17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IFERROR(VLOOKUP(B2314,'Diciembre 2023'!$B$2:$G$5822,4,0),"")</f>
        <v>INACTBM</v>
      </c>
    </row>
    <row r="2315" spans="1:7" x14ac:dyDescent="0.25">
      <c r="A2315" s="17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IFERROR(VLOOKUP(B2315,'Diciembre 2023'!$B$2:$G$5822,4,0),"")</f>
        <v>BM</v>
      </c>
    </row>
    <row r="2316" spans="1:7" x14ac:dyDescent="0.25">
      <c r="A2316" s="17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IFERROR(VLOOKUP(B2316,'Diciembre 2023'!$B$2:$G$5822,4,0),"")</f>
        <v>INACTINYA</v>
      </c>
    </row>
    <row r="2317" spans="1:7" x14ac:dyDescent="0.25">
      <c r="A2317" s="17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IFERROR(VLOOKUP(B2317,'Diciembre 2023'!$B$2:$G$5822,4,0),"")</f>
        <v>INACTBM</v>
      </c>
    </row>
    <row r="2318" spans="1:7" x14ac:dyDescent="0.25">
      <c r="A2318" s="17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IFERROR(VLOOKUP(B2318,'Diciembre 2023'!$B$2:$G$5822,4,0),"")</f>
        <v>DPAPET</v>
      </c>
    </row>
    <row r="2319" spans="1:7" x14ac:dyDescent="0.25">
      <c r="A2319" s="17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IFERROR(VLOOKUP(B2319,'Diciembre 2023'!$B$2:$G$5822,4,0),"")</f>
        <v>ACTPETS</v>
      </c>
    </row>
    <row r="2320" spans="1:7" x14ac:dyDescent="0.25">
      <c r="A2320" s="17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IFERROR(VLOOKUP(B2320,'Diciembre 2023'!$B$2:$G$5822,4,0),"")</f>
        <v>BM</v>
      </c>
    </row>
    <row r="2321" spans="1:7" x14ac:dyDescent="0.25">
      <c r="A2321" s="17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tr">
        <f>IFERROR(VLOOKUP(B2321,'Diciembre 2023'!$B$2:$G$5822,4,0),"")</f>
        <v>INACTBM</v>
      </c>
    </row>
    <row r="2322" spans="1:7" x14ac:dyDescent="0.25">
      <c r="A2322" s="17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IFERROR(VLOOKUP(B2322,'Diciembre 2023'!$B$2:$G$5822,4,0),"")</f>
        <v>BM</v>
      </c>
    </row>
    <row r="2323" spans="1:7" x14ac:dyDescent="0.25">
      <c r="A2323" s="17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IFERROR(VLOOKUP(B2323,'Diciembre 2023'!$B$2:$G$5822,4,0),"")</f>
        <v>PL</v>
      </c>
    </row>
    <row r="2324" spans="1:7" x14ac:dyDescent="0.25">
      <c r="A2324" s="17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IFERROR(VLOOKUP(B2324,'Diciembre 2023'!$B$2:$G$5822,4,0),"")</f>
        <v>BM</v>
      </c>
    </row>
    <row r="2325" spans="1:7" x14ac:dyDescent="0.25">
      <c r="A2325" s="17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IFERROR(VLOOKUP(B2325,'Diciembre 2023'!$B$2:$G$5822,4,0),"")</f>
        <v>INACTPETS</v>
      </c>
    </row>
    <row r="2326" spans="1:7" x14ac:dyDescent="0.25">
      <c r="A2326" s="17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IFERROR(VLOOKUP(B2326,'Diciembre 2023'!$B$2:$G$5822,4,0),"")</f>
        <v>APA_PC</v>
      </c>
    </row>
    <row r="2327" spans="1:7" x14ac:dyDescent="0.25">
      <c r="A2327" s="17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IFERROR(VLOOKUP(B2327,'Diciembre 2023'!$B$2:$G$5822,4,0),"")</f>
        <v>BM</v>
      </c>
    </row>
    <row r="2328" spans="1:7" x14ac:dyDescent="0.25">
      <c r="A2328" s="17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IFERROR(VLOOKUP(B2328,'Diciembre 2023'!$B$2:$G$5822,4,0),"")</f>
        <v>APA_PC</v>
      </c>
    </row>
    <row r="2329" spans="1:7" x14ac:dyDescent="0.25">
      <c r="A2329" s="17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IFERROR(VLOOKUP(B2329,'Diciembre 2023'!$B$2:$G$5822,4,0),"")</f>
        <v>BM</v>
      </c>
    </row>
    <row r="2330" spans="1:7" x14ac:dyDescent="0.25">
      <c r="A2330" s="17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IFERROR(VLOOKUP(B2330,'Diciembre 2023'!$B$2:$G$5822,4,0),"")</f>
        <v>BM</v>
      </c>
    </row>
    <row r="2331" spans="1:7" x14ac:dyDescent="0.25">
      <c r="A2331" s="17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IFERROR(VLOOKUP(B2331,'Diciembre 2023'!$B$2:$G$5822,4,0),"")</f>
        <v>BM</v>
      </c>
    </row>
    <row r="2332" spans="1:7" x14ac:dyDescent="0.25">
      <c r="A2332" s="17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IFERROR(VLOOKUP(B2332,'Diciembre 2023'!$B$2:$G$5822,4,0),"")</f>
        <v>BM</v>
      </c>
    </row>
    <row r="2333" spans="1:7" x14ac:dyDescent="0.25">
      <c r="A2333" s="17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IFERROR(VLOOKUP(B2333,'Diciembre 2023'!$B$2:$G$5822,4,0),"")</f>
        <v>INACTPL</v>
      </c>
    </row>
    <row r="2334" spans="1:7" x14ac:dyDescent="0.25">
      <c r="A2334" s="17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IFERROR(VLOOKUP(B2334,'Diciembre 2023'!$B$2:$G$5822,4,0),"")</f>
        <v>PL</v>
      </c>
    </row>
    <row r="2335" spans="1:7" x14ac:dyDescent="0.25">
      <c r="A2335" s="17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IFERROR(VLOOKUP(B2335,'Diciembre 2023'!$B$2:$G$5822,4,0),"")</f>
        <v>ATAPET</v>
      </c>
    </row>
    <row r="2336" spans="1:7" x14ac:dyDescent="0.25">
      <c r="A2336" s="17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IFERROR(VLOOKUP(B2336,'Diciembre 2023'!$B$2:$G$5822,4,0),"")</f>
        <v>BM</v>
      </c>
    </row>
    <row r="2337" spans="1:7" x14ac:dyDescent="0.25">
      <c r="A2337" s="17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IFERROR(VLOOKUP(B2337,'Diciembre 2023'!$B$2:$G$5822,4,0),"")</f>
        <v>BM</v>
      </c>
    </row>
    <row r="2338" spans="1:7" x14ac:dyDescent="0.25">
      <c r="A2338" s="17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IFERROR(VLOOKUP(B2338,'Diciembre 2023'!$B$2:$G$5822,4,0),"")</f>
        <v>BM</v>
      </c>
    </row>
    <row r="2339" spans="1:7" x14ac:dyDescent="0.25">
      <c r="A2339" s="17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IFERROR(VLOOKUP(B2339,'Diciembre 2023'!$B$2:$G$5822,4,0),"")</f>
        <v>BM</v>
      </c>
    </row>
    <row r="2340" spans="1:7" x14ac:dyDescent="0.25">
      <c r="A2340" s="17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IFERROR(VLOOKUP(B2340,'Diciembre 2023'!$B$2:$G$5822,4,0),"")</f>
        <v>APA_PC</v>
      </c>
    </row>
    <row r="2341" spans="1:7" x14ac:dyDescent="0.25">
      <c r="A2341" s="17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IFERROR(VLOOKUP(B2341,'Diciembre 2023'!$B$2:$G$5822,4,0),"")</f>
        <v>BM</v>
      </c>
    </row>
    <row r="2342" spans="1:7" x14ac:dyDescent="0.25">
      <c r="A2342" s="17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IFERROR(VLOOKUP(B2342,'Diciembre 2023'!$B$2:$G$5822,4,0),"")</f>
        <v>INACTBM</v>
      </c>
    </row>
    <row r="2343" spans="1:7" x14ac:dyDescent="0.25">
      <c r="A2343" s="17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IFERROR(VLOOKUP(B2343,'Diciembre 2023'!$B$2:$G$5822,4,0),"")</f>
        <v>ACTPETS</v>
      </c>
    </row>
    <row r="2344" spans="1:7" x14ac:dyDescent="0.25">
      <c r="A2344" s="17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IFERROR(VLOOKUP(B2344,'Diciembre 2023'!$B$2:$G$5822,4,0),"")</f>
        <v>BM</v>
      </c>
    </row>
    <row r="2345" spans="1:7" x14ac:dyDescent="0.25">
      <c r="A2345" s="17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IFERROR(VLOOKUP(B2345,'Diciembre 2023'!$B$2:$G$5822,4,0),"")</f>
        <v>BM</v>
      </c>
    </row>
    <row r="2346" spans="1:7" x14ac:dyDescent="0.25">
      <c r="A2346" s="17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IFERROR(VLOOKUP(B2346,'Diciembre 2023'!$B$2:$G$5822,4,0),"")</f>
        <v>ATAPET</v>
      </c>
    </row>
    <row r="2347" spans="1:7" x14ac:dyDescent="0.25">
      <c r="A2347" s="17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IFERROR(VLOOKUP(B2347,'Diciembre 2023'!$B$2:$G$5822,4,0),"")</f>
        <v>BM</v>
      </c>
    </row>
    <row r="2348" spans="1:7" x14ac:dyDescent="0.25">
      <c r="A2348" s="17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IFERROR(VLOOKUP(B2348,'Diciembre 2023'!$B$2:$G$5822,4,0),"")</f>
        <v>BM</v>
      </c>
    </row>
    <row r="2349" spans="1:7" x14ac:dyDescent="0.25">
      <c r="A2349" s="17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IFERROR(VLOOKUP(B2349,'Diciembre 2023'!$B$2:$G$5822,4,0),"")</f>
        <v>PL</v>
      </c>
    </row>
    <row r="2350" spans="1:7" x14ac:dyDescent="0.25">
      <c r="A2350" s="17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IFERROR(VLOOKUP(B2350,'Diciembre 2023'!$B$2:$G$5822,4,0),"")</f>
        <v>BM</v>
      </c>
    </row>
    <row r="2351" spans="1:7" x14ac:dyDescent="0.25">
      <c r="A2351" s="17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IFERROR(VLOOKUP(B2351,'Diciembre 2023'!$B$2:$G$5822,4,0),"")</f>
        <v>BM</v>
      </c>
    </row>
    <row r="2352" spans="1:7" x14ac:dyDescent="0.25">
      <c r="A2352" s="17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IFERROR(VLOOKUP(B2352,'Diciembre 2023'!$B$2:$G$5822,4,0),"")</f>
        <v>APA_PC</v>
      </c>
    </row>
    <row r="2353" spans="1:7" x14ac:dyDescent="0.25">
      <c r="A2353" s="17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IFERROR(VLOOKUP(B2353,'Diciembre 2023'!$B$2:$G$5822,4,0),"")</f>
        <v>DPAPET</v>
      </c>
    </row>
    <row r="2354" spans="1:7" x14ac:dyDescent="0.25">
      <c r="A2354" s="17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IFERROR(VLOOKUP(B2354,'Diciembre 2023'!$B$2:$G$5822,4,0),"")</f>
        <v>APA_PC</v>
      </c>
    </row>
    <row r="2355" spans="1:7" x14ac:dyDescent="0.25">
      <c r="A2355" s="17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IFERROR(VLOOKUP(B2355,'Diciembre 2023'!$B$2:$G$5822,4,0),"")</f>
        <v>APA_PC</v>
      </c>
    </row>
    <row r="2356" spans="1:7" x14ac:dyDescent="0.25">
      <c r="A2356" s="17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IFERROR(VLOOKUP(B2356,'Diciembre 2023'!$B$2:$G$5822,4,0),"")</f>
        <v>APA_PC</v>
      </c>
    </row>
    <row r="2357" spans="1:7" x14ac:dyDescent="0.25">
      <c r="A2357" s="17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IFERROR(VLOOKUP(B2357,'Diciembre 2023'!$B$2:$G$5822,4,0),"")</f>
        <v>BM</v>
      </c>
    </row>
    <row r="2358" spans="1:7" x14ac:dyDescent="0.25">
      <c r="A2358" s="17"/>
      <c r="B2358" s="4" t="s">
        <v>2264</v>
      </c>
      <c r="C2358" s="4" t="s">
        <v>14</v>
      </c>
      <c r="D2358" s="4" t="s">
        <v>15</v>
      </c>
      <c r="E2358" s="4" t="s">
        <v>16</v>
      </c>
      <c r="F2358" s="4" t="s">
        <v>14</v>
      </c>
      <c r="G2358" s="5" t="str">
        <f>IFERROR(VLOOKUP(B2358,'Diciembre 2023'!$B$2:$G$5822,4,0),"")</f>
        <v>ATAPET</v>
      </c>
    </row>
    <row r="2359" spans="1:7" x14ac:dyDescent="0.25">
      <c r="A2359" s="17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IFERROR(VLOOKUP(B2359,'Diciembre 2023'!$B$2:$G$5822,4,0),"")</f>
        <v>ACTPETS</v>
      </c>
    </row>
    <row r="2360" spans="1:7" x14ac:dyDescent="0.25">
      <c r="A2360" s="17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IFERROR(VLOOKUP(B2360,'Diciembre 2023'!$B$2:$G$5822,4,0),"")</f>
        <v>BM</v>
      </c>
    </row>
    <row r="2361" spans="1:7" x14ac:dyDescent="0.25">
      <c r="A2361" s="17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IFERROR(VLOOKUP(B2361,'Diciembre 2023'!$B$2:$G$5822,4,0),"")</f>
        <v>BM</v>
      </c>
    </row>
    <row r="2362" spans="1:7" x14ac:dyDescent="0.25">
      <c r="A2362" s="17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IFERROR(VLOOKUP(B2362,'Diciembre 2023'!$B$2:$G$5822,4,0),"")</f>
        <v>BM</v>
      </c>
    </row>
    <row r="2363" spans="1:7" x14ac:dyDescent="0.25">
      <c r="A2363" s="17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IFERROR(VLOOKUP(B2363,'Diciembre 2023'!$B$2:$G$5822,4,0),"")</f>
        <v>BM</v>
      </c>
    </row>
    <row r="2364" spans="1:7" x14ac:dyDescent="0.25">
      <c r="A2364" s="17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IFERROR(VLOOKUP(B2364,'Diciembre 2023'!$B$2:$G$5822,4,0),"")</f>
        <v>BM</v>
      </c>
    </row>
    <row r="2365" spans="1:7" x14ac:dyDescent="0.25">
      <c r="A2365" s="17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IFERROR(VLOOKUP(B2365,'Diciembre 2023'!$B$2:$G$5822,4,0),"")</f>
        <v>ACTPETS</v>
      </c>
    </row>
    <row r="2366" spans="1:7" x14ac:dyDescent="0.25">
      <c r="A2366" s="17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IFERROR(VLOOKUP(B2366,'Diciembre 2023'!$B$2:$G$5822,4,0),"")</f>
        <v>INACTBM</v>
      </c>
    </row>
    <row r="2367" spans="1:7" x14ac:dyDescent="0.25">
      <c r="A2367" s="17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IFERROR(VLOOKUP(B2367,'Diciembre 2023'!$B$2:$G$5822,4,0),"")</f>
        <v>BM</v>
      </c>
    </row>
    <row r="2368" spans="1:7" x14ac:dyDescent="0.25">
      <c r="A2368" s="17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IFERROR(VLOOKUP(B2368,'Diciembre 2023'!$B$2:$G$5822,4,0),"")</f>
        <v>BM</v>
      </c>
    </row>
    <row r="2369" spans="1:7" x14ac:dyDescent="0.25">
      <c r="A2369" s="17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IFERROR(VLOOKUP(B2369,'Diciembre 2023'!$B$2:$G$5822,4,0),"")</f>
        <v>BM</v>
      </c>
    </row>
    <row r="2370" spans="1:7" x14ac:dyDescent="0.25">
      <c r="A2370" s="17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IFERROR(VLOOKUP(B2370,'Diciembre 2023'!$B$2:$G$5822,4,0),"")</f>
        <v>APA_PC</v>
      </c>
    </row>
    <row r="2371" spans="1:7" x14ac:dyDescent="0.25">
      <c r="A2371" s="17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IFERROR(VLOOKUP(B2371,'Diciembre 2023'!$B$2:$G$5822,4,0),"")</f>
        <v>BM</v>
      </c>
    </row>
    <row r="2372" spans="1:7" x14ac:dyDescent="0.25">
      <c r="A2372" s="17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IFERROR(VLOOKUP(B2372,'Diciembre 2023'!$B$2:$G$5822,4,0),"")</f>
        <v>ATAPET</v>
      </c>
    </row>
    <row r="2373" spans="1:7" x14ac:dyDescent="0.25">
      <c r="A2373" s="17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IFERROR(VLOOKUP(B2373,'Diciembre 2023'!$B$2:$G$5822,4,0),"")</f>
        <v>BM</v>
      </c>
    </row>
    <row r="2374" spans="1:7" x14ac:dyDescent="0.25">
      <c r="A2374" s="17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IFERROR(VLOOKUP(B2374,'Diciembre 2023'!$B$2:$G$5822,4,0),"")</f>
        <v>INACTBM</v>
      </c>
    </row>
    <row r="2375" spans="1:7" x14ac:dyDescent="0.25">
      <c r="A2375" s="17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IFERROR(VLOOKUP(B2375,'Diciembre 2023'!$B$2:$G$5822,4,0),"")</f>
        <v>BM</v>
      </c>
    </row>
    <row r="2376" spans="1:7" x14ac:dyDescent="0.25">
      <c r="A2376" s="17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IFERROR(VLOOKUP(B2376,'Diciembre 2023'!$B$2:$G$5822,4,0),"")</f>
        <v>BM</v>
      </c>
    </row>
    <row r="2377" spans="1:7" x14ac:dyDescent="0.25">
      <c r="A2377" s="17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IFERROR(VLOOKUP(B2377,'Diciembre 2023'!$B$2:$G$5822,4,0),"")</f>
        <v>APA_PC</v>
      </c>
    </row>
    <row r="2378" spans="1:7" x14ac:dyDescent="0.25">
      <c r="A2378" s="17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IFERROR(VLOOKUP(B2378,'Diciembre 2023'!$B$2:$G$5822,4,0),"")</f>
        <v>APA_PC</v>
      </c>
    </row>
    <row r="2379" spans="1:7" x14ac:dyDescent="0.25">
      <c r="A2379" s="17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IFERROR(VLOOKUP(B2379,'Diciembre 2023'!$B$2:$G$5822,4,0),"")</f>
        <v>BM</v>
      </c>
    </row>
    <row r="2380" spans="1:7" x14ac:dyDescent="0.25">
      <c r="A2380" s="17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IFERROR(VLOOKUP(B2380,'Diciembre 2023'!$B$2:$G$5822,4,0),"")</f>
        <v>ACTPETS</v>
      </c>
    </row>
    <row r="2381" spans="1:7" x14ac:dyDescent="0.25">
      <c r="A2381" s="17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IFERROR(VLOOKUP(B2381,'Diciembre 2023'!$B$2:$G$5822,4,0),"")</f>
        <v>ACTPETF</v>
      </c>
    </row>
    <row r="2382" spans="1:7" x14ac:dyDescent="0.25">
      <c r="A2382" s="17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IFERROR(VLOOKUP(B2382,'Diciembre 2023'!$B$2:$G$5822,4,0),"")</f>
        <v>APA_PB</v>
      </c>
    </row>
    <row r="2383" spans="1:7" x14ac:dyDescent="0.25">
      <c r="A2383" s="17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IFERROR(VLOOKUP(B2383,'Diciembre 2023'!$B$2:$G$5822,4,0),"")</f>
        <v>ATAPET</v>
      </c>
    </row>
    <row r="2384" spans="1:7" x14ac:dyDescent="0.25">
      <c r="A2384" s="17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IFERROR(VLOOKUP(B2384,'Diciembre 2023'!$B$2:$G$5822,4,0),"")</f>
        <v>BM</v>
      </c>
    </row>
    <row r="2385" spans="1:7" x14ac:dyDescent="0.25">
      <c r="A2385" s="17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IFERROR(VLOOKUP(B2385,'Diciembre 2023'!$B$2:$G$5822,4,0),"")</f>
        <v>BM</v>
      </c>
    </row>
    <row r="2386" spans="1:7" x14ac:dyDescent="0.25">
      <c r="A2386" s="17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IFERROR(VLOOKUP(B2386,'Diciembre 2023'!$B$2:$G$5822,4,0),"")</f>
        <v>INACTBM</v>
      </c>
    </row>
    <row r="2387" spans="1:7" x14ac:dyDescent="0.25">
      <c r="A2387" s="17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IFERROR(VLOOKUP(B2387,'Diciembre 2023'!$B$2:$G$5822,4,0),"")</f>
        <v>ATAPET</v>
      </c>
    </row>
    <row r="2388" spans="1:7" x14ac:dyDescent="0.25">
      <c r="A2388" s="17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IFERROR(VLOOKUP(B2388,'Diciembre 2023'!$B$2:$G$5822,4,0),"")</f>
        <v>BM</v>
      </c>
    </row>
    <row r="2389" spans="1:7" x14ac:dyDescent="0.25">
      <c r="A2389" s="17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IFERROR(VLOOKUP(B2389,'Diciembre 2023'!$B$2:$G$5822,4,0),"")</f>
        <v>PL</v>
      </c>
    </row>
    <row r="2390" spans="1:7" x14ac:dyDescent="0.25">
      <c r="A2390" s="17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IFERROR(VLOOKUP(B2390,'Diciembre 2023'!$B$2:$G$5822,4,0),"")</f>
        <v>ACTPETF</v>
      </c>
    </row>
    <row r="2391" spans="1:7" x14ac:dyDescent="0.25">
      <c r="A2391" s="17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IFERROR(VLOOKUP(B2391,'Diciembre 2023'!$B$2:$G$5822,4,0),"")</f>
        <v>BM</v>
      </c>
    </row>
    <row r="2392" spans="1:7" x14ac:dyDescent="0.25">
      <c r="A2392" s="17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IFERROR(VLOOKUP(B2392,'Diciembre 2023'!$B$2:$G$5822,4,0),"")</f>
        <v>ATAPET</v>
      </c>
    </row>
    <row r="2393" spans="1:7" x14ac:dyDescent="0.25">
      <c r="A2393" s="17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IFERROR(VLOOKUP(B2393,'Diciembre 2023'!$B$2:$G$5822,4,0),"")</f>
        <v>ACTPETF</v>
      </c>
    </row>
    <row r="2394" spans="1:7" x14ac:dyDescent="0.25">
      <c r="A2394" s="17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IFERROR(VLOOKUP(B2394,'Diciembre 2023'!$B$2:$G$5822,4,0),"")</f>
        <v>ACTPETS</v>
      </c>
    </row>
    <row r="2395" spans="1:7" x14ac:dyDescent="0.25">
      <c r="A2395" s="17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IFERROR(VLOOKUP(B2395,'Diciembre 2023'!$B$2:$G$5822,4,0),"")</f>
        <v>INACTBM</v>
      </c>
    </row>
    <row r="2396" spans="1:7" x14ac:dyDescent="0.25">
      <c r="A2396" s="17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IFERROR(VLOOKUP(B2396,'Diciembre 2023'!$B$2:$G$5822,4,0),"")</f>
        <v>APA_CNPC</v>
      </c>
    </row>
    <row r="2397" spans="1:7" x14ac:dyDescent="0.25">
      <c r="A2397" s="17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IFERROR(VLOOKUP(B2397,'Diciembre 2023'!$B$2:$G$5822,4,0),"")</f>
        <v>BM</v>
      </c>
    </row>
    <row r="2398" spans="1:7" x14ac:dyDescent="0.25">
      <c r="A2398" s="17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IFERROR(VLOOKUP(B2398,'Diciembre 2023'!$B$2:$G$5822,4,0),"")</f>
        <v>ACTPETS</v>
      </c>
    </row>
    <row r="2399" spans="1:7" x14ac:dyDescent="0.25">
      <c r="A2399" s="17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IFERROR(VLOOKUP(B2399,'Diciembre 2023'!$B$2:$G$5822,4,0),"")</f>
        <v>APA_PC</v>
      </c>
    </row>
    <row r="2400" spans="1:7" x14ac:dyDescent="0.25">
      <c r="A2400" s="17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IFERROR(VLOOKUP(B2400,'Diciembre 2023'!$B$2:$G$5822,4,0),"")</f>
        <v>ATAPET</v>
      </c>
    </row>
    <row r="2401" spans="1:7" x14ac:dyDescent="0.25">
      <c r="A2401" s="17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IFERROR(VLOOKUP(B2401,'Diciembre 2023'!$B$2:$G$5822,4,0),"")</f>
        <v>INACTBM</v>
      </c>
    </row>
    <row r="2402" spans="1:7" x14ac:dyDescent="0.25">
      <c r="A2402" s="17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IFERROR(VLOOKUP(B2402,'Diciembre 2023'!$B$2:$G$5822,4,0),"")</f>
        <v>ATAPET</v>
      </c>
    </row>
    <row r="2403" spans="1:7" x14ac:dyDescent="0.25">
      <c r="A2403" s="17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IFERROR(VLOOKUP(B2403,'Diciembre 2023'!$B$2:$G$5822,4,0),"")</f>
        <v>ACTPETF</v>
      </c>
    </row>
    <row r="2404" spans="1:7" x14ac:dyDescent="0.25">
      <c r="A2404" s="17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IFERROR(VLOOKUP(B2404,'Diciembre 2023'!$B$2:$G$5822,4,0),"")</f>
        <v>BM</v>
      </c>
    </row>
    <row r="2405" spans="1:7" x14ac:dyDescent="0.25">
      <c r="A2405" s="17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IFERROR(VLOOKUP(B2405,'Diciembre 2023'!$B$2:$G$5822,4,0),"")</f>
        <v>ACTPETF</v>
      </c>
    </row>
    <row r="2406" spans="1:7" x14ac:dyDescent="0.25">
      <c r="A2406" s="17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IFERROR(VLOOKUP(B2406,'Diciembre 2023'!$B$2:$G$5822,4,0),"")</f>
        <v>ACTPETS</v>
      </c>
    </row>
    <row r="2407" spans="1:7" x14ac:dyDescent="0.25">
      <c r="A2407" s="17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IFERROR(VLOOKUP(B2407,'Diciembre 2023'!$B$2:$G$5822,4,0),"")</f>
        <v>DPAPET</v>
      </c>
    </row>
    <row r="2408" spans="1:7" x14ac:dyDescent="0.25">
      <c r="A2408" s="17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IFERROR(VLOOKUP(B2408,'Diciembre 2023'!$B$2:$G$5822,4,0),"")</f>
        <v>INACTPETF</v>
      </c>
    </row>
    <row r="2409" spans="1:7" x14ac:dyDescent="0.25">
      <c r="A2409" s="17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IFERROR(VLOOKUP(B2409,'Diciembre 2023'!$B$2:$G$5822,4,0),"")</f>
        <v>INACTBM</v>
      </c>
    </row>
    <row r="2410" spans="1:7" x14ac:dyDescent="0.25">
      <c r="A2410" s="17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IFERROR(VLOOKUP(B2410,'Diciembre 2023'!$B$2:$G$5822,4,0),"")</f>
        <v>BM</v>
      </c>
    </row>
    <row r="2411" spans="1:7" x14ac:dyDescent="0.25">
      <c r="A2411" s="17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IFERROR(VLOOKUP(B2411,'Diciembre 2023'!$B$2:$G$5822,4,0),"")</f>
        <v>BM</v>
      </c>
    </row>
    <row r="2412" spans="1:7" x14ac:dyDescent="0.25">
      <c r="A2412" s="17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IFERROR(VLOOKUP(B2412,'Diciembre 2023'!$B$2:$G$5822,4,0),"")</f>
        <v>BM</v>
      </c>
    </row>
    <row r="2413" spans="1:7" x14ac:dyDescent="0.25">
      <c r="A2413" s="17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IFERROR(VLOOKUP(B2413,'Diciembre 2023'!$B$2:$G$5822,4,0),"")</f>
        <v>APA_PC</v>
      </c>
    </row>
    <row r="2414" spans="1:7" x14ac:dyDescent="0.25">
      <c r="A2414" s="17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IFERROR(VLOOKUP(B2414,'Diciembre 2023'!$B$2:$G$5822,4,0),"")</f>
        <v>PL</v>
      </c>
    </row>
    <row r="2415" spans="1:7" x14ac:dyDescent="0.25">
      <c r="A2415" s="17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IFERROR(VLOOKUP(B2415,'Diciembre 2023'!$B$2:$G$5822,4,0),"")</f>
        <v>BM</v>
      </c>
    </row>
    <row r="2416" spans="1:7" x14ac:dyDescent="0.25">
      <c r="A2416" s="17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IFERROR(VLOOKUP(B2416,'Diciembre 2023'!$B$2:$G$5822,4,0),"")</f>
        <v>ACTPETS</v>
      </c>
    </row>
    <row r="2417" spans="1:7" x14ac:dyDescent="0.25">
      <c r="A2417" s="17"/>
      <c r="B2417" s="4" t="s">
        <v>2325</v>
      </c>
      <c r="C2417" s="4" t="s">
        <v>35</v>
      </c>
      <c r="D2417" s="4" t="s">
        <v>35</v>
      </c>
      <c r="E2417" s="4" t="s">
        <v>163</v>
      </c>
      <c r="F2417" s="4" t="s">
        <v>21</v>
      </c>
      <c r="G2417" s="5" t="str">
        <f>IFERROR(VLOOKUP(B2417,'Diciembre 2023'!$B$2:$G$5822,4,0),"")</f>
        <v>INACTPETS</v>
      </c>
    </row>
    <row r="2418" spans="1:7" x14ac:dyDescent="0.25">
      <c r="A2418" s="17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IFERROR(VLOOKUP(B2418,'Diciembre 2023'!$B$2:$G$5822,4,0),"")</f>
        <v>BM</v>
      </c>
    </row>
    <row r="2419" spans="1:7" x14ac:dyDescent="0.25">
      <c r="A2419" s="17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IFERROR(VLOOKUP(B2419,'Diciembre 2023'!$B$2:$G$5822,4,0),"")</f>
        <v>DPAPET</v>
      </c>
    </row>
    <row r="2420" spans="1:7" x14ac:dyDescent="0.25">
      <c r="A2420" s="17"/>
      <c r="B2420" s="4" t="s">
        <v>2328</v>
      </c>
      <c r="C2420" s="4" t="s">
        <v>14</v>
      </c>
      <c r="D2420" s="4" t="s">
        <v>15</v>
      </c>
      <c r="E2420" s="4" t="s">
        <v>16</v>
      </c>
      <c r="F2420" s="4" t="s">
        <v>14</v>
      </c>
      <c r="G2420" s="5" t="str">
        <f>IFERROR(VLOOKUP(B2420,'Diciembre 2023'!$B$2:$G$5822,4,0),"")</f>
        <v>ATAPET</v>
      </c>
    </row>
    <row r="2421" spans="1:7" x14ac:dyDescent="0.25">
      <c r="A2421" s="17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IFERROR(VLOOKUP(B2421,'Diciembre 2023'!$B$2:$G$5822,4,0),"")</f>
        <v>BM</v>
      </c>
    </row>
    <row r="2422" spans="1:7" x14ac:dyDescent="0.25">
      <c r="A2422" s="17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IFERROR(VLOOKUP(B2422,'Diciembre 2023'!$B$2:$G$5822,4,0),"")</f>
        <v>BM</v>
      </c>
    </row>
    <row r="2423" spans="1:7" x14ac:dyDescent="0.25">
      <c r="A2423" s="17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IFERROR(VLOOKUP(B2423,'Diciembre 2023'!$B$2:$G$5822,4,0),"")</f>
        <v>BM</v>
      </c>
    </row>
    <row r="2424" spans="1:7" x14ac:dyDescent="0.25">
      <c r="A2424" s="17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IFERROR(VLOOKUP(B2424,'Diciembre 2023'!$B$2:$G$5822,4,0),"")</f>
        <v>BM</v>
      </c>
    </row>
    <row r="2425" spans="1:7" x14ac:dyDescent="0.25">
      <c r="A2425" s="17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IFERROR(VLOOKUP(B2425,'Diciembre 2023'!$B$2:$G$5822,4,0),"")</f>
        <v>BM</v>
      </c>
    </row>
    <row r="2426" spans="1:7" x14ac:dyDescent="0.25">
      <c r="A2426" s="17"/>
      <c r="B2426" s="4" t="s">
        <v>2334</v>
      </c>
      <c r="C2426" s="4" t="s">
        <v>11</v>
      </c>
      <c r="D2426" s="4" t="s">
        <v>11</v>
      </c>
      <c r="E2426" s="4" t="s">
        <v>11</v>
      </c>
      <c r="F2426" s="4" t="s">
        <v>1270</v>
      </c>
      <c r="G2426" s="5" t="str">
        <f>IFERROR(VLOOKUP(B2426,'Diciembre 2023'!$B$2:$G$5822,4,0),"")</f>
        <v>BM</v>
      </c>
    </row>
    <row r="2427" spans="1:7" x14ac:dyDescent="0.25">
      <c r="A2427" s="17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IFERROR(VLOOKUP(B2427,'Diciembre 2023'!$B$2:$G$5822,4,0),"")</f>
        <v>BM</v>
      </c>
    </row>
    <row r="2428" spans="1:7" x14ac:dyDescent="0.25">
      <c r="A2428" s="17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IFERROR(VLOOKUP(B2428,'Diciembre 2023'!$B$2:$G$5822,4,0),"")</f>
        <v>BM</v>
      </c>
    </row>
    <row r="2429" spans="1:7" x14ac:dyDescent="0.25">
      <c r="A2429" s="17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IFERROR(VLOOKUP(B2429,'Diciembre 2023'!$B$2:$G$5822,4,0),"")</f>
        <v>BM</v>
      </c>
    </row>
    <row r="2430" spans="1:7" x14ac:dyDescent="0.25">
      <c r="A2430" s="17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IFERROR(VLOOKUP(B2430,'Diciembre 2023'!$B$2:$G$5822,4,0),"")</f>
        <v>BM</v>
      </c>
    </row>
    <row r="2431" spans="1:7" x14ac:dyDescent="0.25">
      <c r="A2431" s="17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IFERROR(VLOOKUP(B2431,'Diciembre 2023'!$B$2:$G$5822,4,0),"")</f>
        <v>GL</v>
      </c>
    </row>
    <row r="2432" spans="1:7" x14ac:dyDescent="0.25">
      <c r="A2432" s="17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IFERROR(VLOOKUP(B2432,'Diciembre 2023'!$B$2:$G$5822,4,0),"")</f>
        <v>ACTINYA</v>
      </c>
    </row>
    <row r="2433" spans="1:7" x14ac:dyDescent="0.25">
      <c r="A2433" s="17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IFERROR(VLOOKUP(B2433,'Diciembre 2023'!$B$2:$G$5822,4,0),"")</f>
        <v>PL</v>
      </c>
    </row>
    <row r="2434" spans="1:7" x14ac:dyDescent="0.25">
      <c r="A2434" s="17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IFERROR(VLOOKUP(B2434,'Diciembre 2023'!$B$2:$G$5822,4,0),"")</f>
        <v>BM</v>
      </c>
    </row>
    <row r="2435" spans="1:7" x14ac:dyDescent="0.25">
      <c r="A2435" s="17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IFERROR(VLOOKUP(B2435,'Diciembre 2023'!$B$2:$G$5822,4,0),"")</f>
        <v>INACTBM</v>
      </c>
    </row>
    <row r="2436" spans="1:7" x14ac:dyDescent="0.25">
      <c r="A2436" s="17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IFERROR(VLOOKUP(B2436,'Diciembre 2023'!$B$2:$G$5822,4,0),"")</f>
        <v>INACTPETF</v>
      </c>
    </row>
    <row r="2437" spans="1:7" x14ac:dyDescent="0.25">
      <c r="A2437" s="17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IFERROR(VLOOKUP(B2437,'Diciembre 2023'!$B$2:$G$5822,4,0),"")</f>
        <v>APA_PC</v>
      </c>
    </row>
    <row r="2438" spans="1:7" x14ac:dyDescent="0.25">
      <c r="A2438" s="17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IFERROR(VLOOKUP(B2438,'Diciembre 2023'!$B$2:$G$5822,4,0),"")</f>
        <v>BM</v>
      </c>
    </row>
    <row r="2439" spans="1:7" x14ac:dyDescent="0.25">
      <c r="A2439" s="17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IFERROR(VLOOKUP(B2439,'Diciembre 2023'!$B$2:$G$5822,4,0),"")</f>
        <v>BM</v>
      </c>
    </row>
    <row r="2440" spans="1:7" x14ac:dyDescent="0.25">
      <c r="A2440" s="17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IFERROR(VLOOKUP(B2440,'Diciembre 2023'!$B$2:$G$5822,4,0),"")</f>
        <v>ACTPETS</v>
      </c>
    </row>
    <row r="2441" spans="1:7" x14ac:dyDescent="0.25">
      <c r="A2441" s="17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IFERROR(VLOOKUP(B2441,'Diciembre 2023'!$B$2:$G$5822,4,0),"")</f>
        <v>ACTPETS</v>
      </c>
    </row>
    <row r="2442" spans="1:7" x14ac:dyDescent="0.25">
      <c r="A2442" s="17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IFERROR(VLOOKUP(B2442,'Diciembre 2023'!$B$2:$G$5822,4,0),"")</f>
        <v>BM</v>
      </c>
    </row>
    <row r="2443" spans="1:7" x14ac:dyDescent="0.25">
      <c r="A2443" s="17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IFERROR(VLOOKUP(B2443,'Diciembre 2023'!$B$2:$G$5822,4,0),"")</f>
        <v>DPAPET</v>
      </c>
    </row>
    <row r="2444" spans="1:7" x14ac:dyDescent="0.25">
      <c r="A2444" s="17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IFERROR(VLOOKUP(B2444,'Diciembre 2023'!$B$2:$G$5822,4,0),"")</f>
        <v>BM</v>
      </c>
    </row>
    <row r="2445" spans="1:7" x14ac:dyDescent="0.25">
      <c r="A2445" s="17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IFERROR(VLOOKUP(B2445,'Diciembre 2023'!$B$2:$G$5822,4,0),"")</f>
        <v>BM</v>
      </c>
    </row>
    <row r="2446" spans="1:7" x14ac:dyDescent="0.25">
      <c r="A2446" s="17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IFERROR(VLOOKUP(B2446,'Diciembre 2023'!$B$2:$G$5822,4,0),"")</f>
        <v>ACTPETS</v>
      </c>
    </row>
    <row r="2447" spans="1:7" x14ac:dyDescent="0.25">
      <c r="A2447" s="17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IFERROR(VLOOKUP(B2447,'Diciembre 2023'!$B$2:$G$5822,4,0),"")</f>
        <v>BM</v>
      </c>
    </row>
    <row r="2448" spans="1:7" x14ac:dyDescent="0.25">
      <c r="A2448" s="17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IFERROR(VLOOKUP(B2448,'Diciembre 2023'!$B$2:$G$5822,4,0),"")</f>
        <v>BM</v>
      </c>
    </row>
    <row r="2449" spans="1:7" x14ac:dyDescent="0.25">
      <c r="A2449" s="17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IFERROR(VLOOKUP(B2449,'Diciembre 2023'!$B$2:$G$5822,4,0),"")</f>
        <v>INACTBM</v>
      </c>
    </row>
    <row r="2450" spans="1:7" x14ac:dyDescent="0.25">
      <c r="A2450" s="17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IFERROR(VLOOKUP(B2450,'Diciembre 2023'!$B$2:$G$5822,4,0),"")</f>
        <v>ACTPETF</v>
      </c>
    </row>
    <row r="2451" spans="1:7" x14ac:dyDescent="0.25">
      <c r="A2451" s="17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IFERROR(VLOOKUP(B2451,'Diciembre 2023'!$B$2:$G$5822,4,0),"")</f>
        <v>APA_CNPC</v>
      </c>
    </row>
    <row r="2452" spans="1:7" x14ac:dyDescent="0.25">
      <c r="A2452" s="17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IFERROR(VLOOKUP(B2452,'Diciembre 2023'!$B$2:$G$5822,4,0),"")</f>
        <v>BM</v>
      </c>
    </row>
    <row r="2453" spans="1:7" x14ac:dyDescent="0.25">
      <c r="A2453" s="17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IFERROR(VLOOKUP(B2453,'Diciembre 2023'!$B$2:$G$5822,4,0),"")</f>
        <v>BM</v>
      </c>
    </row>
    <row r="2454" spans="1:7" x14ac:dyDescent="0.25">
      <c r="A2454" s="17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IFERROR(VLOOKUP(B2454,'Diciembre 2023'!$B$2:$G$5822,4,0),"")</f>
        <v>BM</v>
      </c>
    </row>
    <row r="2455" spans="1:7" x14ac:dyDescent="0.25">
      <c r="A2455" s="17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IFERROR(VLOOKUP(B2455,'Diciembre 2023'!$B$2:$G$5822,4,0),"")</f>
        <v>APA_PC</v>
      </c>
    </row>
    <row r="2456" spans="1:7" x14ac:dyDescent="0.25">
      <c r="A2456" s="17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IFERROR(VLOOKUP(B2456,'Diciembre 2023'!$B$2:$G$5822,4,0),"")</f>
        <v>BM</v>
      </c>
    </row>
    <row r="2457" spans="1:7" x14ac:dyDescent="0.25">
      <c r="A2457" s="17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IFERROR(VLOOKUP(B2457,'Diciembre 2023'!$B$2:$G$5822,4,0),"")</f>
        <v>BM</v>
      </c>
    </row>
    <row r="2458" spans="1:7" x14ac:dyDescent="0.25">
      <c r="A2458" s="17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IFERROR(VLOOKUP(B2458,'Diciembre 2023'!$B$2:$G$5822,4,0),"")</f>
        <v>APA_PC</v>
      </c>
    </row>
    <row r="2459" spans="1:7" x14ac:dyDescent="0.25">
      <c r="A2459" s="17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IFERROR(VLOOKUP(B2459,'Diciembre 2023'!$B$2:$G$5822,4,0),"")</f>
        <v>APA_CNPC</v>
      </c>
    </row>
    <row r="2460" spans="1:7" x14ac:dyDescent="0.25">
      <c r="A2460" s="17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IFERROR(VLOOKUP(B2460,'Diciembre 2023'!$B$2:$G$5822,4,0),"")</f>
        <v>APA_PC</v>
      </c>
    </row>
    <row r="2461" spans="1:7" x14ac:dyDescent="0.25">
      <c r="A2461" s="17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IFERROR(VLOOKUP(B2461,'Diciembre 2023'!$B$2:$G$5822,4,0),"")</f>
        <v>INACTPL</v>
      </c>
    </row>
    <row r="2462" spans="1:7" x14ac:dyDescent="0.25">
      <c r="A2462" s="17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IFERROR(VLOOKUP(B2462,'Diciembre 2023'!$B$2:$G$5822,4,0),"")</f>
        <v>ATAPET</v>
      </c>
    </row>
    <row r="2463" spans="1:7" x14ac:dyDescent="0.25">
      <c r="A2463" s="17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IFERROR(VLOOKUP(B2463,'Diciembre 2023'!$B$2:$G$5822,4,0),"")</f>
        <v>BM</v>
      </c>
    </row>
    <row r="2464" spans="1:7" x14ac:dyDescent="0.25">
      <c r="A2464" s="17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IFERROR(VLOOKUP(B2464,'Diciembre 2023'!$B$2:$G$5822,4,0),"")</f>
        <v>APAPET</v>
      </c>
    </row>
    <row r="2465" spans="1:7" x14ac:dyDescent="0.25">
      <c r="A2465" s="17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IFERROR(VLOOKUP(B2465,'Diciembre 2023'!$B$2:$G$5822,4,0),"")</f>
        <v>ACTPETS</v>
      </c>
    </row>
    <row r="2466" spans="1:7" x14ac:dyDescent="0.25">
      <c r="A2466" s="17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IFERROR(VLOOKUP(B2466,'Diciembre 2023'!$B$2:$G$5822,4,0),"")</f>
        <v>ACTPETF</v>
      </c>
    </row>
    <row r="2467" spans="1:7" x14ac:dyDescent="0.25">
      <c r="A2467" s="17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IFERROR(VLOOKUP(B2467,'Diciembre 2023'!$B$2:$G$5822,4,0),"")</f>
        <v>APA_PC</v>
      </c>
    </row>
    <row r="2468" spans="1:7" x14ac:dyDescent="0.25">
      <c r="A2468" s="17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IFERROR(VLOOKUP(B2468,'Diciembre 2023'!$B$2:$G$5822,4,0),"")</f>
        <v>ATAPET</v>
      </c>
    </row>
    <row r="2469" spans="1:7" x14ac:dyDescent="0.25">
      <c r="A2469" s="17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IFERROR(VLOOKUP(B2469,'Diciembre 2023'!$B$2:$G$5822,4,0),"")</f>
        <v>APA_PC</v>
      </c>
    </row>
    <row r="2470" spans="1:7" x14ac:dyDescent="0.25">
      <c r="A2470" s="17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IFERROR(VLOOKUP(B2470,'Diciembre 2023'!$B$2:$G$5822,4,0),"")</f>
        <v>DPAPET</v>
      </c>
    </row>
    <row r="2471" spans="1:7" x14ac:dyDescent="0.25">
      <c r="A2471" s="17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IFERROR(VLOOKUP(B2471,'Diciembre 2023'!$B$2:$G$5822,4,0),"")</f>
        <v>BM</v>
      </c>
    </row>
    <row r="2472" spans="1:7" x14ac:dyDescent="0.25">
      <c r="A2472" s="17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IFERROR(VLOOKUP(B2472,'Diciembre 2023'!$B$2:$G$5822,4,0),"")</f>
        <v>BM</v>
      </c>
    </row>
    <row r="2473" spans="1:7" x14ac:dyDescent="0.25">
      <c r="A2473" s="17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IFERROR(VLOOKUP(B2473,'Diciembre 2023'!$B$2:$G$5822,4,0),"")</f>
        <v>ATAINY</v>
      </c>
    </row>
    <row r="2474" spans="1:7" x14ac:dyDescent="0.25">
      <c r="A2474" s="17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IFERROR(VLOOKUP(B2474,'Diciembre 2023'!$B$2:$G$5822,4,0),"")</f>
        <v>ATAPET</v>
      </c>
    </row>
    <row r="2475" spans="1:7" x14ac:dyDescent="0.25">
      <c r="A2475" s="17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IFERROR(VLOOKUP(B2475,'Diciembre 2023'!$B$2:$G$5822,4,0),"")</f>
        <v>ATAPET</v>
      </c>
    </row>
    <row r="2476" spans="1:7" x14ac:dyDescent="0.25">
      <c r="A2476" s="17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IFERROR(VLOOKUP(B2476,'Diciembre 2023'!$B$2:$G$5822,4,0),"")</f>
        <v>DPAPET</v>
      </c>
    </row>
    <row r="2477" spans="1:7" x14ac:dyDescent="0.25">
      <c r="A2477" s="17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IFERROR(VLOOKUP(B2477,'Diciembre 2023'!$B$2:$G$5822,4,0),"")</f>
        <v>ATAPET</v>
      </c>
    </row>
    <row r="2478" spans="1:7" x14ac:dyDescent="0.25">
      <c r="A2478" s="17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IFERROR(VLOOKUP(B2478,'Diciembre 2023'!$B$2:$G$5822,4,0),"")</f>
        <v>BM</v>
      </c>
    </row>
    <row r="2479" spans="1:7" x14ac:dyDescent="0.25">
      <c r="A2479" s="17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IFERROR(VLOOKUP(B2479,'Diciembre 2023'!$B$2:$G$5822,4,0),"")</f>
        <v>APA_CNPC</v>
      </c>
    </row>
    <row r="2480" spans="1:7" x14ac:dyDescent="0.25">
      <c r="A2480" s="17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IFERROR(VLOOKUP(B2480,'Diciembre 2023'!$B$2:$G$5822,4,0),"")</f>
        <v>INACTPETF</v>
      </c>
    </row>
    <row r="2481" spans="1:7" x14ac:dyDescent="0.25">
      <c r="A2481" s="17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IFERROR(VLOOKUP(B2481,'Diciembre 2023'!$B$2:$G$5822,4,0),"")</f>
        <v>BM</v>
      </c>
    </row>
    <row r="2482" spans="1:7" x14ac:dyDescent="0.25">
      <c r="A2482" s="17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IFERROR(VLOOKUP(B2482,'Diciembre 2023'!$B$2:$G$5822,4,0),"")</f>
        <v>APA_PC</v>
      </c>
    </row>
    <row r="2483" spans="1:7" x14ac:dyDescent="0.25">
      <c r="A2483" s="17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IFERROR(VLOOKUP(B2483,'Diciembre 2023'!$B$2:$G$5822,4,0),"")</f>
        <v>APA_PC</v>
      </c>
    </row>
    <row r="2484" spans="1:7" x14ac:dyDescent="0.25">
      <c r="A2484" s="17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IFERROR(VLOOKUP(B2484,'Diciembre 2023'!$B$2:$G$5822,4,0),"")</f>
        <v>BM</v>
      </c>
    </row>
    <row r="2485" spans="1:7" x14ac:dyDescent="0.25">
      <c r="A2485" s="17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IFERROR(VLOOKUP(B2485,'Diciembre 2023'!$B$2:$G$5822,4,0),"")</f>
        <v>BM</v>
      </c>
    </row>
    <row r="2486" spans="1:7" x14ac:dyDescent="0.25">
      <c r="A2486" s="17"/>
      <c r="B2486" s="4" t="s">
        <v>2395</v>
      </c>
      <c r="C2486" s="4" t="s">
        <v>14</v>
      </c>
      <c r="D2486" s="4" t="s">
        <v>15</v>
      </c>
      <c r="E2486" s="4" t="s">
        <v>16</v>
      </c>
      <c r="F2486" s="4" t="s">
        <v>14</v>
      </c>
      <c r="G2486" s="5" t="str">
        <f>IFERROR(VLOOKUP(B2486,'Diciembre 2023'!$B$2:$G$5822,4,0),"")</f>
        <v>ATAPET</v>
      </c>
    </row>
    <row r="2487" spans="1:7" x14ac:dyDescent="0.25">
      <c r="A2487" s="17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IFERROR(VLOOKUP(B2487,'Diciembre 2023'!$B$2:$G$5822,4,0),"")</f>
        <v>APA_PC</v>
      </c>
    </row>
    <row r="2488" spans="1:7" x14ac:dyDescent="0.25">
      <c r="A2488" s="17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IFERROR(VLOOKUP(B2488,'Diciembre 2023'!$B$2:$G$5822,4,0),"")</f>
        <v>PL</v>
      </c>
    </row>
    <row r="2489" spans="1:7" x14ac:dyDescent="0.25">
      <c r="A2489" s="17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IFERROR(VLOOKUP(B2489,'Diciembre 2023'!$B$2:$G$5822,4,0),"")</f>
        <v>BM</v>
      </c>
    </row>
    <row r="2490" spans="1:7" x14ac:dyDescent="0.25">
      <c r="A2490" s="17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IFERROR(VLOOKUP(B2490,'Diciembre 2023'!$B$2:$G$5822,4,0),"")</f>
        <v>BM</v>
      </c>
    </row>
    <row r="2491" spans="1:7" x14ac:dyDescent="0.25">
      <c r="A2491" s="17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IFERROR(VLOOKUP(B2491,'Diciembre 2023'!$B$2:$G$5822,4,0),"")</f>
        <v>APA_PC</v>
      </c>
    </row>
    <row r="2492" spans="1:7" x14ac:dyDescent="0.25">
      <c r="A2492" s="17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IFERROR(VLOOKUP(B2492,'Diciembre 2023'!$B$2:$G$5822,4,0),"")</f>
        <v>APA_PC</v>
      </c>
    </row>
    <row r="2493" spans="1:7" x14ac:dyDescent="0.25">
      <c r="A2493" s="17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IFERROR(VLOOKUP(B2493,'Diciembre 2023'!$B$2:$G$5822,4,0),"")</f>
        <v>BM</v>
      </c>
    </row>
    <row r="2494" spans="1:7" x14ac:dyDescent="0.25">
      <c r="A2494" s="17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IFERROR(VLOOKUP(B2494,'Diciembre 2023'!$B$2:$G$5822,4,0),"")</f>
        <v>BM</v>
      </c>
    </row>
    <row r="2495" spans="1:7" x14ac:dyDescent="0.25">
      <c r="A2495" s="17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IFERROR(VLOOKUP(B2495,'Diciembre 2023'!$B$2:$G$5822,4,0),"")</f>
        <v>ACTPETF</v>
      </c>
    </row>
    <row r="2496" spans="1:7" x14ac:dyDescent="0.25">
      <c r="A2496" s="17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IFERROR(VLOOKUP(B2496,'Diciembre 2023'!$B$2:$G$5822,4,0),"")</f>
        <v>ACTPETS</v>
      </c>
    </row>
    <row r="2497" spans="1:7" x14ac:dyDescent="0.25">
      <c r="A2497" s="17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IFERROR(VLOOKUP(B2497,'Diciembre 2023'!$B$2:$G$5822,4,0),"")</f>
        <v>ATAPET</v>
      </c>
    </row>
    <row r="2498" spans="1:7" x14ac:dyDescent="0.25">
      <c r="A2498" s="17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IFERROR(VLOOKUP(B2498,'Diciembre 2023'!$B$2:$G$5822,4,0),"")</f>
        <v>ATAPET</v>
      </c>
    </row>
    <row r="2499" spans="1:7" x14ac:dyDescent="0.25">
      <c r="A2499" s="17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IFERROR(VLOOKUP(B2499,'Diciembre 2023'!$B$2:$G$5822,4,0),"")</f>
        <v>BM</v>
      </c>
    </row>
    <row r="2500" spans="1:7" x14ac:dyDescent="0.25">
      <c r="A2500" s="17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IFERROR(VLOOKUP(B2500,'Diciembre 2023'!$B$2:$G$5822,4,0),"")</f>
        <v>ATAPET</v>
      </c>
    </row>
    <row r="2501" spans="1:7" x14ac:dyDescent="0.25">
      <c r="A2501" s="17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IFERROR(VLOOKUP(B2501,'Diciembre 2023'!$B$2:$G$5822,4,0),"")</f>
        <v>INACTBM</v>
      </c>
    </row>
    <row r="2502" spans="1:7" x14ac:dyDescent="0.25">
      <c r="A2502" s="17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IFERROR(VLOOKUP(B2502,'Diciembre 2023'!$B$2:$G$5822,4,0),"")</f>
        <v>DPAPET</v>
      </c>
    </row>
    <row r="2503" spans="1:7" x14ac:dyDescent="0.25">
      <c r="A2503" s="17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IFERROR(VLOOKUP(B2503,'Diciembre 2023'!$B$2:$G$5822,4,0),"")</f>
        <v>BM</v>
      </c>
    </row>
    <row r="2504" spans="1:7" x14ac:dyDescent="0.25">
      <c r="A2504" s="17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IFERROR(VLOOKUP(B2504,'Diciembre 2023'!$B$2:$G$5822,4,0),"")</f>
        <v>BM</v>
      </c>
    </row>
    <row r="2505" spans="1:7" x14ac:dyDescent="0.25">
      <c r="A2505" s="17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IFERROR(VLOOKUP(B2505,'Diciembre 2023'!$B$2:$G$5822,4,0),"")</f>
        <v>BM</v>
      </c>
    </row>
    <row r="2506" spans="1:7" x14ac:dyDescent="0.25">
      <c r="A2506" s="17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IFERROR(VLOOKUP(B2506,'Diciembre 2023'!$B$2:$G$5822,4,0),"")</f>
        <v>BM</v>
      </c>
    </row>
    <row r="2507" spans="1:7" x14ac:dyDescent="0.25">
      <c r="A2507" s="17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IFERROR(VLOOKUP(B2507,'Diciembre 2023'!$B$2:$G$5822,4,0),"")</f>
        <v>BM</v>
      </c>
    </row>
    <row r="2508" spans="1:7" x14ac:dyDescent="0.25">
      <c r="A2508" s="17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IFERROR(VLOOKUP(B2508,'Diciembre 2023'!$B$2:$G$5822,4,0),"")</f>
        <v>BM</v>
      </c>
    </row>
    <row r="2509" spans="1:7" x14ac:dyDescent="0.25">
      <c r="A2509" s="17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IFERROR(VLOOKUP(B2509,'Diciembre 2023'!$B$2:$G$5822,4,0),"")</f>
        <v>BM</v>
      </c>
    </row>
    <row r="2510" spans="1:7" x14ac:dyDescent="0.25">
      <c r="A2510" s="17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IFERROR(VLOOKUP(B2510,'Diciembre 2023'!$B$2:$G$5822,4,0),"")</f>
        <v>APA_PC</v>
      </c>
    </row>
    <row r="2511" spans="1:7" x14ac:dyDescent="0.25">
      <c r="A2511" s="17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IFERROR(VLOOKUP(B2511,'Diciembre 2023'!$B$2:$G$5822,4,0),"")</f>
        <v>DPAPET</v>
      </c>
    </row>
    <row r="2512" spans="1:7" x14ac:dyDescent="0.25">
      <c r="A2512" s="17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IFERROR(VLOOKUP(B2512,'Diciembre 2023'!$B$2:$G$5822,4,0),"")</f>
        <v>INACTBM</v>
      </c>
    </row>
    <row r="2513" spans="1:7" x14ac:dyDescent="0.25">
      <c r="A2513" s="17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IFERROR(VLOOKUP(B2513,'Diciembre 2023'!$B$2:$G$5822,4,0),"")</f>
        <v>BM</v>
      </c>
    </row>
    <row r="2514" spans="1:7" x14ac:dyDescent="0.25">
      <c r="A2514" s="17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IFERROR(VLOOKUP(B2514,'Diciembre 2023'!$B$2:$G$5822,4,0),"")</f>
        <v>ACTPETF</v>
      </c>
    </row>
    <row r="2515" spans="1:7" x14ac:dyDescent="0.25">
      <c r="A2515" s="17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IFERROR(VLOOKUP(B2515,'Diciembre 2023'!$B$2:$G$5822,4,0),"")</f>
        <v>BM</v>
      </c>
    </row>
    <row r="2516" spans="1:7" x14ac:dyDescent="0.25">
      <c r="A2516" s="17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IFERROR(VLOOKUP(B2516,'Diciembre 2023'!$B$2:$G$5822,4,0),"")</f>
        <v>BM</v>
      </c>
    </row>
    <row r="2517" spans="1:7" x14ac:dyDescent="0.25">
      <c r="A2517" s="17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IFERROR(VLOOKUP(B2517,'Diciembre 2023'!$B$2:$G$5822,4,0),"")</f>
        <v>ACTPETS</v>
      </c>
    </row>
    <row r="2518" spans="1:7" x14ac:dyDescent="0.25">
      <c r="A2518" s="17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IFERROR(VLOOKUP(B2518,'Diciembre 2023'!$B$2:$G$5822,4,0),"")</f>
        <v>BM</v>
      </c>
    </row>
    <row r="2519" spans="1:7" x14ac:dyDescent="0.25">
      <c r="A2519" s="17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IFERROR(VLOOKUP(B2519,'Diciembre 2023'!$B$2:$G$5822,4,0),"")</f>
        <v>ATAPET</v>
      </c>
    </row>
    <row r="2520" spans="1:7" x14ac:dyDescent="0.25">
      <c r="A2520" s="17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IFERROR(VLOOKUP(B2520,'Diciembre 2023'!$B$2:$G$5822,4,0),"")</f>
        <v>PL</v>
      </c>
    </row>
    <row r="2521" spans="1:7" x14ac:dyDescent="0.25">
      <c r="A2521" s="17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IFERROR(VLOOKUP(B2521,'Diciembre 2023'!$B$2:$G$5822,4,0),"")</f>
        <v>BM</v>
      </c>
    </row>
    <row r="2522" spans="1:7" x14ac:dyDescent="0.25">
      <c r="A2522" s="17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IFERROR(VLOOKUP(B2522,'Diciembre 2023'!$B$2:$G$5822,4,0),"")</f>
        <v>APA_PC</v>
      </c>
    </row>
    <row r="2523" spans="1:7" x14ac:dyDescent="0.25">
      <c r="A2523" s="17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IFERROR(VLOOKUP(B2523,'Diciembre 2023'!$B$2:$G$5822,4,0),"")</f>
        <v>DPAPET</v>
      </c>
    </row>
    <row r="2524" spans="1:7" x14ac:dyDescent="0.25">
      <c r="A2524" s="17"/>
      <c r="B2524" s="4" t="s">
        <v>2433</v>
      </c>
      <c r="C2524" s="4" t="s">
        <v>18</v>
      </c>
      <c r="D2524" s="4" t="s">
        <v>19</v>
      </c>
      <c r="E2524" s="4" t="s">
        <v>20</v>
      </c>
      <c r="F2524" s="4" t="s">
        <v>21</v>
      </c>
      <c r="G2524" s="5" t="str">
        <f>IFERROR(VLOOKUP(B2524,'Diciembre 2023'!$B$2:$G$5822,4,0),"")</f>
        <v>INACTPETS</v>
      </c>
    </row>
    <row r="2525" spans="1:7" x14ac:dyDescent="0.25">
      <c r="A2525" s="17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IFERROR(VLOOKUP(B2525,'Diciembre 2023'!$B$2:$G$5822,4,0),"")</f>
        <v>ATAPET</v>
      </c>
    </row>
    <row r="2526" spans="1:7" x14ac:dyDescent="0.25">
      <c r="A2526" s="17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IFERROR(VLOOKUP(B2526,'Diciembre 2023'!$B$2:$G$5822,4,0),"")</f>
        <v>ACTPETS</v>
      </c>
    </row>
    <row r="2527" spans="1:7" x14ac:dyDescent="0.25">
      <c r="A2527" s="17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IFERROR(VLOOKUP(B2527,'Diciembre 2023'!$B$2:$G$5822,4,0),"")</f>
        <v>BM</v>
      </c>
    </row>
    <row r="2528" spans="1:7" x14ac:dyDescent="0.25">
      <c r="A2528" s="17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IFERROR(VLOOKUP(B2528,'Diciembre 2023'!$B$2:$G$5822,4,0),"")</f>
        <v>BM</v>
      </c>
    </row>
    <row r="2529" spans="1:7" x14ac:dyDescent="0.25">
      <c r="A2529" s="17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IFERROR(VLOOKUP(B2529,'Diciembre 2023'!$B$2:$G$5822,4,0),"")</f>
        <v>INACTBM</v>
      </c>
    </row>
    <row r="2530" spans="1:7" x14ac:dyDescent="0.25">
      <c r="A2530" s="17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IFERROR(VLOOKUP(B2530,'Diciembre 2023'!$B$2:$G$5822,4,0),"")</f>
        <v>ATAPET</v>
      </c>
    </row>
    <row r="2531" spans="1:7" x14ac:dyDescent="0.25">
      <c r="A2531" s="17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IFERROR(VLOOKUP(B2531,'Diciembre 2023'!$B$2:$G$5822,4,0),"")</f>
        <v>APA_PC</v>
      </c>
    </row>
    <row r="2532" spans="1:7" x14ac:dyDescent="0.25">
      <c r="A2532" s="17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IFERROR(VLOOKUP(B2532,'Diciembre 2023'!$B$2:$G$5822,4,0),"")</f>
        <v>INACTPETF</v>
      </c>
    </row>
    <row r="2533" spans="1:7" x14ac:dyDescent="0.25">
      <c r="A2533" s="17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IFERROR(VLOOKUP(B2533,'Diciembre 2023'!$B$2:$G$5822,4,0),"")</f>
        <v>APA_PC</v>
      </c>
    </row>
    <row r="2534" spans="1:7" x14ac:dyDescent="0.25">
      <c r="A2534" s="17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IFERROR(VLOOKUP(B2534,'Diciembre 2023'!$B$2:$G$5822,4,0),"")</f>
        <v>APA_PC</v>
      </c>
    </row>
    <row r="2535" spans="1:7" x14ac:dyDescent="0.25">
      <c r="A2535" s="17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IFERROR(VLOOKUP(B2535,'Diciembre 2023'!$B$2:$G$5822,4,0),"")</f>
        <v>BM</v>
      </c>
    </row>
    <row r="2536" spans="1:7" x14ac:dyDescent="0.25">
      <c r="A2536" s="17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IFERROR(VLOOKUP(B2536,'Diciembre 2023'!$B$2:$G$5822,4,0),"")</f>
        <v>PL</v>
      </c>
    </row>
    <row r="2537" spans="1:7" x14ac:dyDescent="0.25">
      <c r="A2537" s="17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IFERROR(VLOOKUP(B2537,'Diciembre 2023'!$B$2:$G$5822,4,0),"")</f>
        <v>ACTPETS</v>
      </c>
    </row>
    <row r="2538" spans="1:7" x14ac:dyDescent="0.25">
      <c r="A2538" s="17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IFERROR(VLOOKUP(B2538,'Diciembre 2023'!$B$2:$G$5822,4,0),"")</f>
        <v>APA_PC</v>
      </c>
    </row>
    <row r="2539" spans="1:7" x14ac:dyDescent="0.25">
      <c r="A2539" s="17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IFERROR(VLOOKUP(B2539,'Diciembre 2023'!$B$2:$G$5822,4,0),"")</f>
        <v>ACTPETS</v>
      </c>
    </row>
    <row r="2540" spans="1:7" x14ac:dyDescent="0.25">
      <c r="A2540" s="17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IFERROR(VLOOKUP(B2540,'Diciembre 2023'!$B$2:$G$5822,4,0),"")</f>
        <v>ATAPET</v>
      </c>
    </row>
    <row r="2541" spans="1:7" x14ac:dyDescent="0.25">
      <c r="A2541" s="17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IFERROR(VLOOKUP(B2541,'Diciembre 2023'!$B$2:$G$5822,4,0),"")</f>
        <v>ACTPETS</v>
      </c>
    </row>
    <row r="2542" spans="1:7" x14ac:dyDescent="0.25">
      <c r="A2542" s="17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IFERROR(VLOOKUP(B2542,'Diciembre 2023'!$B$2:$G$5822,4,0),"")</f>
        <v>BM</v>
      </c>
    </row>
    <row r="2543" spans="1:7" x14ac:dyDescent="0.25">
      <c r="A2543" s="17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IFERROR(VLOOKUP(B2543,'Diciembre 2023'!$B$2:$G$5822,4,0),"")</f>
        <v>INACTBM</v>
      </c>
    </row>
    <row r="2544" spans="1:7" x14ac:dyDescent="0.25">
      <c r="A2544" s="17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IFERROR(VLOOKUP(B2544,'Diciembre 2023'!$B$2:$G$5822,4,0),"")</f>
        <v>ACTPETS</v>
      </c>
    </row>
    <row r="2545" spans="1:7" x14ac:dyDescent="0.25">
      <c r="A2545" s="17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IFERROR(VLOOKUP(B2545,'Diciembre 2023'!$B$2:$G$5822,4,0),"")</f>
        <v>ACTPETS</v>
      </c>
    </row>
    <row r="2546" spans="1:7" x14ac:dyDescent="0.25">
      <c r="A2546" s="17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IFERROR(VLOOKUP(B2546,'Diciembre 2023'!$B$2:$G$5822,4,0),"")</f>
        <v>ATAPET</v>
      </c>
    </row>
    <row r="2547" spans="1:7" x14ac:dyDescent="0.25">
      <c r="A2547" s="17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IFERROR(VLOOKUP(B2547,'Diciembre 2023'!$B$2:$G$5822,4,0),"")</f>
        <v>INACTINYA</v>
      </c>
    </row>
    <row r="2548" spans="1:7" x14ac:dyDescent="0.25">
      <c r="A2548" s="17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IFERROR(VLOOKUP(B2548,'Diciembre 2023'!$B$2:$G$5822,4,0),"")</f>
        <v>BM</v>
      </c>
    </row>
    <row r="2549" spans="1:7" x14ac:dyDescent="0.25">
      <c r="A2549" s="17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IFERROR(VLOOKUP(B2549,'Diciembre 2023'!$B$2:$G$5822,4,0),"")</f>
        <v>APA_PC</v>
      </c>
    </row>
    <row r="2550" spans="1:7" x14ac:dyDescent="0.25">
      <c r="A2550" s="17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IFERROR(VLOOKUP(B2550,'Diciembre 2023'!$B$2:$G$5822,4,0),"")</f>
        <v>BM</v>
      </c>
    </row>
    <row r="2551" spans="1:7" x14ac:dyDescent="0.25">
      <c r="A2551" s="17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IFERROR(VLOOKUP(B2551,'Diciembre 2023'!$B$2:$G$5822,4,0),"")</f>
        <v>INACTPL</v>
      </c>
    </row>
    <row r="2552" spans="1:7" x14ac:dyDescent="0.25">
      <c r="A2552" s="17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IFERROR(VLOOKUP(B2552,'Diciembre 2023'!$B$2:$G$5822,4,0),"")</f>
        <v>ACTPETF</v>
      </c>
    </row>
    <row r="2553" spans="1:7" x14ac:dyDescent="0.25">
      <c r="A2553" s="17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IFERROR(VLOOKUP(B2553,'Diciembre 2023'!$B$2:$G$5822,4,0),"")</f>
        <v>BM</v>
      </c>
    </row>
    <row r="2554" spans="1:7" x14ac:dyDescent="0.25">
      <c r="A2554" s="17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IFERROR(VLOOKUP(B2554,'Diciembre 2023'!$B$2:$G$5822,4,0),"")</f>
        <v>INACTBM</v>
      </c>
    </row>
    <row r="2555" spans="1:7" x14ac:dyDescent="0.25">
      <c r="A2555" s="17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IFERROR(VLOOKUP(B2555,'Diciembre 2023'!$B$2:$G$5822,4,0),"")</f>
        <v>APA_PC</v>
      </c>
    </row>
    <row r="2556" spans="1:7" x14ac:dyDescent="0.25">
      <c r="A2556" s="17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IFERROR(VLOOKUP(B2556,'Diciembre 2023'!$B$2:$G$5822,4,0),"")</f>
        <v>BM</v>
      </c>
    </row>
    <row r="2557" spans="1:7" x14ac:dyDescent="0.25">
      <c r="A2557" s="17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IFERROR(VLOOKUP(B2557,'Diciembre 2023'!$B$2:$G$5822,4,0),"")</f>
        <v>INACTINYA</v>
      </c>
    </row>
    <row r="2558" spans="1:7" x14ac:dyDescent="0.25">
      <c r="A2558" s="17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IFERROR(VLOOKUP(B2558,'Diciembre 2023'!$B$2:$G$5822,4,0),"")</f>
        <v>BM</v>
      </c>
    </row>
    <row r="2559" spans="1:7" x14ac:dyDescent="0.25">
      <c r="A2559" s="17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IFERROR(VLOOKUP(B2559,'Diciembre 2023'!$B$2:$G$5822,4,0),"")</f>
        <v>ATAPET</v>
      </c>
    </row>
    <row r="2560" spans="1:7" x14ac:dyDescent="0.25">
      <c r="A2560" s="17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IFERROR(VLOOKUP(B2560,'Diciembre 2023'!$B$2:$G$5822,4,0),"")</f>
        <v>APA_PC</v>
      </c>
    </row>
    <row r="2561" spans="1:7" x14ac:dyDescent="0.25">
      <c r="A2561" s="17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IFERROR(VLOOKUP(B2561,'Diciembre 2023'!$B$2:$G$5822,4,0),"")</f>
        <v>ACTPETS</v>
      </c>
    </row>
    <row r="2562" spans="1:7" x14ac:dyDescent="0.25">
      <c r="A2562" s="17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IFERROR(VLOOKUP(B2562,'Diciembre 2023'!$B$2:$G$5822,4,0),"")</f>
        <v>APA_PC</v>
      </c>
    </row>
    <row r="2563" spans="1:7" x14ac:dyDescent="0.25">
      <c r="A2563" s="17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IFERROR(VLOOKUP(B2563,'Diciembre 2023'!$B$2:$G$5822,4,0),"")</f>
        <v>ATAPET</v>
      </c>
    </row>
    <row r="2564" spans="1:7" x14ac:dyDescent="0.25">
      <c r="A2564" s="17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IFERROR(VLOOKUP(B2564,'Diciembre 2023'!$B$2:$G$5822,4,0),"")</f>
        <v>APA_PC</v>
      </c>
    </row>
    <row r="2565" spans="1:7" x14ac:dyDescent="0.25">
      <c r="A2565" s="17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IFERROR(VLOOKUP(B2565,'Diciembre 2023'!$B$2:$G$5822,4,0),"")</f>
        <v>ATAPET</v>
      </c>
    </row>
    <row r="2566" spans="1:7" x14ac:dyDescent="0.25">
      <c r="A2566" s="17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IFERROR(VLOOKUP(B2566,'Diciembre 2023'!$B$2:$G$5822,4,0),"")</f>
        <v>APA_CNPC</v>
      </c>
    </row>
    <row r="2567" spans="1:7" x14ac:dyDescent="0.25">
      <c r="A2567" s="17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IFERROR(VLOOKUP(B2567,'Diciembre 2023'!$B$2:$G$5822,4,0),"")</f>
        <v>BM</v>
      </c>
    </row>
    <row r="2568" spans="1:7" x14ac:dyDescent="0.25">
      <c r="A2568" s="17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IFERROR(VLOOKUP(B2568,'Diciembre 2023'!$B$2:$G$5822,4,0),"")</f>
        <v>ACTINYA</v>
      </c>
    </row>
    <row r="2569" spans="1:7" x14ac:dyDescent="0.25">
      <c r="A2569" s="17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IFERROR(VLOOKUP(B2569,'Diciembre 2023'!$B$2:$G$5822,4,0),"")</f>
        <v>BM</v>
      </c>
    </row>
    <row r="2570" spans="1:7" x14ac:dyDescent="0.25">
      <c r="A2570" s="17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IFERROR(VLOOKUP(B2570,'Diciembre 2023'!$B$2:$G$5822,4,0),"")</f>
        <v>ATAPET</v>
      </c>
    </row>
    <row r="2571" spans="1:7" x14ac:dyDescent="0.25">
      <c r="A2571" s="17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IFERROR(VLOOKUP(B2571,'Diciembre 2023'!$B$2:$G$5822,4,0),"")</f>
        <v>INACTINYA</v>
      </c>
    </row>
    <row r="2572" spans="1:7" x14ac:dyDescent="0.25">
      <c r="A2572" s="17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IFERROR(VLOOKUP(B2572,'Diciembre 2023'!$B$2:$G$5822,4,0),"")</f>
        <v>BM</v>
      </c>
    </row>
    <row r="2573" spans="1:7" x14ac:dyDescent="0.25">
      <c r="A2573" s="17"/>
      <c r="B2573" s="4" t="s">
        <v>2483</v>
      </c>
      <c r="C2573" s="4" t="s">
        <v>109</v>
      </c>
      <c r="D2573" s="4" t="s">
        <v>110</v>
      </c>
      <c r="E2573" s="4" t="s">
        <v>111</v>
      </c>
      <c r="F2573" s="4" t="s">
        <v>112</v>
      </c>
      <c r="G2573" s="5" t="str">
        <f>IFERROR(VLOOKUP(B2573,'Diciembre 2023'!$B$2:$G$5822,4,0),"")</f>
        <v>ACTINYA</v>
      </c>
    </row>
    <row r="2574" spans="1:7" x14ac:dyDescent="0.25">
      <c r="A2574" s="17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IFERROR(VLOOKUP(B2574,'Diciembre 2023'!$B$2:$G$5822,4,0),"")</f>
        <v>INACTINYA</v>
      </c>
    </row>
    <row r="2575" spans="1:7" x14ac:dyDescent="0.25">
      <c r="A2575" s="17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IFERROR(VLOOKUP(B2575,'Diciembre 2023'!$B$2:$G$5822,4,0),"")</f>
        <v>INACTINYA</v>
      </c>
    </row>
    <row r="2576" spans="1:7" x14ac:dyDescent="0.25">
      <c r="A2576" s="17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IFERROR(VLOOKUP(B2576,'Diciembre 2023'!$B$2:$G$5822,4,0),"")</f>
        <v>BM</v>
      </c>
    </row>
    <row r="2577" spans="1:7" x14ac:dyDescent="0.25">
      <c r="A2577" s="17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IFERROR(VLOOKUP(B2577,'Diciembre 2023'!$B$2:$G$5822,4,0),"")</f>
        <v>INACTINYA</v>
      </c>
    </row>
    <row r="2578" spans="1:7" x14ac:dyDescent="0.25">
      <c r="A2578" s="17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IFERROR(VLOOKUP(B2578,'Diciembre 2023'!$B$2:$G$5822,4,0),"")</f>
        <v>ATAPET</v>
      </c>
    </row>
    <row r="2579" spans="1:7" x14ac:dyDescent="0.25">
      <c r="A2579" s="17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IFERROR(VLOOKUP(B2579,'Diciembre 2023'!$B$2:$G$5822,4,0),"")</f>
        <v>BM</v>
      </c>
    </row>
    <row r="2580" spans="1:7" x14ac:dyDescent="0.25">
      <c r="A2580" s="17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IFERROR(VLOOKUP(B2580,'Diciembre 2023'!$B$2:$G$5822,4,0),"")</f>
        <v>ACTPETS</v>
      </c>
    </row>
    <row r="2581" spans="1:7" x14ac:dyDescent="0.25">
      <c r="A2581" s="17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IFERROR(VLOOKUP(B2581,'Diciembre 2023'!$B$2:$G$5822,4,0),"")</f>
        <v>APA_PC</v>
      </c>
    </row>
    <row r="2582" spans="1:7" x14ac:dyDescent="0.25">
      <c r="A2582" s="17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IFERROR(VLOOKUP(B2582,'Diciembre 2023'!$B$2:$G$5822,4,0),"")</f>
        <v>ATAPET</v>
      </c>
    </row>
    <row r="2583" spans="1:7" x14ac:dyDescent="0.25">
      <c r="A2583" s="17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IFERROR(VLOOKUP(B2583,'Diciembre 2023'!$B$2:$G$5822,4,0),"")</f>
        <v>APA_PC</v>
      </c>
    </row>
    <row r="2584" spans="1:7" x14ac:dyDescent="0.25">
      <c r="A2584" s="17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IFERROR(VLOOKUP(B2584,'Diciembre 2023'!$B$2:$G$5822,4,0),"")</f>
        <v>APA_PC</v>
      </c>
    </row>
    <row r="2585" spans="1:7" x14ac:dyDescent="0.25">
      <c r="A2585" s="17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IFERROR(VLOOKUP(B2585,'Diciembre 2023'!$B$2:$G$5822,4,0),"")</f>
        <v>APA_PC</v>
      </c>
    </row>
    <row r="2586" spans="1:7" x14ac:dyDescent="0.25">
      <c r="A2586" s="17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IFERROR(VLOOKUP(B2586,'Diciembre 2023'!$B$2:$G$5822,4,0),"")</f>
        <v>ATAPET</v>
      </c>
    </row>
    <row r="2587" spans="1:7" x14ac:dyDescent="0.25">
      <c r="A2587" s="17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IFERROR(VLOOKUP(B2587,'Diciembre 2023'!$B$2:$G$5822,4,0),"")</f>
        <v>BM</v>
      </c>
    </row>
    <row r="2588" spans="1:7" x14ac:dyDescent="0.25">
      <c r="A2588" s="17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IFERROR(VLOOKUP(B2588,'Diciembre 2023'!$B$2:$G$5822,4,0),"")</f>
        <v>ACTPETS</v>
      </c>
    </row>
    <row r="2589" spans="1:7" x14ac:dyDescent="0.25">
      <c r="A2589" s="17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IFERROR(VLOOKUP(B2589,'Diciembre 2023'!$B$2:$G$5822,4,0),"")</f>
        <v>ACTPETF</v>
      </c>
    </row>
    <row r="2590" spans="1:7" x14ac:dyDescent="0.25">
      <c r="A2590" s="17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IFERROR(VLOOKUP(B2590,'Diciembre 2023'!$B$2:$G$5822,4,0),"")</f>
        <v>BM</v>
      </c>
    </row>
    <row r="2591" spans="1:7" x14ac:dyDescent="0.25">
      <c r="A2591" s="17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IFERROR(VLOOKUP(B2591,'Diciembre 2023'!$B$2:$G$5822,4,0),"")</f>
        <v>INACTBM</v>
      </c>
    </row>
    <row r="2592" spans="1:7" x14ac:dyDescent="0.25">
      <c r="A2592" s="17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IFERROR(VLOOKUP(B2592,'Diciembre 2023'!$B$2:$G$5822,4,0),"")</f>
        <v>ATAPET</v>
      </c>
    </row>
    <row r="2593" spans="1:7" x14ac:dyDescent="0.25">
      <c r="A2593" s="17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IFERROR(VLOOKUP(B2593,'Diciembre 2023'!$B$2:$G$5822,4,0),"")</f>
        <v>BM</v>
      </c>
    </row>
    <row r="2594" spans="1:7" x14ac:dyDescent="0.25">
      <c r="A2594" s="17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IFERROR(VLOOKUP(B2594,'Diciembre 2023'!$B$2:$G$5822,4,0),"")</f>
        <v>BM</v>
      </c>
    </row>
    <row r="2595" spans="1:7" x14ac:dyDescent="0.25">
      <c r="A2595" s="17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IFERROR(VLOOKUP(B2595,'Diciembre 2023'!$B$2:$G$5822,4,0),"")</f>
        <v>BM</v>
      </c>
    </row>
    <row r="2596" spans="1:7" x14ac:dyDescent="0.25">
      <c r="A2596" s="17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IFERROR(VLOOKUP(B2596,'Diciembre 2023'!$B$2:$G$5822,4,0),"")</f>
        <v>ATAPET</v>
      </c>
    </row>
    <row r="2597" spans="1:7" x14ac:dyDescent="0.25">
      <c r="A2597" s="17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IFERROR(VLOOKUP(B2597,'Diciembre 2023'!$B$2:$G$5822,4,0),"")</f>
        <v>ACTPETS</v>
      </c>
    </row>
    <row r="2598" spans="1:7" x14ac:dyDescent="0.25">
      <c r="A2598" s="17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IFERROR(VLOOKUP(B2598,'Diciembre 2023'!$B$2:$G$5822,4,0),"")</f>
        <v>BM</v>
      </c>
    </row>
    <row r="2599" spans="1:7" x14ac:dyDescent="0.25">
      <c r="A2599" s="17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IFERROR(VLOOKUP(B2599,'Diciembre 2023'!$B$2:$G$5822,4,0),"")</f>
        <v>ATAINY</v>
      </c>
    </row>
    <row r="2600" spans="1:7" x14ac:dyDescent="0.25">
      <c r="A2600" s="17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IFERROR(VLOOKUP(B2600,'Diciembre 2023'!$B$2:$G$5822,4,0),"")</f>
        <v>APA_PC</v>
      </c>
    </row>
    <row r="2601" spans="1:7" x14ac:dyDescent="0.25">
      <c r="A2601" s="17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IFERROR(VLOOKUP(B2601,'Diciembre 2023'!$B$2:$G$5822,4,0),"")</f>
        <v>ACTPETS</v>
      </c>
    </row>
    <row r="2602" spans="1:7" x14ac:dyDescent="0.25">
      <c r="A2602" s="17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IFERROR(VLOOKUP(B2602,'Diciembre 2023'!$B$2:$G$5822,4,0),"")</f>
        <v>ATAPET</v>
      </c>
    </row>
    <row r="2603" spans="1:7" x14ac:dyDescent="0.25">
      <c r="A2603" s="17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IFERROR(VLOOKUP(B2603,'Diciembre 2023'!$B$2:$G$5822,4,0),"")</f>
        <v>ATAPET</v>
      </c>
    </row>
    <row r="2604" spans="1:7" x14ac:dyDescent="0.25">
      <c r="A2604" s="17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IFERROR(VLOOKUP(B2604,'Diciembre 2023'!$B$2:$G$5822,4,0),"")</f>
        <v>APA_PC</v>
      </c>
    </row>
    <row r="2605" spans="1:7" x14ac:dyDescent="0.25">
      <c r="A2605" s="17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IFERROR(VLOOKUP(B2605,'Diciembre 2023'!$B$2:$G$5822,4,0),"")</f>
        <v>ACTINYA</v>
      </c>
    </row>
    <row r="2606" spans="1:7" x14ac:dyDescent="0.25">
      <c r="A2606" s="17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IFERROR(VLOOKUP(B2606,'Diciembre 2023'!$B$2:$G$5822,4,0),"")</f>
        <v>APA_PC</v>
      </c>
    </row>
    <row r="2607" spans="1:7" x14ac:dyDescent="0.25">
      <c r="A2607" s="17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IFERROR(VLOOKUP(B2607,'Diciembre 2023'!$B$2:$G$5822,4,0),"")</f>
        <v>APA_PC</v>
      </c>
    </row>
    <row r="2608" spans="1:7" x14ac:dyDescent="0.25">
      <c r="A2608" s="17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IFERROR(VLOOKUP(B2608,'Diciembre 2023'!$B$2:$G$5822,4,0),"")</f>
        <v>DPAPET</v>
      </c>
    </row>
    <row r="2609" spans="1:7" x14ac:dyDescent="0.25">
      <c r="A2609" s="17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IFERROR(VLOOKUP(B2609,'Diciembre 2023'!$B$2:$G$5822,4,0),"")</f>
        <v>BM</v>
      </c>
    </row>
    <row r="2610" spans="1:7" x14ac:dyDescent="0.25">
      <c r="A2610" s="17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IFERROR(VLOOKUP(B2610,'Diciembre 2023'!$B$2:$G$5822,4,0),"")</f>
        <v>APA_PC</v>
      </c>
    </row>
    <row r="2611" spans="1:7" x14ac:dyDescent="0.25">
      <c r="A2611" s="17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IFERROR(VLOOKUP(B2611,'Diciembre 2023'!$B$2:$G$5822,4,0),"")</f>
        <v>BM</v>
      </c>
    </row>
    <row r="2612" spans="1:7" x14ac:dyDescent="0.25">
      <c r="A2612" s="17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IFERROR(VLOOKUP(B2612,'Diciembre 2023'!$B$2:$G$5822,4,0),"")</f>
        <v>INACTBO</v>
      </c>
    </row>
    <row r="2613" spans="1:7" x14ac:dyDescent="0.25">
      <c r="A2613" s="17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IFERROR(VLOOKUP(B2613,'Diciembre 2023'!$B$2:$G$5822,4,0),"")</f>
        <v>ATAPET</v>
      </c>
    </row>
    <row r="2614" spans="1:7" x14ac:dyDescent="0.25">
      <c r="A2614" s="17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IFERROR(VLOOKUP(B2614,'Diciembre 2023'!$B$2:$G$5822,4,0),"")</f>
        <v>ACTPETF</v>
      </c>
    </row>
    <row r="2615" spans="1:7" x14ac:dyDescent="0.25">
      <c r="A2615" s="17"/>
      <c r="B2615" s="4" t="s">
        <v>2525</v>
      </c>
      <c r="C2615" s="4" t="s">
        <v>549</v>
      </c>
      <c r="D2615" s="4" t="s">
        <v>549</v>
      </c>
      <c r="E2615" s="4" t="s">
        <v>549</v>
      </c>
      <c r="F2615" s="4" t="s">
        <v>1090</v>
      </c>
      <c r="G2615" s="5" t="str">
        <f>IFERROR(VLOOKUP(B2615,'Diciembre 2023'!$B$2:$G$5822,4,0),"")</f>
        <v>PL</v>
      </c>
    </row>
    <row r="2616" spans="1:7" x14ac:dyDescent="0.25">
      <c r="A2616" s="17"/>
      <c r="B2616" s="4" t="s">
        <v>2526</v>
      </c>
      <c r="C2616" s="4" t="s">
        <v>14</v>
      </c>
      <c r="D2616" s="4" t="s">
        <v>15</v>
      </c>
      <c r="E2616" s="4" t="s">
        <v>16</v>
      </c>
      <c r="F2616" s="4" t="s">
        <v>14</v>
      </c>
      <c r="G2616" s="5" t="str">
        <f>IFERROR(VLOOKUP(B2616,'Diciembre 2023'!$B$2:$G$5822,4,0),"")</f>
        <v>ATAPET</v>
      </c>
    </row>
    <row r="2617" spans="1:7" x14ac:dyDescent="0.25">
      <c r="A2617" s="17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IFERROR(VLOOKUP(B2617,'Diciembre 2023'!$B$2:$G$5822,4,0),"")</f>
        <v>INACTBM</v>
      </c>
    </row>
    <row r="2618" spans="1:7" x14ac:dyDescent="0.25">
      <c r="A2618" s="17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IFERROR(VLOOKUP(B2618,'Diciembre 2023'!$B$2:$G$5822,4,0),"")</f>
        <v>ACTPETF</v>
      </c>
    </row>
    <row r="2619" spans="1:7" x14ac:dyDescent="0.25">
      <c r="A2619" s="17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IFERROR(VLOOKUP(B2619,'Diciembre 2023'!$B$2:$G$5822,4,0),"")</f>
        <v>BM</v>
      </c>
    </row>
    <row r="2620" spans="1:7" x14ac:dyDescent="0.25">
      <c r="A2620" s="17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IFERROR(VLOOKUP(B2620,'Diciembre 2023'!$B$2:$G$5822,4,0),"")</f>
        <v>INACTBM</v>
      </c>
    </row>
    <row r="2621" spans="1:7" x14ac:dyDescent="0.25">
      <c r="A2621" s="17"/>
      <c r="B2621" s="4" t="s">
        <v>2531</v>
      </c>
      <c r="C2621" s="4" t="s">
        <v>35</v>
      </c>
      <c r="D2621" s="4" t="s">
        <v>35</v>
      </c>
      <c r="E2621" s="4" t="s">
        <v>57</v>
      </c>
      <c r="F2621" s="4" t="s">
        <v>1822</v>
      </c>
      <c r="G2621" s="5" t="str">
        <f>IFERROR(VLOOKUP(B2621,'Diciembre 2023'!$B$2:$G$5822,4,0),"")</f>
        <v>INACTBM</v>
      </c>
    </row>
    <row r="2622" spans="1:7" x14ac:dyDescent="0.25">
      <c r="A2622" s="17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IFERROR(VLOOKUP(B2622,'Diciembre 2023'!$B$2:$G$5822,4,0),"")</f>
        <v>BM</v>
      </c>
    </row>
    <row r="2623" spans="1:7" x14ac:dyDescent="0.25">
      <c r="A2623" s="17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IFERROR(VLOOKUP(B2623,'Diciembre 2023'!$B$2:$G$5822,4,0),"")</f>
        <v>INACTPETF</v>
      </c>
    </row>
    <row r="2624" spans="1:7" x14ac:dyDescent="0.25">
      <c r="A2624" s="17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IFERROR(VLOOKUP(B2624,'Diciembre 2023'!$B$2:$G$5822,4,0),"")</f>
        <v>INACTPETS</v>
      </c>
    </row>
    <row r="2625" spans="1:7" x14ac:dyDescent="0.25">
      <c r="A2625" s="17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IFERROR(VLOOKUP(B2625,'Diciembre 2023'!$B$2:$G$5822,4,0),"")</f>
        <v>INACTPETS</v>
      </c>
    </row>
    <row r="2626" spans="1:7" x14ac:dyDescent="0.25">
      <c r="A2626" s="17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IFERROR(VLOOKUP(B2626,'Diciembre 2023'!$B$2:$G$5822,4,0),"")</f>
        <v>BM</v>
      </c>
    </row>
    <row r="2627" spans="1:7" x14ac:dyDescent="0.25">
      <c r="A2627" s="17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IFERROR(VLOOKUP(B2627,'Diciembre 2023'!$B$2:$G$5822,4,0),"")</f>
        <v>APA_CNPC</v>
      </c>
    </row>
    <row r="2628" spans="1:7" x14ac:dyDescent="0.25">
      <c r="A2628" s="17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IFERROR(VLOOKUP(B2628,'Diciembre 2023'!$B$2:$G$5822,4,0),"")</f>
        <v>ATAPET</v>
      </c>
    </row>
    <row r="2629" spans="1:7" x14ac:dyDescent="0.25">
      <c r="A2629" s="17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IFERROR(VLOOKUP(B2629,'Diciembre 2023'!$B$2:$G$5822,4,0),"")</f>
        <v>ACTPETS</v>
      </c>
    </row>
    <row r="2630" spans="1:7" x14ac:dyDescent="0.25">
      <c r="A2630" s="17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IFERROR(VLOOKUP(B2630,'Diciembre 2023'!$B$2:$G$5822,4,0),"")</f>
        <v>BM</v>
      </c>
    </row>
    <row r="2631" spans="1:7" x14ac:dyDescent="0.25">
      <c r="A2631" s="17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IFERROR(VLOOKUP(B2631,'Diciembre 2023'!$B$2:$G$5822,4,0),"")</f>
        <v>ATAPET</v>
      </c>
    </row>
    <row r="2632" spans="1:7" x14ac:dyDescent="0.25">
      <c r="A2632" s="17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IFERROR(VLOOKUP(B2632,'Diciembre 2023'!$B$2:$G$5822,4,0),"")</f>
        <v>ATAPET</v>
      </c>
    </row>
    <row r="2633" spans="1:7" x14ac:dyDescent="0.25">
      <c r="A2633" s="17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IFERROR(VLOOKUP(B2633,'Diciembre 2023'!$B$2:$G$5822,4,0),"")</f>
        <v>ACTINYA</v>
      </c>
    </row>
    <row r="2634" spans="1:7" x14ac:dyDescent="0.25">
      <c r="A2634" s="17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IFERROR(VLOOKUP(B2634,'Diciembre 2023'!$B$2:$G$5822,4,0),"")</f>
        <v>BM</v>
      </c>
    </row>
    <row r="2635" spans="1:7" x14ac:dyDescent="0.25">
      <c r="A2635" s="17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IFERROR(VLOOKUP(B2635,'Diciembre 2023'!$B$2:$G$5822,4,0),"")</f>
        <v>BM</v>
      </c>
    </row>
    <row r="2636" spans="1:7" x14ac:dyDescent="0.25">
      <c r="A2636" s="17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IFERROR(VLOOKUP(B2636,'Diciembre 2023'!$B$2:$G$5822,4,0),"")</f>
        <v>APA_PC</v>
      </c>
    </row>
    <row r="2637" spans="1:7" x14ac:dyDescent="0.25">
      <c r="A2637" s="17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IFERROR(VLOOKUP(B2637,'Diciembre 2023'!$B$2:$G$5822,4,0),"")</f>
        <v>ATAPET</v>
      </c>
    </row>
    <row r="2638" spans="1:7" x14ac:dyDescent="0.25">
      <c r="A2638" s="17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IFERROR(VLOOKUP(B2638,'Diciembre 2023'!$B$2:$G$5822,4,0),"")</f>
        <v>ATAPET</v>
      </c>
    </row>
    <row r="2639" spans="1:7" x14ac:dyDescent="0.25">
      <c r="A2639" s="17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IFERROR(VLOOKUP(B2639,'Diciembre 2023'!$B$2:$G$5822,4,0),"")</f>
        <v>APA_CNPC</v>
      </c>
    </row>
    <row r="2640" spans="1:7" x14ac:dyDescent="0.25">
      <c r="A2640" s="17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IFERROR(VLOOKUP(B2640,'Diciembre 2023'!$B$2:$G$5822,4,0),"")</f>
        <v>BM</v>
      </c>
    </row>
    <row r="2641" spans="1:7" x14ac:dyDescent="0.25">
      <c r="A2641" s="17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IFERROR(VLOOKUP(B2641,'Diciembre 2023'!$B$2:$G$5822,4,0),"")</f>
        <v>ACTINYA</v>
      </c>
    </row>
    <row r="2642" spans="1:7" x14ac:dyDescent="0.25">
      <c r="A2642" s="17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IFERROR(VLOOKUP(B2642,'Diciembre 2023'!$B$2:$G$5822,4,0),"")</f>
        <v>ATAPET</v>
      </c>
    </row>
    <row r="2643" spans="1:7" x14ac:dyDescent="0.25">
      <c r="A2643" s="17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IFERROR(VLOOKUP(B2643,'Diciembre 2023'!$B$2:$G$5822,4,0),"")</f>
        <v>INACTBM</v>
      </c>
    </row>
    <row r="2644" spans="1:7" x14ac:dyDescent="0.25">
      <c r="A2644" s="17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IFERROR(VLOOKUP(B2644,'Diciembre 2023'!$B$2:$G$5822,4,0),"")</f>
        <v>BM</v>
      </c>
    </row>
    <row r="2645" spans="1:7" x14ac:dyDescent="0.25">
      <c r="A2645" s="17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IFERROR(VLOOKUP(B2645,'Diciembre 2023'!$B$2:$G$5822,4,0),"")</f>
        <v>BM</v>
      </c>
    </row>
    <row r="2646" spans="1:7" x14ac:dyDescent="0.25">
      <c r="A2646" s="17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IFERROR(VLOOKUP(B2646,'Diciembre 2023'!$B$2:$G$5822,4,0),"")</f>
        <v>ATAPET</v>
      </c>
    </row>
    <row r="2647" spans="1:7" x14ac:dyDescent="0.25">
      <c r="A2647" s="17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IFERROR(VLOOKUP(B2647,'Diciembre 2023'!$B$2:$G$5822,4,0),"")</f>
        <v>APA_CNPC</v>
      </c>
    </row>
    <row r="2648" spans="1:7" x14ac:dyDescent="0.25">
      <c r="A2648" s="17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IFERROR(VLOOKUP(B2648,'Diciembre 2023'!$B$2:$G$5822,4,0),"")</f>
        <v>ATAPET</v>
      </c>
    </row>
    <row r="2649" spans="1:7" x14ac:dyDescent="0.25">
      <c r="A2649" s="17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IFERROR(VLOOKUP(B2649,'Diciembre 2023'!$B$2:$G$5822,4,0),"")</f>
        <v>INACTBM</v>
      </c>
    </row>
    <row r="2650" spans="1:7" x14ac:dyDescent="0.25">
      <c r="A2650" s="17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IFERROR(VLOOKUP(B2650,'Diciembre 2023'!$B$2:$G$5822,4,0),"")</f>
        <v>ACTINYA</v>
      </c>
    </row>
    <row r="2651" spans="1:7" x14ac:dyDescent="0.25">
      <c r="A2651" s="17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IFERROR(VLOOKUP(B2651,'Diciembre 2023'!$B$2:$G$5822,4,0),"")</f>
        <v>INACTPETF</v>
      </c>
    </row>
    <row r="2652" spans="1:7" x14ac:dyDescent="0.25">
      <c r="A2652" s="17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IFERROR(VLOOKUP(B2652,'Diciembre 2023'!$B$2:$G$5822,4,0),"")</f>
        <v>BM</v>
      </c>
    </row>
    <row r="2653" spans="1:7" x14ac:dyDescent="0.25">
      <c r="A2653" s="17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IFERROR(VLOOKUP(B2653,'Diciembre 2023'!$B$2:$G$5822,4,0),"")</f>
        <v>DPAPET</v>
      </c>
    </row>
    <row r="2654" spans="1:7" x14ac:dyDescent="0.25">
      <c r="A2654" s="17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IFERROR(VLOOKUP(B2654,'Diciembre 2023'!$B$2:$G$5822,4,0),"")</f>
        <v>BM</v>
      </c>
    </row>
    <row r="2655" spans="1:7" x14ac:dyDescent="0.25">
      <c r="A2655" s="17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IFERROR(VLOOKUP(B2655,'Diciembre 2023'!$B$2:$G$5822,4,0),"")</f>
        <v>BM</v>
      </c>
    </row>
    <row r="2656" spans="1:7" x14ac:dyDescent="0.25">
      <c r="A2656" s="17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IFERROR(VLOOKUP(B2656,'Diciembre 2023'!$B$2:$G$5822,4,0),"")</f>
        <v>INACTBM</v>
      </c>
    </row>
    <row r="2657" spans="1:7" x14ac:dyDescent="0.25">
      <c r="A2657" s="17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IFERROR(VLOOKUP(B2657,'Diciembre 2023'!$B$2:$G$5822,4,0),"")</f>
        <v>ATAPET</v>
      </c>
    </row>
    <row r="2658" spans="1:7" x14ac:dyDescent="0.25">
      <c r="A2658" s="17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IFERROR(VLOOKUP(B2658,'Diciembre 2023'!$B$2:$G$5822,4,0),"")</f>
        <v>BM</v>
      </c>
    </row>
    <row r="2659" spans="1:7" x14ac:dyDescent="0.25">
      <c r="A2659" s="17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IFERROR(VLOOKUP(B2659,'Diciembre 2023'!$B$2:$G$5822,4,0),"")</f>
        <v>BM</v>
      </c>
    </row>
    <row r="2660" spans="1:7" x14ac:dyDescent="0.25">
      <c r="A2660" s="17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IFERROR(VLOOKUP(B2660,'Diciembre 2023'!$B$2:$G$5822,4,0),"")</f>
        <v>ACTPETS</v>
      </c>
    </row>
    <row r="2661" spans="1:7" x14ac:dyDescent="0.25">
      <c r="A2661" s="17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IFERROR(VLOOKUP(B2661,'Diciembre 2023'!$B$2:$G$5822,4,0),"")</f>
        <v>BM</v>
      </c>
    </row>
    <row r="2662" spans="1:7" x14ac:dyDescent="0.25">
      <c r="A2662" s="17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IFERROR(VLOOKUP(B2662,'Diciembre 2023'!$B$2:$G$5822,4,0),"")</f>
        <v>ACTPETS</v>
      </c>
    </row>
    <row r="2663" spans="1:7" x14ac:dyDescent="0.25">
      <c r="A2663" s="17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IFERROR(VLOOKUP(B2663,'Diciembre 2023'!$B$2:$G$5822,4,0),"")</f>
        <v>BM</v>
      </c>
    </row>
    <row r="2664" spans="1:7" x14ac:dyDescent="0.25">
      <c r="A2664" s="17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IFERROR(VLOOKUP(B2664,'Diciembre 2023'!$B$2:$G$5822,4,0),"")</f>
        <v>ACTINYA</v>
      </c>
    </row>
    <row r="2665" spans="1:7" x14ac:dyDescent="0.25">
      <c r="A2665" s="17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IFERROR(VLOOKUP(B2665,'Diciembre 2023'!$B$2:$G$5822,4,0),"")</f>
        <v>ACTPETS</v>
      </c>
    </row>
    <row r="2666" spans="1:7" x14ac:dyDescent="0.25">
      <c r="A2666" s="17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IFERROR(VLOOKUP(B2666,'Diciembre 2023'!$B$2:$G$5822,4,0),"")</f>
        <v>BM</v>
      </c>
    </row>
    <row r="2667" spans="1:7" x14ac:dyDescent="0.25">
      <c r="A2667" s="17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IFERROR(VLOOKUP(B2667,'Diciembre 2023'!$B$2:$G$5822,4,0),"")</f>
        <v>ACTPETF</v>
      </c>
    </row>
    <row r="2668" spans="1:7" x14ac:dyDescent="0.25">
      <c r="A2668" s="17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IFERROR(VLOOKUP(B2668,'Diciembre 2023'!$B$2:$G$5822,4,0),"")</f>
        <v>ACTPETS</v>
      </c>
    </row>
    <row r="2669" spans="1:7" x14ac:dyDescent="0.25">
      <c r="A2669" s="17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IFERROR(VLOOKUP(B2669,'Diciembre 2023'!$B$2:$G$5822,4,0),"")</f>
        <v>BM</v>
      </c>
    </row>
    <row r="2670" spans="1:7" x14ac:dyDescent="0.25">
      <c r="A2670" s="17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IFERROR(VLOOKUP(B2670,'Diciembre 2023'!$B$2:$G$5822,4,0),"")</f>
        <v>ACTINYA</v>
      </c>
    </row>
    <row r="2671" spans="1:7" x14ac:dyDescent="0.25">
      <c r="A2671" s="17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IFERROR(VLOOKUP(B2671,'Diciembre 2023'!$B$2:$G$5822,4,0),"")</f>
        <v>ACTPETS</v>
      </c>
    </row>
    <row r="2672" spans="1:7" x14ac:dyDescent="0.25">
      <c r="A2672" s="17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IFERROR(VLOOKUP(B2672,'Diciembre 2023'!$B$2:$G$5822,4,0),"")</f>
        <v>ATAPET</v>
      </c>
    </row>
    <row r="2673" spans="1:7" x14ac:dyDescent="0.25">
      <c r="A2673" s="17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IFERROR(VLOOKUP(B2673,'Diciembre 2023'!$B$2:$G$5822,4,0),"")</f>
        <v>APA_PC</v>
      </c>
    </row>
    <row r="2674" spans="1:7" x14ac:dyDescent="0.25">
      <c r="A2674" s="17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IFERROR(VLOOKUP(B2674,'Diciembre 2023'!$B$2:$G$5822,4,0),"")</f>
        <v>APA_PC</v>
      </c>
    </row>
    <row r="2675" spans="1:7" x14ac:dyDescent="0.25">
      <c r="A2675" s="17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IFERROR(VLOOKUP(B2675,'Diciembre 2023'!$B$2:$G$5822,4,0),"")</f>
        <v>ATAPET</v>
      </c>
    </row>
    <row r="2676" spans="1:7" x14ac:dyDescent="0.25">
      <c r="A2676" s="17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IFERROR(VLOOKUP(B2676,'Diciembre 2023'!$B$2:$G$5822,4,0),"")</f>
        <v>ATAPET</v>
      </c>
    </row>
    <row r="2677" spans="1:7" x14ac:dyDescent="0.25">
      <c r="A2677" s="17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IFERROR(VLOOKUP(B2677,'Diciembre 2023'!$B$2:$G$5822,4,0),"")</f>
        <v>INACTBM</v>
      </c>
    </row>
    <row r="2678" spans="1:7" x14ac:dyDescent="0.25">
      <c r="A2678" s="17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IFERROR(VLOOKUP(B2678,'Diciembre 2023'!$B$2:$G$5822,4,0),"")</f>
        <v>APA_CNPC</v>
      </c>
    </row>
    <row r="2679" spans="1:7" x14ac:dyDescent="0.25">
      <c r="A2679" s="17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IFERROR(VLOOKUP(B2679,'Diciembre 2023'!$B$2:$G$5822,4,0),"")</f>
        <v>INACTPETS</v>
      </c>
    </row>
    <row r="2680" spans="1:7" x14ac:dyDescent="0.25">
      <c r="A2680" s="17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tr">
        <f>IFERROR(VLOOKUP(B2680,'Diciembre 2023'!$B$2:$G$5822,4,0),"")</f>
        <v>INACTPETF</v>
      </c>
    </row>
    <row r="2681" spans="1:7" x14ac:dyDescent="0.25">
      <c r="A2681" s="17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IFERROR(VLOOKUP(B2681,'Diciembre 2023'!$B$2:$G$5822,4,0),"")</f>
        <v>APA_PC</v>
      </c>
    </row>
    <row r="2682" spans="1:7" x14ac:dyDescent="0.25">
      <c r="A2682" s="17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IFERROR(VLOOKUP(B2682,'Diciembre 2023'!$B$2:$G$5822,4,0),"")</f>
        <v>ATAPET</v>
      </c>
    </row>
    <row r="2683" spans="1:7" x14ac:dyDescent="0.25">
      <c r="A2683" s="17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IFERROR(VLOOKUP(B2683,'Diciembre 2023'!$B$2:$G$5822,4,0),"")</f>
        <v>BM</v>
      </c>
    </row>
    <row r="2684" spans="1:7" x14ac:dyDescent="0.25">
      <c r="A2684" s="17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IFERROR(VLOOKUP(B2684,'Diciembre 2023'!$B$2:$G$5822,4,0),"")</f>
        <v>BM</v>
      </c>
    </row>
    <row r="2685" spans="1:7" x14ac:dyDescent="0.25">
      <c r="A2685" s="17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IFERROR(VLOOKUP(B2685,'Diciembre 2023'!$B$2:$G$5822,4,0),"")</f>
        <v>BM</v>
      </c>
    </row>
    <row r="2686" spans="1:7" x14ac:dyDescent="0.25">
      <c r="A2686" s="17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IFERROR(VLOOKUP(B2686,'Diciembre 2023'!$B$2:$G$5822,4,0),"")</f>
        <v>INACTPETF</v>
      </c>
    </row>
    <row r="2687" spans="1:7" x14ac:dyDescent="0.25">
      <c r="A2687" s="17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IFERROR(VLOOKUP(B2687,'Diciembre 2023'!$B$2:$G$5822,4,0),"")</f>
        <v>ATAPET</v>
      </c>
    </row>
    <row r="2688" spans="1:7" x14ac:dyDescent="0.25">
      <c r="A2688" s="17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IFERROR(VLOOKUP(B2688,'Diciembre 2023'!$B$2:$G$5822,4,0),"")</f>
        <v>INACTBM</v>
      </c>
    </row>
    <row r="2689" spans="1:7" x14ac:dyDescent="0.25">
      <c r="A2689" s="17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IFERROR(VLOOKUP(B2689,'Diciembre 2023'!$B$2:$G$5822,4,0),"")</f>
        <v>DPAPET</v>
      </c>
    </row>
    <row r="2690" spans="1:7" x14ac:dyDescent="0.25">
      <c r="A2690" s="17"/>
      <c r="B2690" s="4" t="s">
        <v>2600</v>
      </c>
      <c r="C2690" s="4" t="s">
        <v>11</v>
      </c>
      <c r="D2690" s="4" t="s">
        <v>11</v>
      </c>
      <c r="E2690" s="4" t="s">
        <v>11</v>
      </c>
      <c r="F2690" s="4" t="s">
        <v>2049</v>
      </c>
      <c r="G2690" s="5" t="str">
        <f>IFERROR(VLOOKUP(B2690,'Diciembre 2023'!$B$2:$G$5822,4,0),"")</f>
        <v>BM</v>
      </c>
    </row>
    <row r="2691" spans="1:7" x14ac:dyDescent="0.25">
      <c r="A2691" s="17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IFERROR(VLOOKUP(B2691,'Diciembre 2023'!$B$2:$G$5822,4,0),"")</f>
        <v>BM</v>
      </c>
    </row>
    <row r="2692" spans="1:7" x14ac:dyDescent="0.25">
      <c r="A2692" s="17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IFERROR(VLOOKUP(B2692,'Diciembre 2023'!$B$2:$G$5822,4,0),"")</f>
        <v>DPAPET</v>
      </c>
    </row>
    <row r="2693" spans="1:7" x14ac:dyDescent="0.25">
      <c r="A2693" s="17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IFERROR(VLOOKUP(B2693,'Diciembre 2023'!$B$2:$G$5822,4,0),"")</f>
        <v>ACTPETS</v>
      </c>
    </row>
    <row r="2694" spans="1:7" x14ac:dyDescent="0.25">
      <c r="A2694" s="17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IFERROR(VLOOKUP(B2694,'Diciembre 2023'!$B$2:$G$5822,4,0),"")</f>
        <v>BM</v>
      </c>
    </row>
    <row r="2695" spans="1:7" x14ac:dyDescent="0.25">
      <c r="A2695" s="17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IFERROR(VLOOKUP(B2695,'Diciembre 2023'!$B$2:$G$5822,4,0),"")</f>
        <v>ACTPETS</v>
      </c>
    </row>
    <row r="2696" spans="1:7" x14ac:dyDescent="0.25">
      <c r="A2696" s="17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IFERROR(VLOOKUP(B2696,'Diciembre 2023'!$B$2:$G$5822,4,0),"")</f>
        <v>INACTBM</v>
      </c>
    </row>
    <row r="2697" spans="1:7" x14ac:dyDescent="0.25">
      <c r="A2697" s="17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IFERROR(VLOOKUP(B2697,'Diciembre 2023'!$B$2:$G$5822,4,0),"")</f>
        <v>INACTPETS</v>
      </c>
    </row>
    <row r="2698" spans="1:7" x14ac:dyDescent="0.25">
      <c r="A2698" s="17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IFERROR(VLOOKUP(B2698,'Diciembre 2023'!$B$2:$G$5822,4,0),"")</f>
        <v>DPAPET</v>
      </c>
    </row>
    <row r="2699" spans="1:7" x14ac:dyDescent="0.25">
      <c r="A2699" s="17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IFERROR(VLOOKUP(B2699,'Diciembre 2023'!$B$2:$G$5822,4,0),"")</f>
        <v>DPAPET</v>
      </c>
    </row>
    <row r="2700" spans="1:7" x14ac:dyDescent="0.25">
      <c r="A2700" s="17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IFERROR(VLOOKUP(B2700,'Diciembre 2023'!$B$2:$G$5822,4,0),"")</f>
        <v>BM</v>
      </c>
    </row>
    <row r="2701" spans="1:7" x14ac:dyDescent="0.25">
      <c r="A2701" s="17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IFERROR(VLOOKUP(B2701,'Diciembre 2023'!$B$2:$G$5822,4,0),"")</f>
        <v>BM</v>
      </c>
    </row>
    <row r="2702" spans="1:7" x14ac:dyDescent="0.25">
      <c r="A2702" s="17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IFERROR(VLOOKUP(B2702,'Diciembre 2023'!$B$2:$G$5822,4,0),"")</f>
        <v>INACTPETS</v>
      </c>
    </row>
    <row r="2703" spans="1:7" x14ac:dyDescent="0.25">
      <c r="A2703" s="17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IFERROR(VLOOKUP(B2703,'Diciembre 2023'!$B$2:$G$5822,4,0),"")</f>
        <v>APA_PC</v>
      </c>
    </row>
    <row r="2704" spans="1:7" x14ac:dyDescent="0.25">
      <c r="A2704" s="17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IFERROR(VLOOKUP(B2704,'Diciembre 2023'!$B$2:$G$5822,4,0),"")</f>
        <v>BM</v>
      </c>
    </row>
    <row r="2705" spans="1:7" x14ac:dyDescent="0.25">
      <c r="A2705" s="17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IFERROR(VLOOKUP(B2705,'Diciembre 2023'!$B$2:$G$5822,4,0),"")</f>
        <v>DPAPET</v>
      </c>
    </row>
    <row r="2706" spans="1:7" x14ac:dyDescent="0.25">
      <c r="A2706" s="17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IFERROR(VLOOKUP(B2706,'Diciembre 2023'!$B$2:$G$5822,4,0),"")</f>
        <v>ACTPETS</v>
      </c>
    </row>
    <row r="2707" spans="1:7" x14ac:dyDescent="0.25">
      <c r="A2707" s="17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IFERROR(VLOOKUP(B2707,'Diciembre 2023'!$B$2:$G$5822,4,0),"")</f>
        <v>INACTPETS</v>
      </c>
    </row>
    <row r="2708" spans="1:7" x14ac:dyDescent="0.25">
      <c r="A2708" s="17"/>
      <c r="B2708" s="4" t="s">
        <v>2618</v>
      </c>
      <c r="C2708" s="4" t="s">
        <v>35</v>
      </c>
      <c r="D2708" s="4" t="s">
        <v>35</v>
      </c>
      <c r="E2708" s="4" t="s">
        <v>36</v>
      </c>
      <c r="F2708" s="4" t="s">
        <v>21</v>
      </c>
      <c r="G2708" s="5" t="str">
        <f>IFERROR(VLOOKUP(B2708,'Diciembre 2023'!$B$2:$G$5822,4,0),"")</f>
        <v>INACTPETF</v>
      </c>
    </row>
    <row r="2709" spans="1:7" x14ac:dyDescent="0.25">
      <c r="A2709" s="17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IFERROR(VLOOKUP(B2709,'Diciembre 2023'!$B$2:$G$5822,4,0),"")</f>
        <v>BM</v>
      </c>
    </row>
    <row r="2710" spans="1:7" x14ac:dyDescent="0.25">
      <c r="A2710" s="17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IFERROR(VLOOKUP(B2710,'Diciembre 2023'!$B$2:$G$5822,4,0),"")</f>
        <v>DPAPET</v>
      </c>
    </row>
    <row r="2711" spans="1:7" x14ac:dyDescent="0.25">
      <c r="A2711" s="17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IFERROR(VLOOKUP(B2711,'Diciembre 2023'!$B$2:$G$5822,4,0),"")</f>
        <v>APA_PB</v>
      </c>
    </row>
    <row r="2712" spans="1:7" x14ac:dyDescent="0.25">
      <c r="A2712" s="17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IFERROR(VLOOKUP(B2712,'Diciembre 2023'!$B$2:$G$5822,4,0),"")</f>
        <v>BCP</v>
      </c>
    </row>
    <row r="2713" spans="1:7" x14ac:dyDescent="0.25">
      <c r="A2713" s="17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IFERROR(VLOOKUP(B2713,'Diciembre 2023'!$B$2:$G$5822,4,0),"")</f>
        <v>BM</v>
      </c>
    </row>
    <row r="2714" spans="1:7" x14ac:dyDescent="0.25">
      <c r="A2714" s="17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IFERROR(VLOOKUP(B2714,'Diciembre 2023'!$B$2:$G$5822,4,0),"")</f>
        <v>DPAPET</v>
      </c>
    </row>
    <row r="2715" spans="1:7" x14ac:dyDescent="0.25">
      <c r="A2715" s="17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IFERROR(VLOOKUP(B2715,'Diciembre 2023'!$B$2:$G$5822,4,0),"")</f>
        <v>BM</v>
      </c>
    </row>
    <row r="2716" spans="1:7" x14ac:dyDescent="0.25">
      <c r="A2716" s="17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IFERROR(VLOOKUP(B2716,'Diciembre 2023'!$B$2:$G$5822,4,0),"")</f>
        <v>BM</v>
      </c>
    </row>
    <row r="2717" spans="1:7" x14ac:dyDescent="0.25">
      <c r="A2717" s="17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IFERROR(VLOOKUP(B2717,'Diciembre 2023'!$B$2:$G$5822,4,0),"")</f>
        <v>DPAPET</v>
      </c>
    </row>
    <row r="2718" spans="1:7" x14ac:dyDescent="0.25">
      <c r="A2718" s="17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IFERROR(VLOOKUP(B2718,'Diciembre 2023'!$B$2:$G$5822,4,0),"")</f>
        <v>BM</v>
      </c>
    </row>
    <row r="2719" spans="1:7" x14ac:dyDescent="0.25">
      <c r="A2719" s="17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IFERROR(VLOOKUP(B2719,'Diciembre 2023'!$B$2:$G$5822,4,0),"")</f>
        <v>BM</v>
      </c>
    </row>
    <row r="2720" spans="1:7" x14ac:dyDescent="0.25">
      <c r="A2720" s="17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IFERROR(VLOOKUP(B2720,'Diciembre 2023'!$B$2:$G$5822,4,0),"")</f>
        <v>BM</v>
      </c>
    </row>
    <row r="2721" spans="1:7" x14ac:dyDescent="0.25">
      <c r="A2721" s="17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IFERROR(VLOOKUP(B2721,'Diciembre 2023'!$B$2:$G$5822,4,0),"")</f>
        <v>APA_PC</v>
      </c>
    </row>
    <row r="2722" spans="1:7" x14ac:dyDescent="0.25">
      <c r="A2722" s="17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IFERROR(VLOOKUP(B2722,'Diciembre 2023'!$B$2:$G$5822,4,0),"")</f>
        <v>ATAINY</v>
      </c>
    </row>
    <row r="2723" spans="1:7" x14ac:dyDescent="0.25">
      <c r="A2723" s="17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IFERROR(VLOOKUP(B2723,'Diciembre 2023'!$B$2:$G$5822,4,0),"")</f>
        <v>ATAPET</v>
      </c>
    </row>
    <row r="2724" spans="1:7" x14ac:dyDescent="0.25">
      <c r="A2724" s="17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IFERROR(VLOOKUP(B2724,'Diciembre 2023'!$B$2:$G$5822,4,0),"")</f>
        <v>ATAPET</v>
      </c>
    </row>
    <row r="2725" spans="1:7" x14ac:dyDescent="0.25">
      <c r="A2725" s="17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IFERROR(VLOOKUP(B2725,'Diciembre 2023'!$B$2:$G$5822,4,0),"")</f>
        <v>ATAPET</v>
      </c>
    </row>
    <row r="2726" spans="1:7" x14ac:dyDescent="0.25">
      <c r="A2726" s="17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IFERROR(VLOOKUP(B2726,'Diciembre 2023'!$B$2:$G$5822,4,0),"")</f>
        <v>BM</v>
      </c>
    </row>
    <row r="2727" spans="1:7" x14ac:dyDescent="0.25">
      <c r="A2727" s="17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IFERROR(VLOOKUP(B2727,'Diciembre 2023'!$B$2:$G$5822,4,0),"")</f>
        <v>DPAPET</v>
      </c>
    </row>
    <row r="2728" spans="1:7" x14ac:dyDescent="0.25">
      <c r="A2728" s="17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IFERROR(VLOOKUP(B2728,'Diciembre 2023'!$B$2:$G$5822,4,0),"")</f>
        <v>APA_PC</v>
      </c>
    </row>
    <row r="2729" spans="1:7" x14ac:dyDescent="0.25">
      <c r="A2729" s="17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IFERROR(VLOOKUP(B2729,'Diciembre 2023'!$B$2:$G$5822,4,0),"")</f>
        <v>ACTPETF</v>
      </c>
    </row>
    <row r="2730" spans="1:7" x14ac:dyDescent="0.25">
      <c r="A2730" s="17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IFERROR(VLOOKUP(B2730,'Diciembre 2023'!$B$2:$G$5822,4,0),"")</f>
        <v>APA_PB</v>
      </c>
    </row>
    <row r="2731" spans="1:7" x14ac:dyDescent="0.25">
      <c r="A2731" s="17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IFERROR(VLOOKUP(B2731,'Diciembre 2023'!$B$2:$G$5822,4,0),"")</f>
        <v>BM</v>
      </c>
    </row>
    <row r="2732" spans="1:7" x14ac:dyDescent="0.25">
      <c r="A2732" s="17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IFERROR(VLOOKUP(B2732,'Diciembre 2023'!$B$2:$G$5822,4,0),"")</f>
        <v>ATAPET</v>
      </c>
    </row>
    <row r="2733" spans="1:7" x14ac:dyDescent="0.25">
      <c r="A2733" s="17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IFERROR(VLOOKUP(B2733,'Diciembre 2023'!$B$2:$G$5822,4,0),"")</f>
        <v>BM</v>
      </c>
    </row>
    <row r="2734" spans="1:7" x14ac:dyDescent="0.25">
      <c r="A2734" s="17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IFERROR(VLOOKUP(B2734,'Diciembre 2023'!$B$2:$G$5822,4,0),"")</f>
        <v>APA_PC</v>
      </c>
    </row>
    <row r="2735" spans="1:7" x14ac:dyDescent="0.25">
      <c r="A2735" s="17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IFERROR(VLOOKUP(B2735,'Diciembre 2023'!$B$2:$G$5822,4,0),"")</f>
        <v>ATAPET</v>
      </c>
    </row>
    <row r="2736" spans="1:7" x14ac:dyDescent="0.25">
      <c r="A2736" s="17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IFERROR(VLOOKUP(B2736,'Diciembre 2023'!$B$2:$G$5822,4,0),"")</f>
        <v>BM</v>
      </c>
    </row>
    <row r="2737" spans="1:7" x14ac:dyDescent="0.25">
      <c r="A2737" s="17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IFERROR(VLOOKUP(B2737,'Diciembre 2023'!$B$2:$G$5822,4,0),"")</f>
        <v>BM</v>
      </c>
    </row>
    <row r="2738" spans="1:7" x14ac:dyDescent="0.25">
      <c r="A2738" s="17"/>
      <c r="B2738" s="4" t="s">
        <v>2648</v>
      </c>
      <c r="C2738" s="4" t="s">
        <v>14</v>
      </c>
      <c r="D2738" s="4" t="s">
        <v>15</v>
      </c>
      <c r="E2738" s="4" t="s">
        <v>16</v>
      </c>
      <c r="F2738" s="4" t="s">
        <v>14</v>
      </c>
      <c r="G2738" s="5" t="str">
        <f>IFERROR(VLOOKUP(B2738,'Diciembre 2023'!$B$2:$G$5822,4,0),"")</f>
        <v>ATAPET</v>
      </c>
    </row>
    <row r="2739" spans="1:7" x14ac:dyDescent="0.25">
      <c r="A2739" s="17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IFERROR(VLOOKUP(B2739,'Diciembre 2023'!$B$2:$G$5822,4,0),"")</f>
        <v>BM</v>
      </c>
    </row>
    <row r="2740" spans="1:7" x14ac:dyDescent="0.25">
      <c r="A2740" s="17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IFERROR(VLOOKUP(B2740,'Diciembre 2023'!$B$2:$G$5822,4,0),"")</f>
        <v>ATAPET</v>
      </c>
    </row>
    <row r="2741" spans="1:7" x14ac:dyDescent="0.25">
      <c r="A2741" s="17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IFERROR(VLOOKUP(B2741,'Diciembre 2023'!$B$2:$G$5822,4,0),"")</f>
        <v>BM</v>
      </c>
    </row>
    <row r="2742" spans="1:7" x14ac:dyDescent="0.25">
      <c r="A2742" s="17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IFERROR(VLOOKUP(B2742,'Diciembre 2023'!$B$2:$G$5822,4,0),"")</f>
        <v>BM</v>
      </c>
    </row>
    <row r="2743" spans="1:7" x14ac:dyDescent="0.25">
      <c r="A2743" s="17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IFERROR(VLOOKUP(B2743,'Diciembre 2023'!$B$2:$G$5822,4,0),"")</f>
        <v>APA_PC</v>
      </c>
    </row>
    <row r="2744" spans="1:7" x14ac:dyDescent="0.25">
      <c r="A2744" s="17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IFERROR(VLOOKUP(B2744,'Diciembre 2023'!$B$2:$G$5822,4,0),"")</f>
        <v>INACTBM</v>
      </c>
    </row>
    <row r="2745" spans="1:7" x14ac:dyDescent="0.25">
      <c r="A2745" s="17"/>
      <c r="B2745" s="4" t="s">
        <v>2655</v>
      </c>
      <c r="C2745" s="4" t="s">
        <v>35</v>
      </c>
      <c r="D2745" s="4" t="s">
        <v>35</v>
      </c>
      <c r="E2745" s="4" t="s">
        <v>57</v>
      </c>
      <c r="F2745" s="4" t="s">
        <v>1931</v>
      </c>
      <c r="G2745" s="5" t="str">
        <f>IFERROR(VLOOKUP(B2745,'Diciembre 2023'!$B$2:$G$5822,4,0),"")</f>
        <v>INACTBM</v>
      </c>
    </row>
    <row r="2746" spans="1:7" x14ac:dyDescent="0.25">
      <c r="A2746" s="17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IFERROR(VLOOKUP(B2746,'Diciembre 2023'!$B$2:$G$5822,4,0),"")</f>
        <v>APA_PC</v>
      </c>
    </row>
    <row r="2747" spans="1:7" x14ac:dyDescent="0.25">
      <c r="A2747" s="17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IFERROR(VLOOKUP(B2747,'Diciembre 2023'!$B$2:$G$5822,4,0),"")</f>
        <v>DPAPET</v>
      </c>
    </row>
    <row r="2748" spans="1:7" x14ac:dyDescent="0.25">
      <c r="A2748" s="17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IFERROR(VLOOKUP(B2748,'Diciembre 2023'!$B$2:$G$5822,4,0),"")</f>
        <v>ATAPET</v>
      </c>
    </row>
    <row r="2749" spans="1:7" x14ac:dyDescent="0.25">
      <c r="A2749" s="17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IFERROR(VLOOKUP(B2749,'Diciembre 2023'!$B$2:$G$5822,4,0),"")</f>
        <v>INACTBM</v>
      </c>
    </row>
    <row r="2750" spans="1:7" x14ac:dyDescent="0.25">
      <c r="A2750" s="17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tr">
        <f>IFERROR(VLOOKUP(B2750,'Diciembre 2023'!$B$2:$G$5822,4,0),"")</f>
        <v>ACTPETF</v>
      </c>
    </row>
    <row r="2751" spans="1:7" x14ac:dyDescent="0.25">
      <c r="A2751" s="17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IFERROR(VLOOKUP(B2751,'Diciembre 2023'!$B$2:$G$5822,4,0),"")</f>
        <v>BM</v>
      </c>
    </row>
    <row r="2752" spans="1:7" x14ac:dyDescent="0.25">
      <c r="A2752" s="17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IFERROR(VLOOKUP(B2752,'Diciembre 2023'!$B$2:$G$5822,4,0),"")</f>
        <v>BM</v>
      </c>
    </row>
    <row r="2753" spans="1:7" x14ac:dyDescent="0.25">
      <c r="A2753" s="17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IFERROR(VLOOKUP(B2753,'Diciembre 2023'!$B$2:$G$5822,4,0),"")</f>
        <v>APA_PC</v>
      </c>
    </row>
    <row r="2754" spans="1:7" x14ac:dyDescent="0.25">
      <c r="A2754" s="17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IFERROR(VLOOKUP(B2754,'Diciembre 2023'!$B$2:$G$5822,4,0),"")</f>
        <v>BM</v>
      </c>
    </row>
    <row r="2755" spans="1:7" x14ac:dyDescent="0.25">
      <c r="A2755" s="17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IFERROR(VLOOKUP(B2755,'Diciembre 2023'!$B$2:$G$5822,4,0),"")</f>
        <v>APA_PC</v>
      </c>
    </row>
    <row r="2756" spans="1:7" x14ac:dyDescent="0.25">
      <c r="A2756" s="17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IFERROR(VLOOKUP(B2756,'Diciembre 2023'!$B$2:$G$5822,4,0),"")</f>
        <v>INACTPETS</v>
      </c>
    </row>
    <row r="2757" spans="1:7" x14ac:dyDescent="0.25">
      <c r="A2757" s="17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IFERROR(VLOOKUP(B2757,'Diciembre 2023'!$B$2:$G$5822,4,0),"")</f>
        <v>ATAPET</v>
      </c>
    </row>
    <row r="2758" spans="1:7" x14ac:dyDescent="0.25">
      <c r="A2758" s="17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IFERROR(VLOOKUP(B2758,'Diciembre 2023'!$B$2:$G$5822,4,0),"")</f>
        <v>BM</v>
      </c>
    </row>
    <row r="2759" spans="1:7" x14ac:dyDescent="0.25">
      <c r="A2759" s="17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IFERROR(VLOOKUP(B2759,'Diciembre 2023'!$B$2:$G$5822,4,0),"")</f>
        <v>INACTBM</v>
      </c>
    </row>
    <row r="2760" spans="1:7" x14ac:dyDescent="0.25">
      <c r="A2760" s="17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IFERROR(VLOOKUP(B2760,'Diciembre 2023'!$B$2:$G$5822,4,0),"")</f>
        <v>INACTBM</v>
      </c>
    </row>
    <row r="2761" spans="1:7" x14ac:dyDescent="0.25">
      <c r="A2761" s="17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IFERROR(VLOOKUP(B2761,'Diciembre 2023'!$B$2:$G$5822,4,0),"")</f>
        <v>ACTPETS</v>
      </c>
    </row>
    <row r="2762" spans="1:7" x14ac:dyDescent="0.25">
      <c r="A2762" s="17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IFERROR(VLOOKUP(B2762,'Diciembre 2023'!$B$2:$G$5822,4,0),"")</f>
        <v>ATAPET</v>
      </c>
    </row>
    <row r="2763" spans="1:7" x14ac:dyDescent="0.25">
      <c r="A2763" s="17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IFERROR(VLOOKUP(B2763,'Diciembre 2023'!$B$2:$G$5822,4,0),"")</f>
        <v>BM</v>
      </c>
    </row>
    <row r="2764" spans="1:7" x14ac:dyDescent="0.25">
      <c r="A2764" s="17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IFERROR(VLOOKUP(B2764,'Diciembre 2023'!$B$2:$G$5822,4,0),"")</f>
        <v>ACTPETF</v>
      </c>
    </row>
    <row r="2765" spans="1:7" x14ac:dyDescent="0.25">
      <c r="A2765" s="17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IFERROR(VLOOKUP(B2765,'Diciembre 2023'!$B$2:$G$5822,4,0),"")</f>
        <v>BM</v>
      </c>
    </row>
    <row r="2766" spans="1:7" x14ac:dyDescent="0.25">
      <c r="A2766" s="17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IFERROR(VLOOKUP(B2766,'Diciembre 2023'!$B$2:$G$5822,4,0),"")</f>
        <v>APA_CNPC</v>
      </c>
    </row>
    <row r="2767" spans="1:7" x14ac:dyDescent="0.25">
      <c r="A2767" s="17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IFERROR(VLOOKUP(B2767,'Diciembre 2023'!$B$2:$G$5822,4,0),"")</f>
        <v>ATAPET</v>
      </c>
    </row>
    <row r="2768" spans="1:7" x14ac:dyDescent="0.25">
      <c r="A2768" s="17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IFERROR(VLOOKUP(B2768,'Diciembre 2023'!$B$2:$G$5822,4,0),"")</f>
        <v>BM</v>
      </c>
    </row>
    <row r="2769" spans="1:7" x14ac:dyDescent="0.25">
      <c r="A2769" s="17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IFERROR(VLOOKUP(B2769,'Diciembre 2023'!$B$2:$G$5822,4,0),"")</f>
        <v>INACTPETF</v>
      </c>
    </row>
    <row r="2770" spans="1:7" x14ac:dyDescent="0.25">
      <c r="A2770" s="17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IFERROR(VLOOKUP(B2770,'Diciembre 2023'!$B$2:$G$5822,4,0),"")</f>
        <v>BM</v>
      </c>
    </row>
    <row r="2771" spans="1:7" x14ac:dyDescent="0.25">
      <c r="A2771" s="17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IFERROR(VLOOKUP(B2771,'Diciembre 2023'!$B$2:$G$5822,4,0),"")</f>
        <v>BM</v>
      </c>
    </row>
    <row r="2772" spans="1:7" x14ac:dyDescent="0.25">
      <c r="A2772" s="17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IFERROR(VLOOKUP(B2772,'Diciembre 2023'!$B$2:$G$5822,4,0),"")</f>
        <v>DPAPET</v>
      </c>
    </row>
    <row r="2773" spans="1:7" x14ac:dyDescent="0.25">
      <c r="A2773" s="17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IFERROR(VLOOKUP(B2773,'Diciembre 2023'!$B$2:$G$5822,4,0),"")</f>
        <v>BM</v>
      </c>
    </row>
    <row r="2774" spans="1:7" x14ac:dyDescent="0.25">
      <c r="A2774" s="17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IFERROR(VLOOKUP(B2774,'Diciembre 2023'!$B$2:$G$5822,4,0),"")</f>
        <v>ATAPET</v>
      </c>
    </row>
    <row r="2775" spans="1:7" x14ac:dyDescent="0.25">
      <c r="A2775" s="17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IFERROR(VLOOKUP(B2775,'Diciembre 2023'!$B$2:$G$5822,4,0),"")</f>
        <v>INACTPETS</v>
      </c>
    </row>
    <row r="2776" spans="1:7" x14ac:dyDescent="0.25">
      <c r="A2776" s="17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IFERROR(VLOOKUP(B2776,'Diciembre 2023'!$B$2:$G$5822,4,0),"")</f>
        <v>ATAPET</v>
      </c>
    </row>
    <row r="2777" spans="1:7" x14ac:dyDescent="0.25">
      <c r="A2777" s="17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IFERROR(VLOOKUP(B2777,'Diciembre 2023'!$B$2:$G$5822,4,0),"")</f>
        <v>DPAPET</v>
      </c>
    </row>
    <row r="2778" spans="1:7" x14ac:dyDescent="0.25">
      <c r="A2778" s="17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IFERROR(VLOOKUP(B2778,'Diciembre 2023'!$B$2:$G$5822,4,0),"")</f>
        <v>BM</v>
      </c>
    </row>
    <row r="2779" spans="1:7" x14ac:dyDescent="0.25">
      <c r="A2779" s="17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IFERROR(VLOOKUP(B2779,'Diciembre 2023'!$B$2:$G$5822,4,0),"")</f>
        <v>INACTINYG</v>
      </c>
    </row>
    <row r="2780" spans="1:7" x14ac:dyDescent="0.25">
      <c r="A2780" s="17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IFERROR(VLOOKUP(B2780,'Diciembre 2023'!$B$2:$G$5822,4,0),"")</f>
        <v>BM</v>
      </c>
    </row>
    <row r="2781" spans="1:7" x14ac:dyDescent="0.25">
      <c r="A2781" s="17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IFERROR(VLOOKUP(B2781,'Diciembre 2023'!$B$2:$G$5822,4,0),"")</f>
        <v>BM</v>
      </c>
    </row>
    <row r="2782" spans="1:7" x14ac:dyDescent="0.25">
      <c r="A2782" s="17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IFERROR(VLOOKUP(B2782,'Diciembre 2023'!$B$2:$G$5822,4,0),"")</f>
        <v>BM</v>
      </c>
    </row>
    <row r="2783" spans="1:7" x14ac:dyDescent="0.25">
      <c r="A2783" s="17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IFERROR(VLOOKUP(B2783,'Diciembre 2023'!$B$2:$G$5822,4,0),"")</f>
        <v>BM</v>
      </c>
    </row>
    <row r="2784" spans="1:7" x14ac:dyDescent="0.25">
      <c r="A2784" s="17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IFERROR(VLOOKUP(B2784,'Diciembre 2023'!$B$2:$G$5822,4,0),"")</f>
        <v>BM</v>
      </c>
    </row>
    <row r="2785" spans="1:7" x14ac:dyDescent="0.25">
      <c r="A2785" s="17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IFERROR(VLOOKUP(B2785,'Diciembre 2023'!$B$2:$G$5822,4,0),"")</f>
        <v>ATAINY</v>
      </c>
    </row>
    <row r="2786" spans="1:7" x14ac:dyDescent="0.25">
      <c r="A2786" s="17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IFERROR(VLOOKUP(B2786,'Diciembre 2023'!$B$2:$G$5822,4,0),"")</f>
        <v>BM</v>
      </c>
    </row>
    <row r="2787" spans="1:7" x14ac:dyDescent="0.25">
      <c r="A2787" s="17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IFERROR(VLOOKUP(B2787,'Diciembre 2023'!$B$2:$G$5822,4,0),"")</f>
        <v>APA_PC</v>
      </c>
    </row>
    <row r="2788" spans="1:7" x14ac:dyDescent="0.25">
      <c r="A2788" s="17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IFERROR(VLOOKUP(B2788,'Diciembre 2023'!$B$2:$G$5822,4,0),"")</f>
        <v>INACTBM</v>
      </c>
    </row>
    <row r="2789" spans="1:7" x14ac:dyDescent="0.25">
      <c r="A2789" s="17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IFERROR(VLOOKUP(B2789,'Diciembre 2023'!$B$2:$G$5822,4,0),"")</f>
        <v>APA_PC</v>
      </c>
    </row>
    <row r="2790" spans="1:7" x14ac:dyDescent="0.25">
      <c r="A2790" s="17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IFERROR(VLOOKUP(B2790,'Diciembre 2023'!$B$2:$G$5822,4,0),"")</f>
        <v>APA_PC</v>
      </c>
    </row>
    <row r="2791" spans="1:7" x14ac:dyDescent="0.25">
      <c r="A2791" s="17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IFERROR(VLOOKUP(B2791,'Diciembre 2023'!$B$2:$G$5822,4,0),"")</f>
        <v>BM</v>
      </c>
    </row>
    <row r="2792" spans="1:7" x14ac:dyDescent="0.25">
      <c r="A2792" s="17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IFERROR(VLOOKUP(B2792,'Diciembre 2023'!$B$2:$G$5822,4,0),"")</f>
        <v>BM</v>
      </c>
    </row>
    <row r="2793" spans="1:7" x14ac:dyDescent="0.25">
      <c r="A2793" s="17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IFERROR(VLOOKUP(B2793,'Diciembre 2023'!$B$2:$G$5822,4,0),"")</f>
        <v>BM</v>
      </c>
    </row>
    <row r="2794" spans="1:7" x14ac:dyDescent="0.25">
      <c r="A2794" s="17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IFERROR(VLOOKUP(B2794,'Diciembre 2023'!$B$2:$G$5822,4,0),"")</f>
        <v>ACTPETS</v>
      </c>
    </row>
    <row r="2795" spans="1:7" x14ac:dyDescent="0.25">
      <c r="A2795" s="17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IFERROR(VLOOKUP(B2795,'Diciembre 2023'!$B$2:$G$5822,4,0),"")</f>
        <v>DPAPET</v>
      </c>
    </row>
    <row r="2796" spans="1:7" x14ac:dyDescent="0.25">
      <c r="A2796" s="17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IFERROR(VLOOKUP(B2796,'Diciembre 2023'!$B$2:$G$5822,4,0),"")</f>
        <v>BM</v>
      </c>
    </row>
    <row r="2797" spans="1:7" x14ac:dyDescent="0.25">
      <c r="A2797" s="17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IFERROR(VLOOKUP(B2797,'Diciembre 2023'!$B$2:$G$5822,4,0),"")</f>
        <v>APA_PC</v>
      </c>
    </row>
    <row r="2798" spans="1:7" x14ac:dyDescent="0.25">
      <c r="A2798" s="17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IFERROR(VLOOKUP(B2798,'Diciembre 2023'!$B$2:$G$5822,4,0),"")</f>
        <v>ATAPET</v>
      </c>
    </row>
    <row r="2799" spans="1:7" x14ac:dyDescent="0.25">
      <c r="A2799" s="17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IFERROR(VLOOKUP(B2799,'Diciembre 2023'!$B$2:$G$5822,4,0),"")</f>
        <v>APA_PC</v>
      </c>
    </row>
    <row r="2800" spans="1:7" x14ac:dyDescent="0.25">
      <c r="A2800" s="17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IFERROR(VLOOKUP(B2800,'Diciembre 2023'!$B$2:$G$5822,4,0),"")</f>
        <v>ACTPETS</v>
      </c>
    </row>
    <row r="2801" spans="1:7" x14ac:dyDescent="0.25">
      <c r="A2801" s="17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IFERROR(VLOOKUP(B2801,'Diciembre 2023'!$B$2:$G$5822,4,0),"")</f>
        <v>ATAPET</v>
      </c>
    </row>
    <row r="2802" spans="1:7" x14ac:dyDescent="0.25">
      <c r="A2802" s="17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IFERROR(VLOOKUP(B2802,'Diciembre 2023'!$B$2:$G$5822,4,0),"")</f>
        <v>INACTBM</v>
      </c>
    </row>
    <row r="2803" spans="1:7" x14ac:dyDescent="0.25">
      <c r="A2803" s="17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IFERROR(VLOOKUP(B2803,'Diciembre 2023'!$B$2:$G$5822,4,0),"")</f>
        <v>ATAPET</v>
      </c>
    </row>
    <row r="2804" spans="1:7" x14ac:dyDescent="0.25">
      <c r="A2804" s="17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IFERROR(VLOOKUP(B2804,'Diciembre 2023'!$B$2:$G$5822,4,0),"")</f>
        <v>BM</v>
      </c>
    </row>
    <row r="2805" spans="1:7" x14ac:dyDescent="0.25">
      <c r="A2805" s="17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IFERROR(VLOOKUP(B2805,'Diciembre 2023'!$B$2:$G$5822,4,0),"")</f>
        <v>INACTBM</v>
      </c>
    </row>
    <row r="2806" spans="1:7" x14ac:dyDescent="0.25">
      <c r="A2806" s="17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IFERROR(VLOOKUP(B2806,'Diciembre 2023'!$B$2:$G$5822,4,0),"")</f>
        <v>BM</v>
      </c>
    </row>
    <row r="2807" spans="1:7" x14ac:dyDescent="0.25">
      <c r="A2807" s="17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IFERROR(VLOOKUP(B2807,'Diciembre 2023'!$B$2:$G$5822,4,0),"")</f>
        <v>BM</v>
      </c>
    </row>
    <row r="2808" spans="1:7" x14ac:dyDescent="0.25">
      <c r="A2808" s="17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IFERROR(VLOOKUP(B2808,'Diciembre 2023'!$B$2:$G$5822,4,0),"")</f>
        <v>BM</v>
      </c>
    </row>
    <row r="2809" spans="1:7" x14ac:dyDescent="0.25">
      <c r="A2809" s="17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IFERROR(VLOOKUP(B2809,'Diciembre 2023'!$B$2:$G$5822,4,0),"")</f>
        <v>DPAPET</v>
      </c>
    </row>
    <row r="2810" spans="1:7" x14ac:dyDescent="0.25">
      <c r="A2810" s="17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IFERROR(VLOOKUP(B2810,'Diciembre 2023'!$B$2:$G$5822,4,0),"")</f>
        <v>ACTPETS</v>
      </c>
    </row>
    <row r="2811" spans="1:7" x14ac:dyDescent="0.25">
      <c r="A2811" s="17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IFERROR(VLOOKUP(B2811,'Diciembre 2023'!$B$2:$G$5822,4,0),"")</f>
        <v>ACTPETS</v>
      </c>
    </row>
    <row r="2812" spans="1:7" x14ac:dyDescent="0.25">
      <c r="A2812" s="17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IFERROR(VLOOKUP(B2812,'Diciembre 2023'!$B$2:$G$5822,4,0),"")</f>
        <v>DPAPET</v>
      </c>
    </row>
    <row r="2813" spans="1:7" x14ac:dyDescent="0.25">
      <c r="A2813" s="17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IFERROR(VLOOKUP(B2813,'Diciembre 2023'!$B$2:$G$5822,4,0),"")</f>
        <v>BM</v>
      </c>
    </row>
    <row r="2814" spans="1:7" x14ac:dyDescent="0.25">
      <c r="A2814" s="17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IFERROR(VLOOKUP(B2814,'Diciembre 2023'!$B$2:$G$5822,4,0),"")</f>
        <v>ACTPETS</v>
      </c>
    </row>
    <row r="2815" spans="1:7" x14ac:dyDescent="0.25">
      <c r="A2815" s="17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IFERROR(VLOOKUP(B2815,'Diciembre 2023'!$B$2:$G$5822,4,0),"")</f>
        <v>BM</v>
      </c>
    </row>
    <row r="2816" spans="1:7" x14ac:dyDescent="0.25">
      <c r="A2816" s="17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IFERROR(VLOOKUP(B2816,'Diciembre 2023'!$B$2:$G$5822,4,0),"")</f>
        <v>ATAPET</v>
      </c>
    </row>
    <row r="2817" spans="1:7" x14ac:dyDescent="0.25">
      <c r="A2817" s="17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IFERROR(VLOOKUP(B2817,'Diciembre 2023'!$B$2:$G$5822,4,0),"")</f>
        <v>BM</v>
      </c>
    </row>
    <row r="2818" spans="1:7" x14ac:dyDescent="0.25">
      <c r="A2818" s="17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IFERROR(VLOOKUP(B2818,'Diciembre 2023'!$B$2:$G$5822,4,0),"")</f>
        <v>ACTPETF</v>
      </c>
    </row>
    <row r="2819" spans="1:7" x14ac:dyDescent="0.25">
      <c r="A2819" s="17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IFERROR(VLOOKUP(B2819,'Diciembre 2023'!$B$2:$G$5822,4,0),"")</f>
        <v>BM</v>
      </c>
    </row>
    <row r="2820" spans="1:7" x14ac:dyDescent="0.25">
      <c r="A2820" s="17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IFERROR(VLOOKUP(B2820,'Diciembre 2023'!$B$2:$G$5822,4,0),"")</f>
        <v>APA_CNPC</v>
      </c>
    </row>
    <row r="2821" spans="1:7" x14ac:dyDescent="0.25">
      <c r="A2821" s="17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IFERROR(VLOOKUP(B2821,'Diciembre 2023'!$B$2:$G$5822,4,0),"")</f>
        <v>APA_PC</v>
      </c>
    </row>
    <row r="2822" spans="1:7" x14ac:dyDescent="0.25">
      <c r="A2822" s="17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IFERROR(VLOOKUP(B2822,'Diciembre 2023'!$B$2:$G$5822,4,0),"")</f>
        <v>ACTPETS</v>
      </c>
    </row>
    <row r="2823" spans="1:7" x14ac:dyDescent="0.25">
      <c r="A2823" s="17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IFERROR(VLOOKUP(B2823,'Diciembre 2023'!$B$2:$G$5822,4,0),"")</f>
        <v>BM</v>
      </c>
    </row>
    <row r="2824" spans="1:7" x14ac:dyDescent="0.25">
      <c r="A2824" s="17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IFERROR(VLOOKUP(B2824,'Diciembre 2023'!$B$2:$G$5822,4,0),"")</f>
        <v>BM</v>
      </c>
    </row>
    <row r="2825" spans="1:7" x14ac:dyDescent="0.25">
      <c r="A2825" s="17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tr">
        <f>IFERROR(VLOOKUP(B2825,'Diciembre 2023'!$B$2:$G$5822,4,0),"")</f>
        <v>BM</v>
      </c>
    </row>
    <row r="2826" spans="1:7" x14ac:dyDescent="0.25">
      <c r="A2826" s="17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IFERROR(VLOOKUP(B2826,'Diciembre 2023'!$B$2:$G$5822,4,0),"")</f>
        <v>INACTPETS</v>
      </c>
    </row>
    <row r="2827" spans="1:7" x14ac:dyDescent="0.25">
      <c r="A2827" s="17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IFERROR(VLOOKUP(B2827,'Diciembre 2023'!$B$2:$G$5822,4,0),"")</f>
        <v>ACTPETS</v>
      </c>
    </row>
    <row r="2828" spans="1:7" x14ac:dyDescent="0.25">
      <c r="A2828" s="17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IFERROR(VLOOKUP(B2828,'Diciembre 2023'!$B$2:$G$5822,4,0),"")</f>
        <v>ACTPETF</v>
      </c>
    </row>
    <row r="2829" spans="1:7" x14ac:dyDescent="0.25">
      <c r="A2829" s="17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IFERROR(VLOOKUP(B2829,'Diciembre 2023'!$B$2:$G$5822,4,0),"")</f>
        <v>BM</v>
      </c>
    </row>
    <row r="2830" spans="1:7" x14ac:dyDescent="0.25">
      <c r="A2830" s="17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IFERROR(VLOOKUP(B2830,'Diciembre 2023'!$B$2:$G$5822,4,0),"")</f>
        <v>BM</v>
      </c>
    </row>
    <row r="2831" spans="1:7" x14ac:dyDescent="0.25">
      <c r="A2831" s="17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IFERROR(VLOOKUP(B2831,'Diciembre 2023'!$B$2:$G$5822,4,0),"")</f>
        <v>INACTPETS</v>
      </c>
    </row>
    <row r="2832" spans="1:7" x14ac:dyDescent="0.25">
      <c r="A2832" s="17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IFERROR(VLOOKUP(B2832,'Diciembre 2023'!$B$2:$G$5822,4,0),"")</f>
        <v>ACTPETS</v>
      </c>
    </row>
    <row r="2833" spans="1:7" x14ac:dyDescent="0.25">
      <c r="A2833" s="17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IFERROR(VLOOKUP(B2833,'Diciembre 2023'!$B$2:$G$5822,4,0),"")</f>
        <v>APA_PC</v>
      </c>
    </row>
    <row r="2834" spans="1:7" x14ac:dyDescent="0.25">
      <c r="A2834" s="17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IFERROR(VLOOKUP(B2834,'Diciembre 2023'!$B$2:$G$5822,4,0),"")</f>
        <v>BM</v>
      </c>
    </row>
    <row r="2835" spans="1:7" x14ac:dyDescent="0.25">
      <c r="A2835" s="17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IFERROR(VLOOKUP(B2835,'Diciembre 2023'!$B$2:$G$5822,4,0),"")</f>
        <v>ATAPET</v>
      </c>
    </row>
    <row r="2836" spans="1:7" x14ac:dyDescent="0.25">
      <c r="A2836" s="17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IFERROR(VLOOKUP(B2836,'Diciembre 2023'!$B$2:$G$5822,4,0),"")</f>
        <v>BM</v>
      </c>
    </row>
    <row r="2837" spans="1:7" x14ac:dyDescent="0.25">
      <c r="A2837" s="17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IFERROR(VLOOKUP(B2837,'Diciembre 2023'!$B$2:$G$5822,4,0),"")</f>
        <v>BM</v>
      </c>
    </row>
    <row r="2838" spans="1:7" x14ac:dyDescent="0.25">
      <c r="A2838" s="17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IFERROR(VLOOKUP(B2838,'Diciembre 2023'!$B$2:$G$5822,4,0),"")</f>
        <v>APA_PC</v>
      </c>
    </row>
    <row r="2839" spans="1:7" x14ac:dyDescent="0.25">
      <c r="A2839" s="17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IFERROR(VLOOKUP(B2839,'Diciembre 2023'!$B$2:$G$5822,4,0),"")</f>
        <v>BM</v>
      </c>
    </row>
    <row r="2840" spans="1:7" x14ac:dyDescent="0.25">
      <c r="A2840" s="17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IFERROR(VLOOKUP(B2840,'Diciembre 2023'!$B$2:$G$5822,4,0),"")</f>
        <v>ATAPET</v>
      </c>
    </row>
    <row r="2841" spans="1:7" x14ac:dyDescent="0.25">
      <c r="A2841" s="17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IFERROR(VLOOKUP(B2841,'Diciembre 2023'!$B$2:$G$5822,4,0),"")</f>
        <v>DPAPET</v>
      </c>
    </row>
    <row r="2842" spans="1:7" x14ac:dyDescent="0.25">
      <c r="A2842" s="17"/>
      <c r="B2842" s="4" t="s">
        <v>2753</v>
      </c>
      <c r="C2842" s="4" t="s">
        <v>11</v>
      </c>
      <c r="D2842" s="4" t="s">
        <v>11</v>
      </c>
      <c r="E2842" s="4" t="s">
        <v>11</v>
      </c>
      <c r="F2842" s="4" t="s">
        <v>973</v>
      </c>
      <c r="G2842" s="5" t="str">
        <f>IFERROR(VLOOKUP(B2842,'Diciembre 2023'!$B$2:$G$5822,4,0),"")</f>
        <v>BM</v>
      </c>
    </row>
    <row r="2843" spans="1:7" x14ac:dyDescent="0.25">
      <c r="A2843" s="17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IFERROR(VLOOKUP(B2843,'Diciembre 2023'!$B$2:$G$5822,4,0),"")</f>
        <v>APA_PC</v>
      </c>
    </row>
    <row r="2844" spans="1:7" x14ac:dyDescent="0.25">
      <c r="A2844" s="17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IFERROR(VLOOKUP(B2844,'Diciembre 2023'!$B$2:$G$5822,4,0),"")</f>
        <v>APA_PC</v>
      </c>
    </row>
    <row r="2845" spans="1:7" x14ac:dyDescent="0.25">
      <c r="A2845" s="17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IFERROR(VLOOKUP(B2845,'Diciembre 2023'!$B$2:$G$5822,4,0),"")</f>
        <v>APA_PC</v>
      </c>
    </row>
    <row r="2846" spans="1:7" x14ac:dyDescent="0.25">
      <c r="A2846" s="17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IFERROR(VLOOKUP(B2846,'Diciembre 2023'!$B$2:$G$5822,4,0),"")</f>
        <v>BM</v>
      </c>
    </row>
    <row r="2847" spans="1:7" x14ac:dyDescent="0.25">
      <c r="A2847" s="17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IFERROR(VLOOKUP(B2847,'Diciembre 2023'!$B$2:$G$5822,4,0),"")</f>
        <v>APA_CNPC</v>
      </c>
    </row>
    <row r="2848" spans="1:7" x14ac:dyDescent="0.25">
      <c r="A2848" s="17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IFERROR(VLOOKUP(B2848,'Diciembre 2023'!$B$2:$G$5822,4,0),"")</f>
        <v>ATAPET</v>
      </c>
    </row>
    <row r="2849" spans="1:7" x14ac:dyDescent="0.25">
      <c r="A2849" s="17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IFERROR(VLOOKUP(B2849,'Diciembre 2023'!$B$2:$G$5822,4,0),"")</f>
        <v>BM</v>
      </c>
    </row>
    <row r="2850" spans="1:7" x14ac:dyDescent="0.25">
      <c r="A2850" s="17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IFERROR(VLOOKUP(B2850,'Diciembre 2023'!$B$2:$G$5822,4,0),"")</f>
        <v>INACTPETS</v>
      </c>
    </row>
    <row r="2851" spans="1:7" x14ac:dyDescent="0.25">
      <c r="A2851" s="17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IFERROR(VLOOKUP(B2851,'Diciembre 2023'!$B$2:$G$5822,4,0),"")</f>
        <v>BM</v>
      </c>
    </row>
    <row r="2852" spans="1:7" x14ac:dyDescent="0.25">
      <c r="A2852" s="17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IFERROR(VLOOKUP(B2852,'Diciembre 2023'!$B$2:$G$5822,4,0),"")</f>
        <v>BM</v>
      </c>
    </row>
    <row r="2853" spans="1:7" x14ac:dyDescent="0.25">
      <c r="A2853" s="17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IFERROR(VLOOKUP(B2853,'Diciembre 2023'!$B$2:$G$5822,4,0),"")</f>
        <v>BM</v>
      </c>
    </row>
    <row r="2854" spans="1:7" x14ac:dyDescent="0.25">
      <c r="A2854" s="17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IFERROR(VLOOKUP(B2854,'Diciembre 2023'!$B$2:$G$5822,4,0),"")</f>
        <v>APA_PC</v>
      </c>
    </row>
    <row r="2855" spans="1:7" x14ac:dyDescent="0.25">
      <c r="A2855" s="17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IFERROR(VLOOKUP(B2855,'Diciembre 2023'!$B$2:$G$5822,4,0),"")</f>
        <v>BM</v>
      </c>
    </row>
    <row r="2856" spans="1:7" x14ac:dyDescent="0.25">
      <c r="A2856" s="17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IFERROR(VLOOKUP(B2856,'Diciembre 2023'!$B$2:$G$5822,4,0),"")</f>
        <v>ACTPETS</v>
      </c>
    </row>
    <row r="2857" spans="1:7" x14ac:dyDescent="0.25">
      <c r="A2857" s="17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IFERROR(VLOOKUP(B2857,'Diciembre 2023'!$B$2:$G$5822,4,0),"")</f>
        <v>APA_PC</v>
      </c>
    </row>
    <row r="2858" spans="1:7" x14ac:dyDescent="0.25">
      <c r="A2858" s="17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IFERROR(VLOOKUP(B2858,'Diciembre 2023'!$B$2:$G$5822,4,0),"")</f>
        <v>BM</v>
      </c>
    </row>
    <row r="2859" spans="1:7" x14ac:dyDescent="0.25">
      <c r="A2859" s="17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IFERROR(VLOOKUP(B2859,'Diciembre 2023'!$B$2:$G$5822,4,0),"")</f>
        <v>INACTPETS</v>
      </c>
    </row>
    <row r="2860" spans="1:7" x14ac:dyDescent="0.25">
      <c r="A2860" s="17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IFERROR(VLOOKUP(B2860,'Diciembre 2023'!$B$2:$G$5822,4,0),"")</f>
        <v>BM</v>
      </c>
    </row>
    <row r="2861" spans="1:7" x14ac:dyDescent="0.25">
      <c r="A2861" s="17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IFERROR(VLOOKUP(B2861,'Diciembre 2023'!$B$2:$G$5822,4,0),"")</f>
        <v>BM</v>
      </c>
    </row>
    <row r="2862" spans="1:7" x14ac:dyDescent="0.25">
      <c r="A2862" s="17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IFERROR(VLOOKUP(B2862,'Diciembre 2023'!$B$2:$G$5822,4,0),"")</f>
        <v>ATAPET</v>
      </c>
    </row>
    <row r="2863" spans="1:7" x14ac:dyDescent="0.25">
      <c r="A2863" s="17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IFERROR(VLOOKUP(B2863,'Diciembre 2023'!$B$2:$G$5822,4,0),"")</f>
        <v>INACTPETS</v>
      </c>
    </row>
    <row r="2864" spans="1:7" x14ac:dyDescent="0.25">
      <c r="A2864" s="17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IFERROR(VLOOKUP(B2864,'Diciembre 2023'!$B$2:$G$5822,4,0),"")</f>
        <v>ACTPETF</v>
      </c>
    </row>
    <row r="2865" spans="1:7" x14ac:dyDescent="0.25">
      <c r="A2865" s="17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IFERROR(VLOOKUP(B2865,'Diciembre 2023'!$B$2:$G$5822,4,0),"")</f>
        <v>BM</v>
      </c>
    </row>
    <row r="2866" spans="1:7" x14ac:dyDescent="0.25">
      <c r="A2866" s="17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IFERROR(VLOOKUP(B2866,'Diciembre 2023'!$B$2:$G$5822,4,0),"")</f>
        <v>ACTPETS</v>
      </c>
    </row>
    <row r="2867" spans="1:7" x14ac:dyDescent="0.25">
      <c r="A2867" s="17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IFERROR(VLOOKUP(B2867,'Diciembre 2023'!$B$2:$G$5822,4,0),"")</f>
        <v>BM</v>
      </c>
    </row>
    <row r="2868" spans="1:7" x14ac:dyDescent="0.25">
      <c r="A2868" s="17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IFERROR(VLOOKUP(B2868,'Diciembre 2023'!$B$2:$G$5822,4,0),"")</f>
        <v>BM</v>
      </c>
    </row>
    <row r="2869" spans="1:7" x14ac:dyDescent="0.25">
      <c r="A2869" s="17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IFERROR(VLOOKUP(B2869,'Diciembre 2023'!$B$2:$G$5822,4,0),"")</f>
        <v>APA_PC</v>
      </c>
    </row>
    <row r="2870" spans="1:7" x14ac:dyDescent="0.25">
      <c r="A2870" s="17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IFERROR(VLOOKUP(B2870,'Diciembre 2023'!$B$2:$G$5822,4,0),"")</f>
        <v>DPAPET</v>
      </c>
    </row>
    <row r="2871" spans="1:7" x14ac:dyDescent="0.25">
      <c r="A2871" s="17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IFERROR(VLOOKUP(B2871,'Diciembre 2023'!$B$2:$G$5822,4,0),"")</f>
        <v>BM</v>
      </c>
    </row>
    <row r="2872" spans="1:7" x14ac:dyDescent="0.25">
      <c r="A2872" s="17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IFERROR(VLOOKUP(B2872,'Diciembre 2023'!$B$2:$G$5822,4,0),"")</f>
        <v>BM</v>
      </c>
    </row>
    <row r="2873" spans="1:7" x14ac:dyDescent="0.25">
      <c r="A2873" s="17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IFERROR(VLOOKUP(B2873,'Diciembre 2023'!$B$2:$G$5822,4,0),"")</f>
        <v>ATAPET</v>
      </c>
    </row>
    <row r="2874" spans="1:7" x14ac:dyDescent="0.25">
      <c r="A2874" s="17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IFERROR(VLOOKUP(B2874,'Diciembre 2023'!$B$2:$G$5822,4,0),"")</f>
        <v>BM</v>
      </c>
    </row>
    <row r="2875" spans="1:7" x14ac:dyDescent="0.25">
      <c r="A2875" s="17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IFERROR(VLOOKUP(B2875,'Diciembre 2023'!$B$2:$G$5822,4,0),"")</f>
        <v>APA_PC</v>
      </c>
    </row>
    <row r="2876" spans="1:7" x14ac:dyDescent="0.25">
      <c r="A2876" s="17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IFERROR(VLOOKUP(B2876,'Diciembre 2023'!$B$2:$G$5822,4,0),"")</f>
        <v>BM</v>
      </c>
    </row>
    <row r="2877" spans="1:7" x14ac:dyDescent="0.25">
      <c r="A2877" s="17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IFERROR(VLOOKUP(B2877,'Diciembre 2023'!$B$2:$G$5822,4,0),"")</f>
        <v>ACTPETS</v>
      </c>
    </row>
    <row r="2878" spans="1:7" x14ac:dyDescent="0.25">
      <c r="A2878" s="17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IFERROR(VLOOKUP(B2878,'Diciembre 2023'!$B$2:$G$5822,4,0),"")</f>
        <v>BM</v>
      </c>
    </row>
    <row r="2879" spans="1:7" x14ac:dyDescent="0.25">
      <c r="A2879" s="17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IFERROR(VLOOKUP(B2879,'Diciembre 2023'!$B$2:$G$5822,4,0),"")</f>
        <v>BM</v>
      </c>
    </row>
    <row r="2880" spans="1:7" x14ac:dyDescent="0.25">
      <c r="A2880" s="17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IFERROR(VLOOKUP(B2880,'Diciembre 2023'!$B$2:$G$5822,4,0),"")</f>
        <v>INACTBM</v>
      </c>
    </row>
    <row r="2881" spans="1:7" x14ac:dyDescent="0.25">
      <c r="A2881" s="17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IFERROR(VLOOKUP(B2881,'Diciembre 2023'!$B$2:$G$5822,4,0),"")</f>
        <v>BO</v>
      </c>
    </row>
    <row r="2882" spans="1:7" x14ac:dyDescent="0.25">
      <c r="A2882" s="17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IFERROR(VLOOKUP(B2882,'Diciembre 2023'!$B$2:$G$5822,4,0),"")</f>
        <v>BM</v>
      </c>
    </row>
    <row r="2883" spans="1:7" x14ac:dyDescent="0.25">
      <c r="A2883" s="17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IFERROR(VLOOKUP(B2883,'Diciembre 2023'!$B$2:$G$5822,4,0),"")</f>
        <v>BM</v>
      </c>
    </row>
    <row r="2884" spans="1:7" x14ac:dyDescent="0.25">
      <c r="A2884" s="17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IFERROR(VLOOKUP(B2884,'Diciembre 2023'!$B$2:$G$5822,4,0),"")</f>
        <v>APA_PC</v>
      </c>
    </row>
    <row r="2885" spans="1:7" x14ac:dyDescent="0.25">
      <c r="A2885" s="17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IFERROR(VLOOKUP(B2885,'Diciembre 2023'!$B$2:$G$5822,4,0),"")</f>
        <v>ACTPETS</v>
      </c>
    </row>
    <row r="2886" spans="1:7" x14ac:dyDescent="0.25">
      <c r="A2886" s="17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IFERROR(VLOOKUP(B2886,'Diciembre 2023'!$B$2:$G$5822,4,0),"")</f>
        <v>ATAPET</v>
      </c>
    </row>
    <row r="2887" spans="1:7" x14ac:dyDescent="0.25">
      <c r="A2887" s="17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IFERROR(VLOOKUP(B2887,'Diciembre 2023'!$B$2:$G$5822,4,0),"")</f>
        <v>ATAPET</v>
      </c>
    </row>
    <row r="2888" spans="1:7" x14ac:dyDescent="0.25">
      <c r="A2888" s="17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IFERROR(VLOOKUP(B2888,'Diciembre 2023'!$B$2:$G$5822,4,0),"")</f>
        <v>INACTBM</v>
      </c>
    </row>
    <row r="2889" spans="1:7" x14ac:dyDescent="0.25">
      <c r="A2889" s="17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tr">
        <f>IFERROR(VLOOKUP(B2889,'Diciembre 2023'!$B$2:$G$5822,4,0),"")</f>
        <v>BM</v>
      </c>
    </row>
    <row r="2890" spans="1:7" x14ac:dyDescent="0.25">
      <c r="A2890" s="17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IFERROR(VLOOKUP(B2890,'Diciembre 2023'!$B$2:$G$5822,4,0),"")</f>
        <v>BM</v>
      </c>
    </row>
    <row r="2891" spans="1:7" x14ac:dyDescent="0.25">
      <c r="A2891" s="17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IFERROR(VLOOKUP(B2891,'Diciembre 2023'!$B$2:$G$5822,4,0),"")</f>
        <v>BM</v>
      </c>
    </row>
    <row r="2892" spans="1:7" x14ac:dyDescent="0.25">
      <c r="A2892" s="17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IFERROR(VLOOKUP(B2892,'Diciembre 2023'!$B$2:$G$5822,4,0),"")</f>
        <v>BM</v>
      </c>
    </row>
    <row r="2893" spans="1:7" x14ac:dyDescent="0.25">
      <c r="A2893" s="17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IFERROR(VLOOKUP(B2893,'Diciembre 2023'!$B$2:$G$5822,4,0),"")</f>
        <v>PL</v>
      </c>
    </row>
    <row r="2894" spans="1:7" x14ac:dyDescent="0.25">
      <c r="A2894" s="17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tr">
        <f>IFERROR(VLOOKUP(B2894,'Diciembre 2023'!$B$2:$G$5822,4,0),"")</f>
        <v>BM</v>
      </c>
    </row>
    <row r="2895" spans="1:7" x14ac:dyDescent="0.25">
      <c r="A2895" s="17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IFERROR(VLOOKUP(B2895,'Diciembre 2023'!$B$2:$G$5822,4,0),"")</f>
        <v>ACTPETF</v>
      </c>
    </row>
    <row r="2896" spans="1:7" x14ac:dyDescent="0.25">
      <c r="A2896" s="17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IFERROR(VLOOKUP(B2896,'Diciembre 2023'!$B$2:$G$5822,4,0),"")</f>
        <v>INACTBM</v>
      </c>
    </row>
    <row r="2897" spans="1:7" x14ac:dyDescent="0.25">
      <c r="A2897" s="17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IFERROR(VLOOKUP(B2897,'Diciembre 2023'!$B$2:$G$5822,4,0),"")</f>
        <v>INACTBM</v>
      </c>
    </row>
    <row r="2898" spans="1:7" x14ac:dyDescent="0.25">
      <c r="A2898" s="17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IFERROR(VLOOKUP(B2898,'Diciembre 2023'!$B$2:$G$5822,4,0),"")</f>
        <v>APA_CNPC</v>
      </c>
    </row>
    <row r="2899" spans="1:7" x14ac:dyDescent="0.25">
      <c r="A2899" s="17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IFERROR(VLOOKUP(B2899,'Diciembre 2023'!$B$2:$G$5822,4,0),"")</f>
        <v>BM</v>
      </c>
    </row>
    <row r="2900" spans="1:7" x14ac:dyDescent="0.25">
      <c r="A2900" s="17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IFERROR(VLOOKUP(B2900,'Diciembre 2023'!$B$2:$G$5822,4,0),"")</f>
        <v>ACTPETF</v>
      </c>
    </row>
    <row r="2901" spans="1:7" x14ac:dyDescent="0.25">
      <c r="A2901" s="17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IFERROR(VLOOKUP(B2901,'Diciembre 2023'!$B$2:$G$5822,4,0),"")</f>
        <v>BM</v>
      </c>
    </row>
    <row r="2902" spans="1:7" x14ac:dyDescent="0.25">
      <c r="A2902" s="17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IFERROR(VLOOKUP(B2902,'Diciembre 2023'!$B$2:$G$5822,4,0),"")</f>
        <v>BM</v>
      </c>
    </row>
    <row r="2903" spans="1:7" x14ac:dyDescent="0.25">
      <c r="A2903" s="17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IFERROR(VLOOKUP(B2903,'Diciembre 2023'!$B$2:$G$5822,4,0),"")</f>
        <v>BM</v>
      </c>
    </row>
    <row r="2904" spans="1:7" x14ac:dyDescent="0.25">
      <c r="A2904" s="17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IFERROR(VLOOKUP(B2904,'Diciembre 2023'!$B$2:$G$5822,4,0),"")</f>
        <v>APA_PC</v>
      </c>
    </row>
    <row r="2905" spans="1:7" x14ac:dyDescent="0.25">
      <c r="A2905" s="17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IFERROR(VLOOKUP(B2905,'Diciembre 2023'!$B$2:$G$5822,4,0),"")</f>
        <v>BM</v>
      </c>
    </row>
    <row r="2906" spans="1:7" x14ac:dyDescent="0.25">
      <c r="A2906" s="17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IFERROR(VLOOKUP(B2906,'Diciembre 2023'!$B$2:$G$5822,4,0),"")</f>
        <v>ACTPETS</v>
      </c>
    </row>
    <row r="2907" spans="1:7" x14ac:dyDescent="0.25">
      <c r="A2907" s="17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IFERROR(VLOOKUP(B2907,'Diciembre 2023'!$B$2:$G$5822,4,0),"")</f>
        <v>BM</v>
      </c>
    </row>
    <row r="2908" spans="1:7" x14ac:dyDescent="0.25">
      <c r="A2908" s="17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IFERROR(VLOOKUP(B2908,'Diciembre 2023'!$B$2:$G$5822,4,0),"")</f>
        <v>ACTPETS</v>
      </c>
    </row>
    <row r="2909" spans="1:7" x14ac:dyDescent="0.25">
      <c r="A2909" s="17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IFERROR(VLOOKUP(B2909,'Diciembre 2023'!$B$2:$G$5822,4,0),"")</f>
        <v>BM</v>
      </c>
    </row>
    <row r="2910" spans="1:7" x14ac:dyDescent="0.25">
      <c r="A2910" s="17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IFERROR(VLOOKUP(B2910,'Diciembre 2023'!$B$2:$G$5822,4,0),"")</f>
        <v>BM</v>
      </c>
    </row>
    <row r="2911" spans="1:7" x14ac:dyDescent="0.25">
      <c r="A2911" s="17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IFERROR(VLOOKUP(B2911,'Diciembre 2023'!$B$2:$G$5822,4,0),"")</f>
        <v>BM</v>
      </c>
    </row>
    <row r="2912" spans="1:7" x14ac:dyDescent="0.25">
      <c r="A2912" s="17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IFERROR(VLOOKUP(B2912,'Diciembre 2023'!$B$2:$G$5822,4,0),"")</f>
        <v>APA_PC</v>
      </c>
    </row>
    <row r="2913" spans="1:7" x14ac:dyDescent="0.25">
      <c r="A2913" s="17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IFERROR(VLOOKUP(B2913,'Diciembre 2023'!$B$2:$G$5822,4,0),"")</f>
        <v>APA_CNPC</v>
      </c>
    </row>
    <row r="2914" spans="1:7" x14ac:dyDescent="0.25">
      <c r="A2914" s="17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IFERROR(VLOOKUP(B2914,'Diciembre 2023'!$B$2:$G$5822,4,0),"")</f>
        <v>BM</v>
      </c>
    </row>
    <row r="2915" spans="1:7" x14ac:dyDescent="0.25">
      <c r="A2915" s="17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IFERROR(VLOOKUP(B2915,'Diciembre 2023'!$B$2:$G$5822,4,0),"")</f>
        <v>ACTPETF</v>
      </c>
    </row>
    <row r="2916" spans="1:7" x14ac:dyDescent="0.25">
      <c r="A2916" s="17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IFERROR(VLOOKUP(B2916,'Diciembre 2023'!$B$2:$G$5822,4,0),"")</f>
        <v>ACTINYA</v>
      </c>
    </row>
    <row r="2917" spans="1:7" x14ac:dyDescent="0.25">
      <c r="A2917" s="17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IFERROR(VLOOKUP(B2917,'Diciembre 2023'!$B$2:$G$5822,4,0),"")</f>
        <v>BM</v>
      </c>
    </row>
    <row r="2918" spans="1:7" x14ac:dyDescent="0.25">
      <c r="A2918" s="17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IFERROR(VLOOKUP(B2918,'Diciembre 2023'!$B$2:$G$5822,4,0),"")</f>
        <v>BM</v>
      </c>
    </row>
    <row r="2919" spans="1:7" x14ac:dyDescent="0.25">
      <c r="A2919" s="17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IFERROR(VLOOKUP(B2919,'Diciembre 2023'!$B$2:$G$5822,4,0),"")</f>
        <v>ACTPETS</v>
      </c>
    </row>
    <row r="2920" spans="1:7" x14ac:dyDescent="0.25">
      <c r="A2920" s="17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IFERROR(VLOOKUP(B2920,'Diciembre 2023'!$B$2:$G$5822,4,0),"")</f>
        <v>BM</v>
      </c>
    </row>
    <row r="2921" spans="1:7" x14ac:dyDescent="0.25">
      <c r="A2921" s="17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IFERROR(VLOOKUP(B2921,'Diciembre 2023'!$B$2:$G$5822,4,0),"")</f>
        <v>BM</v>
      </c>
    </row>
    <row r="2922" spans="1:7" x14ac:dyDescent="0.25">
      <c r="A2922" s="17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IFERROR(VLOOKUP(B2922,'Diciembre 2023'!$B$2:$G$5822,4,0),"")</f>
        <v>INACTPETS</v>
      </c>
    </row>
    <row r="2923" spans="1:7" x14ac:dyDescent="0.25">
      <c r="A2923" s="17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IFERROR(VLOOKUP(B2923,'Diciembre 2023'!$B$2:$G$5822,4,0),"")</f>
        <v>DPAPET</v>
      </c>
    </row>
    <row r="2924" spans="1:7" x14ac:dyDescent="0.25">
      <c r="A2924" s="17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IFERROR(VLOOKUP(B2924,'Diciembre 2023'!$B$2:$G$5822,4,0),"")</f>
        <v>BM</v>
      </c>
    </row>
    <row r="2925" spans="1:7" x14ac:dyDescent="0.25">
      <c r="A2925" s="17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IFERROR(VLOOKUP(B2925,'Diciembre 2023'!$B$2:$G$5822,4,0),"")</f>
        <v>INACTBM</v>
      </c>
    </row>
    <row r="2926" spans="1:7" x14ac:dyDescent="0.25">
      <c r="A2926" s="17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IFERROR(VLOOKUP(B2926,'Diciembre 2023'!$B$2:$G$5822,4,0),"")</f>
        <v>BM</v>
      </c>
    </row>
    <row r="2927" spans="1:7" x14ac:dyDescent="0.25">
      <c r="A2927" s="17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IFERROR(VLOOKUP(B2927,'Diciembre 2023'!$B$2:$G$5822,4,0),"")</f>
        <v>INACTPETS</v>
      </c>
    </row>
    <row r="2928" spans="1:7" x14ac:dyDescent="0.25">
      <c r="A2928" s="17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IFERROR(VLOOKUP(B2928,'Diciembre 2023'!$B$2:$G$5822,4,0),"")</f>
        <v>BM</v>
      </c>
    </row>
    <row r="2929" spans="1:7" x14ac:dyDescent="0.25">
      <c r="A2929" s="17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IFERROR(VLOOKUP(B2929,'Diciembre 2023'!$B$2:$G$5822,4,0),"")</f>
        <v>BM</v>
      </c>
    </row>
    <row r="2930" spans="1:7" x14ac:dyDescent="0.25">
      <c r="A2930" s="17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IFERROR(VLOOKUP(B2930,'Diciembre 2023'!$B$2:$G$5822,4,0),"")</f>
        <v>BM</v>
      </c>
    </row>
    <row r="2931" spans="1:7" x14ac:dyDescent="0.25">
      <c r="A2931" s="17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IFERROR(VLOOKUP(B2931,'Diciembre 2023'!$B$2:$G$5822,4,0),"")</f>
        <v>BM</v>
      </c>
    </row>
    <row r="2932" spans="1:7" x14ac:dyDescent="0.25">
      <c r="A2932" s="17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IFERROR(VLOOKUP(B2932,'Diciembre 2023'!$B$2:$G$5822,4,0),"")</f>
        <v>ACTPETS</v>
      </c>
    </row>
    <row r="2933" spans="1:7" x14ac:dyDescent="0.25">
      <c r="A2933" s="17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IFERROR(VLOOKUP(B2933,'Diciembre 2023'!$B$2:$G$5822,4,0),"")</f>
        <v>APA_PC</v>
      </c>
    </row>
    <row r="2934" spans="1:7" x14ac:dyDescent="0.25">
      <c r="A2934" s="17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IFERROR(VLOOKUP(B2934,'Diciembre 2023'!$B$2:$G$5822,4,0),"")</f>
        <v>BM</v>
      </c>
    </row>
    <row r="2935" spans="1:7" x14ac:dyDescent="0.25">
      <c r="A2935" s="17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IFERROR(VLOOKUP(B2935,'Diciembre 2023'!$B$2:$G$5822,4,0),"")</f>
        <v>ATAPET</v>
      </c>
    </row>
    <row r="2936" spans="1:7" x14ac:dyDescent="0.25">
      <c r="A2936" s="17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IFERROR(VLOOKUP(B2936,'Diciembre 2023'!$B$2:$G$5822,4,0),"")</f>
        <v>BM</v>
      </c>
    </row>
    <row r="2937" spans="1:7" x14ac:dyDescent="0.25">
      <c r="A2937" s="17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IFERROR(VLOOKUP(B2937,'Diciembre 2023'!$B$2:$G$5822,4,0),"")</f>
        <v>BM</v>
      </c>
    </row>
    <row r="2938" spans="1:7" x14ac:dyDescent="0.25">
      <c r="A2938" s="17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IFERROR(VLOOKUP(B2938,'Diciembre 2023'!$B$2:$G$5822,4,0),"")</f>
        <v>BM</v>
      </c>
    </row>
    <row r="2939" spans="1:7" x14ac:dyDescent="0.25">
      <c r="A2939" s="17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IFERROR(VLOOKUP(B2939,'Diciembre 2023'!$B$2:$G$5822,4,0),"")</f>
        <v>BM</v>
      </c>
    </row>
    <row r="2940" spans="1:7" x14ac:dyDescent="0.25">
      <c r="A2940" s="17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IFERROR(VLOOKUP(B2940,'Diciembre 2023'!$B$2:$G$5822,4,0),"")</f>
        <v>ATAPET</v>
      </c>
    </row>
    <row r="2941" spans="1:7" x14ac:dyDescent="0.25">
      <c r="A2941" s="17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IFERROR(VLOOKUP(B2941,'Diciembre 2023'!$B$2:$G$5822,4,0),"")</f>
        <v>ACTPETF</v>
      </c>
    </row>
    <row r="2942" spans="1:7" x14ac:dyDescent="0.25">
      <c r="A2942" s="17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IFERROR(VLOOKUP(B2942,'Diciembre 2023'!$B$2:$G$5822,4,0),"")</f>
        <v>BM</v>
      </c>
    </row>
    <row r="2943" spans="1:7" x14ac:dyDescent="0.25">
      <c r="A2943" s="17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IFERROR(VLOOKUP(B2943,'Diciembre 2023'!$B$2:$G$5822,4,0),"")</f>
        <v>BM</v>
      </c>
    </row>
    <row r="2944" spans="1:7" x14ac:dyDescent="0.25">
      <c r="A2944" s="17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IFERROR(VLOOKUP(B2944,'Diciembre 2023'!$B$2:$G$5822,4,0),"")</f>
        <v>ACTPETS</v>
      </c>
    </row>
    <row r="2945" spans="1:7" x14ac:dyDescent="0.25">
      <c r="A2945" s="17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IFERROR(VLOOKUP(B2945,'Diciembre 2023'!$B$2:$G$5822,4,0),"")</f>
        <v>ACTPETS</v>
      </c>
    </row>
    <row r="2946" spans="1:7" x14ac:dyDescent="0.25">
      <c r="A2946" s="17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IFERROR(VLOOKUP(B2946,'Diciembre 2023'!$B$2:$G$5822,4,0),"")</f>
        <v>BM</v>
      </c>
    </row>
    <row r="2947" spans="1:7" x14ac:dyDescent="0.25">
      <c r="A2947" s="17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IFERROR(VLOOKUP(B2947,'Diciembre 2023'!$B$2:$G$5822,4,0),"")</f>
        <v>BM</v>
      </c>
    </row>
    <row r="2948" spans="1:7" x14ac:dyDescent="0.25">
      <c r="A2948" s="17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IFERROR(VLOOKUP(B2948,'Diciembre 2023'!$B$2:$G$5822,4,0),"")</f>
        <v>BM</v>
      </c>
    </row>
    <row r="2949" spans="1:7" x14ac:dyDescent="0.25">
      <c r="A2949" s="17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IFERROR(VLOOKUP(B2949,'Diciembre 2023'!$B$2:$G$5822,4,0),"")</f>
        <v>INACTPETF</v>
      </c>
    </row>
    <row r="2950" spans="1:7" x14ac:dyDescent="0.25">
      <c r="A2950" s="17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IFERROR(VLOOKUP(B2950,'Diciembre 2023'!$B$2:$G$5822,4,0),"")</f>
        <v>INACTBM</v>
      </c>
    </row>
    <row r="2951" spans="1:7" x14ac:dyDescent="0.25">
      <c r="A2951" s="17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IFERROR(VLOOKUP(B2951,'Diciembre 2023'!$B$2:$G$5822,4,0),"")</f>
        <v>ACTPETF</v>
      </c>
    </row>
    <row r="2952" spans="1:7" x14ac:dyDescent="0.25">
      <c r="A2952" s="17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IFERROR(VLOOKUP(B2952,'Diciembre 2023'!$B$2:$G$5822,4,0),"")</f>
        <v>DPAPET</v>
      </c>
    </row>
    <row r="2953" spans="1:7" x14ac:dyDescent="0.25">
      <c r="A2953" s="17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IFERROR(VLOOKUP(B2953,'Diciembre 2023'!$B$2:$G$5822,4,0),"")</f>
        <v>INACTPETS</v>
      </c>
    </row>
    <row r="2954" spans="1:7" x14ac:dyDescent="0.25">
      <c r="A2954" s="17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IFERROR(VLOOKUP(B2954,'Diciembre 2023'!$B$2:$G$5822,4,0),"")</f>
        <v>APA_CNPC</v>
      </c>
    </row>
    <row r="2955" spans="1:7" x14ac:dyDescent="0.25">
      <c r="A2955" s="17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IFERROR(VLOOKUP(B2955,'Diciembre 2023'!$B$2:$G$5822,4,0),"")</f>
        <v>APA_PC</v>
      </c>
    </row>
    <row r="2956" spans="1:7" x14ac:dyDescent="0.25">
      <c r="A2956" s="17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IFERROR(VLOOKUP(B2956,'Diciembre 2023'!$B$2:$G$5822,4,0),"")</f>
        <v>INACTBM</v>
      </c>
    </row>
    <row r="2957" spans="1:7" x14ac:dyDescent="0.25">
      <c r="A2957" s="17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IFERROR(VLOOKUP(B2957,'Diciembre 2023'!$B$2:$G$5822,4,0),"")</f>
        <v>BM</v>
      </c>
    </row>
    <row r="2958" spans="1:7" x14ac:dyDescent="0.25">
      <c r="A2958" s="17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IFERROR(VLOOKUP(B2958,'Diciembre 2023'!$B$2:$G$5822,4,0),"")</f>
        <v>ACTPETF</v>
      </c>
    </row>
    <row r="2959" spans="1:7" x14ac:dyDescent="0.25">
      <c r="A2959" s="17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IFERROR(VLOOKUP(B2959,'Diciembre 2023'!$B$2:$G$5822,4,0),"")</f>
        <v>DPAPET</v>
      </c>
    </row>
    <row r="2960" spans="1:7" x14ac:dyDescent="0.25">
      <c r="A2960" s="17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IFERROR(VLOOKUP(B2960,'Diciembre 2023'!$B$2:$G$5822,4,0),"")</f>
        <v>ATAINY</v>
      </c>
    </row>
    <row r="2961" spans="1:7" x14ac:dyDescent="0.25">
      <c r="A2961" s="17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IFERROR(VLOOKUP(B2961,'Diciembre 2023'!$B$2:$G$5822,4,0),"")</f>
        <v>INACTBM</v>
      </c>
    </row>
    <row r="2962" spans="1:7" x14ac:dyDescent="0.25">
      <c r="A2962" s="17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IFERROR(VLOOKUP(B2962,'Diciembre 2023'!$B$2:$G$5822,4,0),"")</f>
        <v>INACTBM</v>
      </c>
    </row>
    <row r="2963" spans="1:7" x14ac:dyDescent="0.25">
      <c r="A2963" s="17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IFERROR(VLOOKUP(B2963,'Diciembre 2023'!$B$2:$G$5822,4,0),"")</f>
        <v>APA_PC</v>
      </c>
    </row>
    <row r="2964" spans="1:7" x14ac:dyDescent="0.25">
      <c r="A2964" s="17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IFERROR(VLOOKUP(B2964,'Diciembre 2023'!$B$2:$G$5822,4,0),"")</f>
        <v>PL</v>
      </c>
    </row>
    <row r="2965" spans="1:7" x14ac:dyDescent="0.25">
      <c r="A2965" s="17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IFERROR(VLOOKUP(B2965,'Diciembre 2023'!$B$2:$G$5822,4,0),"")</f>
        <v>ACTPETS</v>
      </c>
    </row>
    <row r="2966" spans="1:7" x14ac:dyDescent="0.25">
      <c r="A2966" s="17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IFERROR(VLOOKUP(B2966,'Diciembre 2023'!$B$2:$G$5822,4,0),"")</f>
        <v>BO</v>
      </c>
    </row>
    <row r="2967" spans="1:7" x14ac:dyDescent="0.25">
      <c r="A2967" s="17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IFERROR(VLOOKUP(B2967,'Diciembre 2023'!$B$2:$G$5822,4,0),"")</f>
        <v>ACTPETS</v>
      </c>
    </row>
    <row r="2968" spans="1:7" x14ac:dyDescent="0.25">
      <c r="A2968" s="17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IFERROR(VLOOKUP(B2968,'Diciembre 2023'!$B$2:$G$5822,4,0),"")</f>
        <v>ACTPETF</v>
      </c>
    </row>
    <row r="2969" spans="1:7" x14ac:dyDescent="0.25">
      <c r="A2969" s="17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IFERROR(VLOOKUP(B2969,'Diciembre 2023'!$B$2:$G$5822,4,0),"")</f>
        <v>INACTPETF</v>
      </c>
    </row>
    <row r="2970" spans="1:7" x14ac:dyDescent="0.25">
      <c r="A2970" s="17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IFERROR(VLOOKUP(B2970,'Diciembre 2023'!$B$2:$G$5822,4,0),"")</f>
        <v>ACTPETS</v>
      </c>
    </row>
    <row r="2971" spans="1:7" x14ac:dyDescent="0.25">
      <c r="A2971" s="17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IFERROR(VLOOKUP(B2971,'Diciembre 2023'!$B$2:$G$5822,4,0),"")</f>
        <v>BM</v>
      </c>
    </row>
    <row r="2972" spans="1:7" x14ac:dyDescent="0.25">
      <c r="A2972" s="17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IFERROR(VLOOKUP(B2972,'Diciembre 2023'!$B$2:$G$5822,4,0),"")</f>
        <v>PL</v>
      </c>
    </row>
    <row r="2973" spans="1:7" x14ac:dyDescent="0.25">
      <c r="A2973" s="17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IFERROR(VLOOKUP(B2973,'Diciembre 2023'!$B$2:$G$5822,4,0),"")</f>
        <v>ACTPETS</v>
      </c>
    </row>
    <row r="2974" spans="1:7" x14ac:dyDescent="0.25">
      <c r="A2974" s="17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IFERROR(VLOOKUP(B2974,'Diciembre 2023'!$B$2:$G$5822,4,0),"")</f>
        <v>BM</v>
      </c>
    </row>
    <row r="2975" spans="1:7" x14ac:dyDescent="0.25">
      <c r="A2975" s="17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IFERROR(VLOOKUP(B2975,'Diciembre 2023'!$B$2:$G$5822,4,0),"")</f>
        <v>BM</v>
      </c>
    </row>
    <row r="2976" spans="1:7" x14ac:dyDescent="0.25">
      <c r="A2976" s="17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IFERROR(VLOOKUP(B2976,'Diciembre 2023'!$B$2:$G$5822,4,0),"")</f>
        <v>ACTPETF</v>
      </c>
    </row>
    <row r="2977" spans="1:7" x14ac:dyDescent="0.25">
      <c r="A2977" s="17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IFERROR(VLOOKUP(B2977,'Diciembre 2023'!$B$2:$G$5822,4,0),"")</f>
        <v>INACTBM</v>
      </c>
    </row>
    <row r="2978" spans="1:7" x14ac:dyDescent="0.25">
      <c r="A2978" s="17"/>
      <c r="B2978" s="4" t="s">
        <v>2890</v>
      </c>
      <c r="C2978" s="4" t="s">
        <v>14</v>
      </c>
      <c r="D2978" s="4" t="s">
        <v>15</v>
      </c>
      <c r="E2978" s="4" t="s">
        <v>16</v>
      </c>
      <c r="F2978" s="4" t="s">
        <v>14</v>
      </c>
      <c r="G2978" s="5" t="str">
        <f>IFERROR(VLOOKUP(B2978,'Diciembre 2023'!$B$2:$G$5822,4,0),"")</f>
        <v>ATAPET</v>
      </c>
    </row>
    <row r="2979" spans="1:7" x14ac:dyDescent="0.25">
      <c r="A2979" s="17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IFERROR(VLOOKUP(B2979,'Diciembre 2023'!$B$2:$G$5822,4,0),"")</f>
        <v>BM</v>
      </c>
    </row>
    <row r="2980" spans="1:7" x14ac:dyDescent="0.25">
      <c r="A2980" s="17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IFERROR(VLOOKUP(B2980,'Diciembre 2023'!$B$2:$G$5822,4,0),"")</f>
        <v>BM</v>
      </c>
    </row>
    <row r="2981" spans="1:7" x14ac:dyDescent="0.25">
      <c r="A2981" s="17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IFERROR(VLOOKUP(B2981,'Diciembre 2023'!$B$2:$G$5822,4,0),"")</f>
        <v>BO</v>
      </c>
    </row>
    <row r="2982" spans="1:7" x14ac:dyDescent="0.25">
      <c r="A2982" s="17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IFERROR(VLOOKUP(B2982,'Diciembre 2023'!$B$2:$G$5822,4,0),"")</f>
        <v>ACTPETF</v>
      </c>
    </row>
    <row r="2983" spans="1:7" x14ac:dyDescent="0.25">
      <c r="A2983" s="17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IFERROR(VLOOKUP(B2983,'Diciembre 2023'!$B$2:$G$5822,4,0),"")</f>
        <v>INACTBM</v>
      </c>
    </row>
    <row r="2984" spans="1:7" x14ac:dyDescent="0.25">
      <c r="A2984" s="17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IFERROR(VLOOKUP(B2984,'Diciembre 2023'!$B$2:$G$5822,4,0),"")</f>
        <v>BM</v>
      </c>
    </row>
    <row r="2985" spans="1:7" x14ac:dyDescent="0.25">
      <c r="A2985" s="17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IFERROR(VLOOKUP(B2985,'Diciembre 2023'!$B$2:$G$5822,4,0),"")</f>
        <v>APA_PC</v>
      </c>
    </row>
    <row r="2986" spans="1:7" x14ac:dyDescent="0.25">
      <c r="A2986" s="17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IFERROR(VLOOKUP(B2986,'Diciembre 2023'!$B$2:$G$5822,4,0),"")</f>
        <v>ATAPET</v>
      </c>
    </row>
    <row r="2987" spans="1:7" x14ac:dyDescent="0.25">
      <c r="A2987" s="17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IFERROR(VLOOKUP(B2987,'Diciembre 2023'!$B$2:$G$5822,4,0),"")</f>
        <v>BM</v>
      </c>
    </row>
    <row r="2988" spans="1:7" x14ac:dyDescent="0.25">
      <c r="A2988" s="17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IFERROR(VLOOKUP(B2988,'Diciembre 2023'!$B$2:$G$5822,4,0),"")</f>
        <v>DPAPET</v>
      </c>
    </row>
    <row r="2989" spans="1:7" x14ac:dyDescent="0.25">
      <c r="A2989" s="17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IFERROR(VLOOKUP(B2989,'Diciembre 2023'!$B$2:$G$5822,4,0),"")</f>
        <v>BM</v>
      </c>
    </row>
    <row r="2990" spans="1:7" x14ac:dyDescent="0.25">
      <c r="A2990" s="17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IFERROR(VLOOKUP(B2990,'Diciembre 2023'!$B$2:$G$5822,4,0),"")</f>
        <v>BM</v>
      </c>
    </row>
    <row r="2991" spans="1:7" x14ac:dyDescent="0.25">
      <c r="A2991" s="17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IFERROR(VLOOKUP(B2991,'Diciembre 2023'!$B$2:$G$5822,4,0),"")</f>
        <v>BM</v>
      </c>
    </row>
    <row r="2992" spans="1:7" x14ac:dyDescent="0.25">
      <c r="A2992" s="17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IFERROR(VLOOKUP(B2992,'Diciembre 2023'!$B$2:$G$5822,4,0),"")</f>
        <v>BM</v>
      </c>
    </row>
    <row r="2993" spans="1:7" x14ac:dyDescent="0.25">
      <c r="A2993" s="17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IFERROR(VLOOKUP(B2993,'Diciembre 2023'!$B$2:$G$5822,4,0),"")</f>
        <v>ACTPETS</v>
      </c>
    </row>
    <row r="2994" spans="1:7" x14ac:dyDescent="0.25">
      <c r="A2994" s="17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IFERROR(VLOOKUP(B2994,'Diciembre 2023'!$B$2:$G$5822,4,0),"")</f>
        <v>BM</v>
      </c>
    </row>
    <row r="2995" spans="1:7" x14ac:dyDescent="0.25">
      <c r="A2995" s="17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IFERROR(VLOOKUP(B2995,'Diciembre 2023'!$B$2:$G$5822,4,0),"")</f>
        <v>ATAPET</v>
      </c>
    </row>
    <row r="2996" spans="1:7" x14ac:dyDescent="0.25">
      <c r="A2996" s="17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IFERROR(VLOOKUP(B2996,'Diciembre 2023'!$B$2:$G$5822,4,0),"")</f>
        <v>BM</v>
      </c>
    </row>
    <row r="2997" spans="1:7" x14ac:dyDescent="0.25">
      <c r="A2997" s="17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IFERROR(VLOOKUP(B2997,'Diciembre 2023'!$B$2:$G$5822,4,0),"")</f>
        <v>BM</v>
      </c>
    </row>
    <row r="2998" spans="1:7" x14ac:dyDescent="0.25">
      <c r="A2998" s="17"/>
      <c r="B2998" s="4" t="s">
        <v>2910</v>
      </c>
      <c r="C2998" s="4" t="s">
        <v>35</v>
      </c>
      <c r="D2998" s="4" t="s">
        <v>35</v>
      </c>
      <c r="E2998" s="4" t="s">
        <v>5631</v>
      </c>
      <c r="F2998" s="4" t="s">
        <v>1090</v>
      </c>
      <c r="G2998" s="5" t="str">
        <f>IFERROR(VLOOKUP(B2998,'Diciembre 2023'!$B$2:$G$5822,4,0),"")</f>
        <v>INACTGL</v>
      </c>
    </row>
    <row r="2999" spans="1:7" x14ac:dyDescent="0.25">
      <c r="A2999" s="17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IFERROR(VLOOKUP(B2999,'Diciembre 2023'!$B$2:$G$5822,4,0),"")</f>
        <v>ATAPET</v>
      </c>
    </row>
    <row r="3000" spans="1:7" x14ac:dyDescent="0.25">
      <c r="A3000" s="17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IFERROR(VLOOKUP(B3000,'Diciembre 2023'!$B$2:$G$5822,4,0),"")</f>
        <v>BM</v>
      </c>
    </row>
    <row r="3001" spans="1:7" x14ac:dyDescent="0.25">
      <c r="A3001" s="17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IFERROR(VLOOKUP(B3001,'Diciembre 2023'!$B$2:$G$5822,4,0),"")</f>
        <v>ACTPETF</v>
      </c>
    </row>
    <row r="3002" spans="1:7" x14ac:dyDescent="0.25">
      <c r="A3002" s="17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IFERROR(VLOOKUP(B3002,'Diciembre 2023'!$B$2:$G$5822,4,0),"")</f>
        <v>ACTPETS</v>
      </c>
    </row>
    <row r="3003" spans="1:7" x14ac:dyDescent="0.25">
      <c r="A3003" s="17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IFERROR(VLOOKUP(B3003,'Diciembre 2023'!$B$2:$G$5822,4,0),"")</f>
        <v>ACTPETF</v>
      </c>
    </row>
    <row r="3004" spans="1:7" x14ac:dyDescent="0.25">
      <c r="A3004" s="17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IFERROR(VLOOKUP(B3004,'Diciembre 2023'!$B$2:$G$5822,4,0),"")</f>
        <v>BM</v>
      </c>
    </row>
    <row r="3005" spans="1:7" x14ac:dyDescent="0.25">
      <c r="A3005" s="17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IFERROR(VLOOKUP(B3005,'Diciembre 2023'!$B$2:$G$5822,4,0),"")</f>
        <v>BM</v>
      </c>
    </row>
    <row r="3006" spans="1:7" x14ac:dyDescent="0.25">
      <c r="A3006" s="17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IFERROR(VLOOKUP(B3006,'Diciembre 2023'!$B$2:$G$5822,4,0),"")</f>
        <v>BO</v>
      </c>
    </row>
    <row r="3007" spans="1:7" x14ac:dyDescent="0.25">
      <c r="A3007" s="17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IFERROR(VLOOKUP(B3007,'Diciembre 2023'!$B$2:$G$5822,4,0),"")</f>
        <v>ACTPETF</v>
      </c>
    </row>
    <row r="3008" spans="1:7" x14ac:dyDescent="0.25">
      <c r="A3008" s="17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IFERROR(VLOOKUP(B3008,'Diciembre 2023'!$B$2:$G$5822,4,0),"")</f>
        <v>BM</v>
      </c>
    </row>
    <row r="3009" spans="1:7" x14ac:dyDescent="0.25">
      <c r="A3009" s="17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IFERROR(VLOOKUP(B3009,'Diciembre 2023'!$B$2:$G$5822,4,0),"")</f>
        <v>BM</v>
      </c>
    </row>
    <row r="3010" spans="1:7" x14ac:dyDescent="0.25">
      <c r="A3010" s="17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IFERROR(VLOOKUP(B3010,'Diciembre 2023'!$B$2:$G$5822,4,0),"")</f>
        <v>BM</v>
      </c>
    </row>
    <row r="3011" spans="1:7" x14ac:dyDescent="0.25">
      <c r="A3011" s="17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IFERROR(VLOOKUP(B3011,'Diciembre 2023'!$B$2:$G$5822,4,0),"")</f>
        <v>BM</v>
      </c>
    </row>
    <row r="3012" spans="1:7" x14ac:dyDescent="0.25">
      <c r="A3012" s="17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IFERROR(VLOOKUP(B3012,'Diciembre 2023'!$B$2:$G$5822,4,0),"")</f>
        <v>BM</v>
      </c>
    </row>
    <row r="3013" spans="1:7" x14ac:dyDescent="0.25">
      <c r="A3013" s="17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IFERROR(VLOOKUP(B3013,'Diciembre 2023'!$B$2:$G$5822,4,0),"")</f>
        <v>BM</v>
      </c>
    </row>
    <row r="3014" spans="1:7" x14ac:dyDescent="0.25">
      <c r="A3014" s="17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IFERROR(VLOOKUP(B3014,'Diciembre 2023'!$B$2:$G$5822,4,0),"")</f>
        <v>BM</v>
      </c>
    </row>
    <row r="3015" spans="1:7" x14ac:dyDescent="0.25">
      <c r="A3015" s="17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IFERROR(VLOOKUP(B3015,'Diciembre 2023'!$B$2:$G$5822,4,0),"")</f>
        <v>BM</v>
      </c>
    </row>
    <row r="3016" spans="1:7" x14ac:dyDescent="0.25">
      <c r="A3016" s="17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IFERROR(VLOOKUP(B3016,'Diciembre 2023'!$B$2:$G$5822,4,0),"")</f>
        <v>BM</v>
      </c>
    </row>
    <row r="3017" spans="1:7" x14ac:dyDescent="0.25">
      <c r="A3017" s="17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IFERROR(VLOOKUP(B3017,'Diciembre 2023'!$B$2:$G$5822,4,0),"")</f>
        <v>ACTPETS</v>
      </c>
    </row>
    <row r="3018" spans="1:7" x14ac:dyDescent="0.25">
      <c r="A3018" s="17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IFERROR(VLOOKUP(B3018,'Diciembre 2023'!$B$2:$G$5822,4,0),"")</f>
        <v>BM</v>
      </c>
    </row>
    <row r="3019" spans="1:7" x14ac:dyDescent="0.25">
      <c r="A3019" s="17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IFERROR(VLOOKUP(B3019,'Diciembre 2023'!$B$2:$G$5822,4,0),"")</f>
        <v>BM</v>
      </c>
    </row>
    <row r="3020" spans="1:7" x14ac:dyDescent="0.25">
      <c r="A3020" s="17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IFERROR(VLOOKUP(B3020,'Diciembre 2023'!$B$2:$G$5822,4,0),"")</f>
        <v>PL</v>
      </c>
    </row>
    <row r="3021" spans="1:7" x14ac:dyDescent="0.25">
      <c r="A3021" s="17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IFERROR(VLOOKUP(B3021,'Diciembre 2023'!$B$2:$G$5822,4,0),"")</f>
        <v>PL</v>
      </c>
    </row>
    <row r="3022" spans="1:7" x14ac:dyDescent="0.25">
      <c r="A3022" s="17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IFERROR(VLOOKUP(B3022,'Diciembre 2023'!$B$2:$G$5822,4,0),"")</f>
        <v>BM</v>
      </c>
    </row>
    <row r="3023" spans="1:7" x14ac:dyDescent="0.25">
      <c r="A3023" s="17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IFERROR(VLOOKUP(B3023,'Diciembre 2023'!$B$2:$G$5822,4,0),"")</f>
        <v>BM</v>
      </c>
    </row>
    <row r="3024" spans="1:7" x14ac:dyDescent="0.25">
      <c r="A3024" s="17"/>
      <c r="B3024" s="4" t="s">
        <v>2936</v>
      </c>
      <c r="C3024" s="4" t="s">
        <v>35</v>
      </c>
      <c r="D3024" s="4" t="s">
        <v>35</v>
      </c>
      <c r="E3024" s="4" t="s">
        <v>163</v>
      </c>
      <c r="F3024" s="4" t="s">
        <v>21</v>
      </c>
      <c r="G3024" s="5" t="str">
        <f>IFERROR(VLOOKUP(B3024,'Diciembre 2023'!$B$2:$G$5822,4,0),"")</f>
        <v>INACTPETS</v>
      </c>
    </row>
    <row r="3025" spans="1:7" x14ac:dyDescent="0.25">
      <c r="A3025" s="17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IFERROR(VLOOKUP(B3025,'Diciembre 2023'!$B$2:$G$5822,4,0),"")</f>
        <v>ATAPET</v>
      </c>
    </row>
    <row r="3026" spans="1:7" x14ac:dyDescent="0.25">
      <c r="A3026" s="17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IFERROR(VLOOKUP(B3026,'Diciembre 2023'!$B$2:$G$5822,4,0),"")</f>
        <v>BM</v>
      </c>
    </row>
    <row r="3027" spans="1:7" x14ac:dyDescent="0.25">
      <c r="A3027" s="17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IFERROR(VLOOKUP(B3027,'Diciembre 2023'!$B$2:$G$5822,4,0),"")</f>
        <v>BM</v>
      </c>
    </row>
    <row r="3028" spans="1:7" x14ac:dyDescent="0.25">
      <c r="A3028" s="17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IFERROR(VLOOKUP(B3028,'Diciembre 2023'!$B$2:$G$5822,4,0),"")</f>
        <v>INACTPETS</v>
      </c>
    </row>
    <row r="3029" spans="1:7" x14ac:dyDescent="0.25">
      <c r="A3029" s="17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IFERROR(VLOOKUP(B3029,'Diciembre 2023'!$B$2:$G$5822,4,0),"")</f>
        <v>BM</v>
      </c>
    </row>
    <row r="3030" spans="1:7" x14ac:dyDescent="0.25">
      <c r="A3030" s="17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IFERROR(VLOOKUP(B3030,'Diciembre 2023'!$B$2:$G$5822,4,0),"")</f>
        <v>BM</v>
      </c>
    </row>
    <row r="3031" spans="1:7" x14ac:dyDescent="0.25">
      <c r="A3031" s="17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IFERROR(VLOOKUP(B3031,'Diciembre 2023'!$B$2:$G$5822,4,0),"")</f>
        <v>BM</v>
      </c>
    </row>
    <row r="3032" spans="1:7" x14ac:dyDescent="0.25">
      <c r="A3032" s="17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IFERROR(VLOOKUP(B3032,'Diciembre 2023'!$B$2:$G$5822,4,0),"")</f>
        <v>BM</v>
      </c>
    </row>
    <row r="3033" spans="1:7" x14ac:dyDescent="0.25">
      <c r="A3033" s="17"/>
      <c r="B3033" s="4" t="s">
        <v>2945</v>
      </c>
      <c r="C3033" s="4" t="s">
        <v>11</v>
      </c>
      <c r="D3033" s="4" t="s">
        <v>11</v>
      </c>
      <c r="E3033" s="4" t="s">
        <v>11</v>
      </c>
      <c r="F3033" s="4" t="s">
        <v>1822</v>
      </c>
      <c r="G3033" s="5" t="str">
        <f>IFERROR(VLOOKUP(B3033,'Diciembre 2023'!$B$2:$G$5822,4,0),"")</f>
        <v>BM</v>
      </c>
    </row>
    <row r="3034" spans="1:7" x14ac:dyDescent="0.25">
      <c r="A3034" s="17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IFERROR(VLOOKUP(B3034,'Diciembre 2023'!$B$2:$G$5822,4,0),"")</f>
        <v>BM</v>
      </c>
    </row>
    <row r="3035" spans="1:7" x14ac:dyDescent="0.25">
      <c r="A3035" s="17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IFERROR(VLOOKUP(B3035,'Diciembre 2023'!$B$2:$G$5822,4,0),"")</f>
        <v>BM</v>
      </c>
    </row>
    <row r="3036" spans="1:7" x14ac:dyDescent="0.25">
      <c r="A3036" s="17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IFERROR(VLOOKUP(B3036,'Diciembre 2023'!$B$2:$G$5822,4,0),"")</f>
        <v>BM</v>
      </c>
    </row>
    <row r="3037" spans="1:7" x14ac:dyDescent="0.25">
      <c r="A3037" s="17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IFERROR(VLOOKUP(B3037,'Diciembre 2023'!$B$2:$G$5822,4,0),"")</f>
        <v>BM</v>
      </c>
    </row>
    <row r="3038" spans="1:7" x14ac:dyDescent="0.25">
      <c r="A3038" s="17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IFERROR(VLOOKUP(B3038,'Diciembre 2023'!$B$2:$G$5822,4,0),"")</f>
        <v>ACTPETS</v>
      </c>
    </row>
    <row r="3039" spans="1:7" x14ac:dyDescent="0.25">
      <c r="A3039" s="17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IFERROR(VLOOKUP(B3039,'Diciembre 2023'!$B$2:$G$5822,4,0),"")</f>
        <v>BM</v>
      </c>
    </row>
    <row r="3040" spans="1:7" x14ac:dyDescent="0.25">
      <c r="A3040" s="17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IFERROR(VLOOKUP(B3040,'Diciembre 2023'!$B$2:$G$5822,4,0),"")</f>
        <v>BM</v>
      </c>
    </row>
    <row r="3041" spans="1:7" x14ac:dyDescent="0.25">
      <c r="A3041" s="17"/>
      <c r="B3041" s="4" t="s">
        <v>2953</v>
      </c>
      <c r="C3041" s="4" t="s">
        <v>35</v>
      </c>
      <c r="D3041" s="4" t="s">
        <v>35</v>
      </c>
      <c r="E3041" s="4" t="s">
        <v>163</v>
      </c>
      <c r="F3041" s="4" t="s">
        <v>21</v>
      </c>
      <c r="G3041" s="5" t="str">
        <f>IFERROR(VLOOKUP(B3041,'Diciembre 2023'!$B$2:$G$5822,4,0),"")</f>
        <v>INACTPETS</v>
      </c>
    </row>
    <row r="3042" spans="1:7" x14ac:dyDescent="0.25">
      <c r="A3042" s="17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IFERROR(VLOOKUP(B3042,'Diciembre 2023'!$B$2:$G$5822,4,0),"")</f>
        <v>BM</v>
      </c>
    </row>
    <row r="3043" spans="1:7" x14ac:dyDescent="0.25">
      <c r="A3043" s="17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IFERROR(VLOOKUP(B3043,'Diciembre 2023'!$B$2:$G$5822,4,0),"")</f>
        <v>ACTPETS</v>
      </c>
    </row>
    <row r="3044" spans="1:7" x14ac:dyDescent="0.25">
      <c r="A3044" s="17"/>
      <c r="B3044" s="4" t="s">
        <v>2956</v>
      </c>
      <c r="C3044" s="4" t="s">
        <v>14</v>
      </c>
      <c r="D3044" s="4" t="s">
        <v>15</v>
      </c>
      <c r="E3044" s="4" t="s">
        <v>16</v>
      </c>
      <c r="F3044" s="4" t="s">
        <v>14</v>
      </c>
      <c r="G3044" s="5" t="str">
        <f>IFERROR(VLOOKUP(B3044,'Diciembre 2023'!$B$2:$G$5822,4,0),"")</f>
        <v>ATAPET</v>
      </c>
    </row>
    <row r="3045" spans="1:7" x14ac:dyDescent="0.25">
      <c r="A3045" s="17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IFERROR(VLOOKUP(B3045,'Diciembre 2023'!$B$2:$G$5822,4,0),"")</f>
        <v>BM</v>
      </c>
    </row>
    <row r="3046" spans="1:7" x14ac:dyDescent="0.25">
      <c r="A3046" s="17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IFERROR(VLOOKUP(B3046,'Diciembre 2023'!$B$2:$G$5822,4,0),"")</f>
        <v>BM</v>
      </c>
    </row>
    <row r="3047" spans="1:7" x14ac:dyDescent="0.25">
      <c r="A3047" s="17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IFERROR(VLOOKUP(B3047,'Diciembre 2023'!$B$2:$G$5822,4,0),"")</f>
        <v>ACTPETF</v>
      </c>
    </row>
    <row r="3048" spans="1:7" x14ac:dyDescent="0.25">
      <c r="A3048" s="17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IFERROR(VLOOKUP(B3048,'Diciembre 2023'!$B$2:$G$5822,4,0),"")</f>
        <v>BM</v>
      </c>
    </row>
    <row r="3049" spans="1:7" x14ac:dyDescent="0.25">
      <c r="A3049" s="17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IFERROR(VLOOKUP(B3049,'Diciembre 2023'!$B$2:$G$5822,4,0),"")</f>
        <v>BM</v>
      </c>
    </row>
    <row r="3050" spans="1:7" x14ac:dyDescent="0.25">
      <c r="A3050" s="17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IFERROR(VLOOKUP(B3050,'Diciembre 2023'!$B$2:$G$5822,4,0),"")</f>
        <v>ATAPET</v>
      </c>
    </row>
    <row r="3051" spans="1:7" x14ac:dyDescent="0.25">
      <c r="A3051" s="17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IFERROR(VLOOKUP(B3051,'Diciembre 2023'!$B$2:$G$5822,4,0),"")</f>
        <v>PL</v>
      </c>
    </row>
    <row r="3052" spans="1:7" x14ac:dyDescent="0.25">
      <c r="A3052" s="17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IFERROR(VLOOKUP(B3052,'Diciembre 2023'!$B$2:$G$5822,4,0),"")</f>
        <v>INACTGL</v>
      </c>
    </row>
    <row r="3053" spans="1:7" x14ac:dyDescent="0.25">
      <c r="A3053" s="17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IFERROR(VLOOKUP(B3053,'Diciembre 2023'!$B$2:$G$5822,4,0),"")</f>
        <v>BM</v>
      </c>
    </row>
    <row r="3054" spans="1:7" x14ac:dyDescent="0.25">
      <c r="A3054" s="17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IFERROR(VLOOKUP(B3054,'Diciembre 2023'!$B$2:$G$5822,4,0),"")</f>
        <v>BM</v>
      </c>
    </row>
    <row r="3055" spans="1:7" x14ac:dyDescent="0.25">
      <c r="A3055" s="17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IFERROR(VLOOKUP(B3055,'Diciembre 2023'!$B$2:$G$5822,4,0),"")</f>
        <v>BM</v>
      </c>
    </row>
    <row r="3056" spans="1:7" x14ac:dyDescent="0.25">
      <c r="A3056" s="17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IFERROR(VLOOKUP(B3056,'Diciembre 2023'!$B$2:$G$5822,4,0),"")</f>
        <v>BM</v>
      </c>
    </row>
    <row r="3057" spans="1:7" x14ac:dyDescent="0.25">
      <c r="A3057" s="17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IFERROR(VLOOKUP(B3057,'Diciembre 2023'!$B$2:$G$5822,4,0),"")</f>
        <v>BM</v>
      </c>
    </row>
    <row r="3058" spans="1:7" x14ac:dyDescent="0.25">
      <c r="A3058" s="17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IFERROR(VLOOKUP(B3058,'Diciembre 2023'!$B$2:$G$5822,4,0),"")</f>
        <v>BM</v>
      </c>
    </row>
    <row r="3059" spans="1:7" x14ac:dyDescent="0.25">
      <c r="A3059" s="17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IFERROR(VLOOKUP(B3059,'Diciembre 2023'!$B$2:$G$5822,4,0),"")</f>
        <v>INACTPETF</v>
      </c>
    </row>
    <row r="3060" spans="1:7" x14ac:dyDescent="0.25">
      <c r="A3060" s="17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IFERROR(VLOOKUP(B3060,'Diciembre 2023'!$B$2:$G$5822,4,0),"")</f>
        <v>INACTPETS</v>
      </c>
    </row>
    <row r="3061" spans="1:7" x14ac:dyDescent="0.25">
      <c r="A3061" s="17"/>
      <c r="B3061" s="4" t="s">
        <v>2973</v>
      </c>
      <c r="C3061" s="4" t="s">
        <v>35</v>
      </c>
      <c r="D3061" s="4" t="s">
        <v>35</v>
      </c>
      <c r="E3061" s="4" t="s">
        <v>57</v>
      </c>
      <c r="F3061" s="4" t="s">
        <v>1931</v>
      </c>
      <c r="G3061" s="5" t="str">
        <f>IFERROR(VLOOKUP(B3061,'Diciembre 2023'!$B$2:$G$5822,4,0),"")</f>
        <v>BM</v>
      </c>
    </row>
    <row r="3062" spans="1:7" x14ac:dyDescent="0.25">
      <c r="A3062" s="17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IFERROR(VLOOKUP(B3062,'Diciembre 2023'!$B$2:$G$5822,4,0),"")</f>
        <v>BM</v>
      </c>
    </row>
    <row r="3063" spans="1:7" x14ac:dyDescent="0.25">
      <c r="A3063" s="17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IFERROR(VLOOKUP(B3063,'Diciembre 2023'!$B$2:$G$5822,4,0),"")</f>
        <v>BM</v>
      </c>
    </row>
    <row r="3064" spans="1:7" x14ac:dyDescent="0.25">
      <c r="A3064" s="17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IFERROR(VLOOKUP(B3064,'Diciembre 2023'!$B$2:$G$5822,4,0),"")</f>
        <v>BM</v>
      </c>
    </row>
    <row r="3065" spans="1:7" x14ac:dyDescent="0.25">
      <c r="A3065" s="17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IFERROR(VLOOKUP(B3065,'Diciembre 2023'!$B$2:$G$5822,4,0),"")</f>
        <v>BM</v>
      </c>
    </row>
    <row r="3066" spans="1:7" x14ac:dyDescent="0.25">
      <c r="A3066" s="17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IFERROR(VLOOKUP(B3066,'Diciembre 2023'!$B$2:$G$5822,4,0),"")</f>
        <v>BM</v>
      </c>
    </row>
    <row r="3067" spans="1:7" x14ac:dyDescent="0.25">
      <c r="A3067" s="17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IFERROR(VLOOKUP(B3067,'Diciembre 2023'!$B$2:$G$5822,4,0),"")</f>
        <v>BM</v>
      </c>
    </row>
    <row r="3068" spans="1:7" x14ac:dyDescent="0.25">
      <c r="A3068" s="17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IFERROR(VLOOKUP(B3068,'Diciembre 2023'!$B$2:$G$5822,4,0),"")</f>
        <v>BM</v>
      </c>
    </row>
    <row r="3069" spans="1:7" x14ac:dyDescent="0.25">
      <c r="A3069" s="17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IFERROR(VLOOKUP(B3069,'Diciembre 2023'!$B$2:$G$5822,4,0),"")</f>
        <v>BM</v>
      </c>
    </row>
    <row r="3070" spans="1:7" x14ac:dyDescent="0.25">
      <c r="A3070" s="17"/>
      <c r="B3070" s="4" t="s">
        <v>2982</v>
      </c>
      <c r="C3070" s="4" t="s">
        <v>11</v>
      </c>
      <c r="D3070" s="4" t="s">
        <v>11</v>
      </c>
      <c r="E3070" s="4" t="s">
        <v>11</v>
      </c>
      <c r="F3070" s="4" t="s">
        <v>2049</v>
      </c>
      <c r="G3070" s="5" t="str">
        <f>IFERROR(VLOOKUP(B3070,'Diciembre 2023'!$B$2:$G$5822,4,0),"")</f>
        <v>BM</v>
      </c>
    </row>
    <row r="3071" spans="1:7" x14ac:dyDescent="0.25">
      <c r="A3071" s="17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IFERROR(VLOOKUP(B3071,'Diciembre 2023'!$B$2:$G$5822,4,0),"")</f>
        <v>INACTBM</v>
      </c>
    </row>
    <row r="3072" spans="1:7" x14ac:dyDescent="0.25">
      <c r="A3072" s="17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IFERROR(VLOOKUP(B3072,'Diciembre 2023'!$B$2:$G$5822,4,0),"")</f>
        <v>BM</v>
      </c>
    </row>
    <row r="3073" spans="1:7" x14ac:dyDescent="0.25">
      <c r="A3073" s="17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IFERROR(VLOOKUP(B3073,'Diciembre 2023'!$B$2:$G$5822,4,0),"")</f>
        <v>INACTBM</v>
      </c>
    </row>
    <row r="3074" spans="1:7" x14ac:dyDescent="0.25">
      <c r="A3074" s="17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IFERROR(VLOOKUP(B3074,'Diciembre 2023'!$B$2:$G$5822,4,0),"")</f>
        <v>ACTPETS</v>
      </c>
    </row>
    <row r="3075" spans="1:7" x14ac:dyDescent="0.25">
      <c r="A3075" s="17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IFERROR(VLOOKUP(B3075,'Diciembre 2023'!$B$2:$G$5822,4,0),"")</f>
        <v>PL</v>
      </c>
    </row>
    <row r="3076" spans="1:7" x14ac:dyDescent="0.25">
      <c r="A3076" s="17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IFERROR(VLOOKUP(B3076,'Diciembre 2023'!$B$2:$G$5822,4,0),"")</f>
        <v>PL</v>
      </c>
    </row>
    <row r="3077" spans="1:7" x14ac:dyDescent="0.25">
      <c r="A3077" s="17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IFERROR(VLOOKUP(B3077,'Diciembre 2023'!$B$2:$G$5822,4,0),"")</f>
        <v>ACTPETS</v>
      </c>
    </row>
    <row r="3078" spans="1:7" x14ac:dyDescent="0.25">
      <c r="A3078" s="17"/>
      <c r="B3078" s="4" t="s">
        <v>2990</v>
      </c>
      <c r="C3078" s="4" t="s">
        <v>35</v>
      </c>
      <c r="D3078" s="4" t="s">
        <v>35</v>
      </c>
      <c r="E3078" s="4" t="s">
        <v>163</v>
      </c>
      <c r="F3078" s="4" t="s">
        <v>21</v>
      </c>
      <c r="G3078" s="5" t="str">
        <f>IFERROR(VLOOKUP(B3078,'Diciembre 2023'!$B$2:$G$5822,4,0),"")</f>
        <v>INACTPETS</v>
      </c>
    </row>
    <row r="3079" spans="1:7" x14ac:dyDescent="0.25">
      <c r="A3079" s="17"/>
      <c r="B3079" s="4" t="s">
        <v>2991</v>
      </c>
      <c r="C3079" s="4" t="s">
        <v>35</v>
      </c>
      <c r="D3079" s="4" t="s">
        <v>35</v>
      </c>
      <c r="E3079" s="4" t="s">
        <v>36</v>
      </c>
      <c r="F3079" s="4" t="s">
        <v>21</v>
      </c>
      <c r="G3079" s="5" t="str">
        <f>IFERROR(VLOOKUP(B3079,'Diciembre 2023'!$B$2:$G$5822,4,0),"")</f>
        <v>INACTPETF</v>
      </c>
    </row>
    <row r="3080" spans="1:7" x14ac:dyDescent="0.25">
      <c r="A3080" s="17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IFERROR(VLOOKUP(B3080,'Diciembre 2023'!$B$2:$G$5822,4,0),"")</f>
        <v>ACTPETS</v>
      </c>
    </row>
    <row r="3081" spans="1:7" x14ac:dyDescent="0.25">
      <c r="A3081" s="17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IFERROR(VLOOKUP(B3081,'Diciembre 2023'!$B$2:$G$5822,4,0),"")</f>
        <v>PL</v>
      </c>
    </row>
    <row r="3082" spans="1:7" x14ac:dyDescent="0.25">
      <c r="A3082" s="17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IFERROR(VLOOKUP(B3082,'Diciembre 2023'!$B$2:$G$5822,4,0),"")</f>
        <v>BM</v>
      </c>
    </row>
    <row r="3083" spans="1:7" x14ac:dyDescent="0.25">
      <c r="A3083" s="17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IFERROR(VLOOKUP(B3083,'Diciembre 2023'!$B$2:$G$5822,4,0),"")</f>
        <v>BM</v>
      </c>
    </row>
    <row r="3084" spans="1:7" x14ac:dyDescent="0.25">
      <c r="A3084" s="17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IFERROR(VLOOKUP(B3084,'Diciembre 2023'!$B$2:$G$5822,4,0),"")</f>
        <v>PL</v>
      </c>
    </row>
    <row r="3085" spans="1:7" x14ac:dyDescent="0.25">
      <c r="A3085" s="17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IFERROR(VLOOKUP(B3085,'Diciembre 2023'!$B$2:$G$5822,4,0),"")</f>
        <v>INACTBM</v>
      </c>
    </row>
    <row r="3086" spans="1:7" x14ac:dyDescent="0.25">
      <c r="A3086" s="17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IFERROR(VLOOKUP(B3086,'Diciembre 2023'!$B$2:$G$5822,4,0),"")</f>
        <v>BM</v>
      </c>
    </row>
    <row r="3087" spans="1:7" x14ac:dyDescent="0.25">
      <c r="A3087" s="17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IFERROR(VLOOKUP(B3087,'Diciembre 2023'!$B$2:$G$5822,4,0),"")</f>
        <v>BM</v>
      </c>
    </row>
    <row r="3088" spans="1:7" x14ac:dyDescent="0.25">
      <c r="A3088" s="17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IFERROR(VLOOKUP(B3088,'Diciembre 2023'!$B$2:$G$5822,4,0),"")</f>
        <v>BM</v>
      </c>
    </row>
    <row r="3089" spans="1:7" x14ac:dyDescent="0.25">
      <c r="A3089" s="17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IFERROR(VLOOKUP(B3089,'Diciembre 2023'!$B$2:$G$5822,4,0),"")</f>
        <v>ACTPETS</v>
      </c>
    </row>
    <row r="3090" spans="1:7" x14ac:dyDescent="0.25">
      <c r="A3090" s="17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IFERROR(VLOOKUP(B3090,'Diciembre 2023'!$B$2:$G$5822,4,0),"")</f>
        <v>INACTPETF</v>
      </c>
    </row>
    <row r="3091" spans="1:7" x14ac:dyDescent="0.25">
      <c r="A3091" s="17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IFERROR(VLOOKUP(B3091,'Diciembre 2023'!$B$2:$G$5822,4,0),"")</f>
        <v>BM</v>
      </c>
    </row>
    <row r="3092" spans="1:7" x14ac:dyDescent="0.25">
      <c r="A3092" s="17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IFERROR(VLOOKUP(B3092,'Diciembre 2023'!$B$2:$G$5822,4,0),"")</f>
        <v>BM</v>
      </c>
    </row>
    <row r="3093" spans="1:7" x14ac:dyDescent="0.25">
      <c r="A3093" s="17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IFERROR(VLOOKUP(B3093,'Diciembre 2023'!$B$2:$G$5822,4,0),"")</f>
        <v>BM</v>
      </c>
    </row>
    <row r="3094" spans="1:7" x14ac:dyDescent="0.25">
      <c r="A3094" s="17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IFERROR(VLOOKUP(B3094,'Diciembre 2023'!$B$2:$G$5822,4,0),"")</f>
        <v>BM</v>
      </c>
    </row>
    <row r="3095" spans="1:7" x14ac:dyDescent="0.25">
      <c r="A3095" s="17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IFERROR(VLOOKUP(B3095,'Diciembre 2023'!$B$2:$G$5822,4,0),"")</f>
        <v>BM</v>
      </c>
    </row>
    <row r="3096" spans="1:7" x14ac:dyDescent="0.25">
      <c r="A3096" s="17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IFERROR(VLOOKUP(B3096,'Diciembre 2023'!$B$2:$G$5822,4,0),"")</f>
        <v>BM</v>
      </c>
    </row>
    <row r="3097" spans="1:7" x14ac:dyDescent="0.25">
      <c r="A3097" s="17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IFERROR(VLOOKUP(B3097,'Diciembre 2023'!$B$2:$G$5822,4,0),"")</f>
        <v>INACTBM</v>
      </c>
    </row>
    <row r="3098" spans="1:7" x14ac:dyDescent="0.25">
      <c r="A3098" s="17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IFERROR(VLOOKUP(B3098,'Diciembre 2023'!$B$2:$G$5822,4,0),"")</f>
        <v>ACTPETF</v>
      </c>
    </row>
    <row r="3099" spans="1:7" x14ac:dyDescent="0.25">
      <c r="A3099" s="17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IFERROR(VLOOKUP(B3099,'Diciembre 2023'!$B$2:$G$5822,4,0),"")</f>
        <v>INACTBM</v>
      </c>
    </row>
    <row r="3100" spans="1:7" x14ac:dyDescent="0.25">
      <c r="A3100" s="17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tr">
        <f>IFERROR(VLOOKUP(B3100,'Diciembre 2023'!$B$2:$G$5822,4,0),"")</f>
        <v>BM</v>
      </c>
    </row>
    <row r="3101" spans="1:7" x14ac:dyDescent="0.25">
      <c r="A3101" s="17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IFERROR(VLOOKUP(B3101,'Diciembre 2023'!$B$2:$G$5822,4,0),"")</f>
        <v>INACTBM</v>
      </c>
    </row>
    <row r="3102" spans="1:7" x14ac:dyDescent="0.25">
      <c r="A3102" s="17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IFERROR(VLOOKUP(B3102,'Diciembre 2023'!$B$2:$G$5822,4,0),"")</f>
        <v>BM</v>
      </c>
    </row>
    <row r="3103" spans="1:7" x14ac:dyDescent="0.25">
      <c r="A3103" s="17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IFERROR(VLOOKUP(B3103,'Diciembre 2023'!$B$2:$G$5822,4,0),"")</f>
        <v>ACTPETS</v>
      </c>
    </row>
    <row r="3104" spans="1:7" x14ac:dyDescent="0.25">
      <c r="A3104" s="17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IFERROR(VLOOKUP(B3104,'Diciembre 2023'!$B$2:$G$5822,4,0),"")</f>
        <v>APA_PC</v>
      </c>
    </row>
    <row r="3105" spans="1:7" x14ac:dyDescent="0.25">
      <c r="A3105" s="17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IFERROR(VLOOKUP(B3105,'Diciembre 2023'!$B$2:$G$5822,4,0),"")</f>
        <v>ACTPETS</v>
      </c>
    </row>
    <row r="3106" spans="1:7" x14ac:dyDescent="0.25">
      <c r="A3106" s="17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IFERROR(VLOOKUP(B3106,'Diciembre 2023'!$B$2:$G$5822,4,0),"")</f>
        <v>BM</v>
      </c>
    </row>
    <row r="3107" spans="1:7" x14ac:dyDescent="0.25">
      <c r="A3107" s="17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IFERROR(VLOOKUP(B3107,'Diciembre 2023'!$B$2:$G$5822,4,0),"")</f>
        <v>BM</v>
      </c>
    </row>
    <row r="3108" spans="1:7" x14ac:dyDescent="0.25">
      <c r="A3108" s="17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IFERROR(VLOOKUP(B3108,'Diciembre 2023'!$B$2:$G$5822,4,0),"")</f>
        <v>BM</v>
      </c>
    </row>
    <row r="3109" spans="1:7" x14ac:dyDescent="0.25">
      <c r="A3109" s="17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IFERROR(VLOOKUP(B3109,'Diciembre 2023'!$B$2:$G$5822,4,0),"")</f>
        <v>INACTGAS</v>
      </c>
    </row>
    <row r="3110" spans="1:7" x14ac:dyDescent="0.25">
      <c r="A3110" s="17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IFERROR(VLOOKUP(B3110,'Diciembre 2023'!$B$2:$G$5822,4,0),"")</f>
        <v>BM</v>
      </c>
    </row>
    <row r="3111" spans="1:7" x14ac:dyDescent="0.25">
      <c r="A3111" s="17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IFERROR(VLOOKUP(B3111,'Diciembre 2023'!$B$2:$G$5822,4,0),"")</f>
        <v>ATAPET</v>
      </c>
    </row>
    <row r="3112" spans="1:7" x14ac:dyDescent="0.25">
      <c r="A3112" s="17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IFERROR(VLOOKUP(B3112,'Diciembre 2023'!$B$2:$G$5822,4,0),"")</f>
        <v>ACTPETS</v>
      </c>
    </row>
    <row r="3113" spans="1:7" x14ac:dyDescent="0.25">
      <c r="A3113" s="17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IFERROR(VLOOKUP(B3113,'Diciembre 2023'!$B$2:$G$5822,4,0),"")</f>
        <v>BM</v>
      </c>
    </row>
    <row r="3114" spans="1:7" x14ac:dyDescent="0.25">
      <c r="A3114" s="17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IFERROR(VLOOKUP(B3114,'Diciembre 2023'!$B$2:$G$5822,4,0),"")</f>
        <v>BO</v>
      </c>
    </row>
    <row r="3115" spans="1:7" x14ac:dyDescent="0.25">
      <c r="A3115" s="17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IFERROR(VLOOKUP(B3115,'Diciembre 2023'!$B$2:$G$5822,4,0),"")</f>
        <v>BM</v>
      </c>
    </row>
    <row r="3116" spans="1:7" x14ac:dyDescent="0.25">
      <c r="A3116" s="17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IFERROR(VLOOKUP(B3116,'Diciembre 2023'!$B$2:$G$5822,4,0),"")</f>
        <v>BM</v>
      </c>
    </row>
    <row r="3117" spans="1:7" x14ac:dyDescent="0.25">
      <c r="A3117" s="17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IFERROR(VLOOKUP(B3117,'Diciembre 2023'!$B$2:$G$5822,4,0),"")</f>
        <v>INACTBM</v>
      </c>
    </row>
    <row r="3118" spans="1:7" x14ac:dyDescent="0.25">
      <c r="A3118" s="17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IFERROR(VLOOKUP(B3118,'Diciembre 2023'!$B$2:$G$5822,4,0),"")</f>
        <v>BM</v>
      </c>
    </row>
    <row r="3119" spans="1:7" x14ac:dyDescent="0.25">
      <c r="A3119" s="17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IFERROR(VLOOKUP(B3119,'Diciembre 2023'!$B$2:$G$5822,4,0),"")</f>
        <v>BM</v>
      </c>
    </row>
    <row r="3120" spans="1:7" x14ac:dyDescent="0.25">
      <c r="A3120" s="17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IFERROR(VLOOKUP(B3120,'Diciembre 2023'!$B$2:$G$5822,4,0),"")</f>
        <v>BM</v>
      </c>
    </row>
    <row r="3121" spans="1:7" x14ac:dyDescent="0.25">
      <c r="A3121" s="17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IFERROR(VLOOKUP(B3121,'Diciembre 2023'!$B$2:$G$5822,4,0),"")</f>
        <v>PL</v>
      </c>
    </row>
    <row r="3122" spans="1:7" x14ac:dyDescent="0.25">
      <c r="A3122" s="17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IFERROR(VLOOKUP(B3122,'Diciembre 2023'!$B$2:$G$5822,4,0),"")</f>
        <v>ACTPETS</v>
      </c>
    </row>
    <row r="3123" spans="1:7" x14ac:dyDescent="0.25">
      <c r="A3123" s="17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IFERROR(VLOOKUP(B3123,'Diciembre 2023'!$B$2:$G$5822,4,0),"")</f>
        <v>BM</v>
      </c>
    </row>
    <row r="3124" spans="1:7" x14ac:dyDescent="0.25">
      <c r="A3124" s="17"/>
      <c r="B3124" s="4" t="s">
        <v>3036</v>
      </c>
      <c r="C3124" s="4" t="s">
        <v>35</v>
      </c>
      <c r="D3124" s="4" t="s">
        <v>35</v>
      </c>
      <c r="E3124" s="4" t="s">
        <v>2266</v>
      </c>
      <c r="F3124" s="4" t="s">
        <v>1090</v>
      </c>
      <c r="G3124" s="5" t="str">
        <f>IFERROR(VLOOKUP(B3124,'Diciembre 2023'!$B$2:$G$5822,4,0),"")</f>
        <v>INACTPL</v>
      </c>
    </row>
    <row r="3125" spans="1:7" x14ac:dyDescent="0.25">
      <c r="A3125" s="17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IFERROR(VLOOKUP(B3125,'Diciembre 2023'!$B$2:$G$5822,4,0),"")</f>
        <v>DPAPET</v>
      </c>
    </row>
    <row r="3126" spans="1:7" x14ac:dyDescent="0.25">
      <c r="A3126" s="17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IFERROR(VLOOKUP(B3126,'Diciembre 2023'!$B$2:$G$5822,4,0),"")</f>
        <v>INACTPL</v>
      </c>
    </row>
    <row r="3127" spans="1:7" x14ac:dyDescent="0.25">
      <c r="A3127" s="17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IFERROR(VLOOKUP(B3127,'Diciembre 2023'!$B$2:$G$5822,4,0),"")</f>
        <v>BM</v>
      </c>
    </row>
    <row r="3128" spans="1:7" x14ac:dyDescent="0.25">
      <c r="A3128" s="17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IFERROR(VLOOKUP(B3128,'Diciembre 2023'!$B$2:$G$5822,4,0),"")</f>
        <v>ATAPET</v>
      </c>
    </row>
    <row r="3129" spans="1:7" x14ac:dyDescent="0.25">
      <c r="A3129" s="17"/>
      <c r="B3129" s="4" t="s">
        <v>3041</v>
      </c>
      <c r="C3129" s="4" t="s">
        <v>14</v>
      </c>
      <c r="D3129" s="4" t="s">
        <v>15</v>
      </c>
      <c r="E3129" s="4" t="s">
        <v>16</v>
      </c>
      <c r="F3129" s="4" t="s">
        <v>14</v>
      </c>
      <c r="G3129" s="5" t="str">
        <f>IFERROR(VLOOKUP(B3129,'Diciembre 2023'!$B$2:$G$5822,4,0),"")</f>
        <v>ATAPET</v>
      </c>
    </row>
    <row r="3130" spans="1:7" x14ac:dyDescent="0.25">
      <c r="A3130" s="17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IFERROR(VLOOKUP(B3130,'Diciembre 2023'!$B$2:$G$5822,4,0),"")</f>
        <v>BM</v>
      </c>
    </row>
    <row r="3131" spans="1:7" x14ac:dyDescent="0.25">
      <c r="A3131" s="17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IFERROR(VLOOKUP(B3131,'Diciembre 2023'!$B$2:$G$5822,4,0),"")</f>
        <v>ACTPETF</v>
      </c>
    </row>
    <row r="3132" spans="1:7" x14ac:dyDescent="0.25">
      <c r="A3132" s="17"/>
      <c r="B3132" s="4" t="s">
        <v>3044</v>
      </c>
      <c r="C3132" s="4" t="s">
        <v>35</v>
      </c>
      <c r="D3132" s="4" t="s">
        <v>35</v>
      </c>
      <c r="E3132" s="4" t="s">
        <v>57</v>
      </c>
      <c r="F3132" s="4" t="s">
        <v>1931</v>
      </c>
      <c r="G3132" s="5" t="str">
        <f>IFERROR(VLOOKUP(B3132,'Diciembre 2023'!$B$2:$G$5822,4,0),"")</f>
        <v>INACTBM</v>
      </c>
    </row>
    <row r="3133" spans="1:7" x14ac:dyDescent="0.25">
      <c r="A3133" s="17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IFERROR(VLOOKUP(B3133,'Diciembre 2023'!$B$2:$G$5822,4,0),"")</f>
        <v>BM</v>
      </c>
    </row>
    <row r="3134" spans="1:7" x14ac:dyDescent="0.25">
      <c r="A3134" s="17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IFERROR(VLOOKUP(B3134,'Diciembre 2023'!$B$2:$G$5822,4,0),"")</f>
        <v>BM</v>
      </c>
    </row>
    <row r="3135" spans="1:7" x14ac:dyDescent="0.25">
      <c r="A3135" s="17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IFERROR(VLOOKUP(B3135,'Diciembre 2023'!$B$2:$G$5822,4,0),"")</f>
        <v>BM</v>
      </c>
    </row>
    <row r="3136" spans="1:7" x14ac:dyDescent="0.25">
      <c r="A3136" s="17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IFERROR(VLOOKUP(B3136,'Diciembre 2023'!$B$2:$G$5822,4,0),"")</f>
        <v>BM</v>
      </c>
    </row>
    <row r="3137" spans="1:7" x14ac:dyDescent="0.25">
      <c r="A3137" s="17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IFERROR(VLOOKUP(B3137,'Diciembre 2023'!$B$2:$G$5822,4,0),"")</f>
        <v>BM</v>
      </c>
    </row>
    <row r="3138" spans="1:7" x14ac:dyDescent="0.25">
      <c r="A3138" s="17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IFERROR(VLOOKUP(B3138,'Diciembre 2023'!$B$2:$G$5822,4,0),"")</f>
        <v>BM</v>
      </c>
    </row>
    <row r="3139" spans="1:7" x14ac:dyDescent="0.25">
      <c r="A3139" s="17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IFERROR(VLOOKUP(B3139,'Diciembre 2023'!$B$2:$G$5822,4,0),"")</f>
        <v>ACTPETS</v>
      </c>
    </row>
    <row r="3140" spans="1:7" x14ac:dyDescent="0.25">
      <c r="A3140" s="17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IFERROR(VLOOKUP(B3140,'Diciembre 2023'!$B$2:$G$5822,4,0),"")</f>
        <v>BM</v>
      </c>
    </row>
    <row r="3141" spans="1:7" x14ac:dyDescent="0.25">
      <c r="A3141" s="17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IFERROR(VLOOKUP(B3141,'Diciembre 2023'!$B$2:$G$5822,4,0),"")</f>
        <v>BM</v>
      </c>
    </row>
    <row r="3142" spans="1:7" x14ac:dyDescent="0.25">
      <c r="A3142" s="17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IFERROR(VLOOKUP(B3142,'Diciembre 2023'!$B$2:$G$5822,4,0),"")</f>
        <v>BM</v>
      </c>
    </row>
    <row r="3143" spans="1:7" x14ac:dyDescent="0.25">
      <c r="A3143" s="17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IFERROR(VLOOKUP(B3143,'Diciembre 2023'!$B$2:$G$5822,4,0),"")</f>
        <v>INACTINYA</v>
      </c>
    </row>
    <row r="3144" spans="1:7" x14ac:dyDescent="0.25">
      <c r="A3144" s="17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IFERROR(VLOOKUP(B3144,'Diciembre 2023'!$B$2:$G$5822,4,0),"")</f>
        <v>BM</v>
      </c>
    </row>
    <row r="3145" spans="1:7" x14ac:dyDescent="0.25">
      <c r="A3145" s="17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IFERROR(VLOOKUP(B3145,'Diciembre 2023'!$B$2:$G$5822,4,0),"")</f>
        <v>BM</v>
      </c>
    </row>
    <row r="3146" spans="1:7" x14ac:dyDescent="0.25">
      <c r="A3146" s="17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IFERROR(VLOOKUP(B3146,'Diciembre 2023'!$B$2:$G$5822,4,0),"")</f>
        <v>INACTBM</v>
      </c>
    </row>
    <row r="3147" spans="1:7" x14ac:dyDescent="0.25">
      <c r="A3147" s="17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IFERROR(VLOOKUP(B3147,'Diciembre 2023'!$B$2:$G$5822,4,0),"")</f>
        <v>ACTPETS</v>
      </c>
    </row>
    <row r="3148" spans="1:7" x14ac:dyDescent="0.25">
      <c r="A3148" s="17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IFERROR(VLOOKUP(B3148,'Diciembre 2023'!$B$2:$G$5822,4,0),"")</f>
        <v>BM</v>
      </c>
    </row>
    <row r="3149" spans="1:7" x14ac:dyDescent="0.25">
      <c r="A3149" s="17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IFERROR(VLOOKUP(B3149,'Diciembre 2023'!$B$2:$G$5822,4,0),"")</f>
        <v>ACTPETS</v>
      </c>
    </row>
    <row r="3150" spans="1:7" x14ac:dyDescent="0.25">
      <c r="A3150" s="17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IFERROR(VLOOKUP(B3150,'Diciembre 2023'!$B$2:$G$5822,4,0),"")</f>
        <v>ACTPETS</v>
      </c>
    </row>
    <row r="3151" spans="1:7" x14ac:dyDescent="0.25">
      <c r="A3151" s="17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IFERROR(VLOOKUP(B3151,'Diciembre 2023'!$B$2:$G$5822,4,0),"")</f>
        <v>BM</v>
      </c>
    </row>
    <row r="3152" spans="1:7" x14ac:dyDescent="0.25">
      <c r="A3152" s="17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IFERROR(VLOOKUP(B3152,'Diciembre 2023'!$B$2:$G$5822,4,0),"")</f>
        <v>INACTBM</v>
      </c>
    </row>
    <row r="3153" spans="1:7" x14ac:dyDescent="0.25">
      <c r="A3153" s="17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IFERROR(VLOOKUP(B3153,'Diciembre 2023'!$B$2:$G$5822,4,0),"")</f>
        <v>BM</v>
      </c>
    </row>
    <row r="3154" spans="1:7" x14ac:dyDescent="0.25">
      <c r="A3154" s="17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IFERROR(VLOOKUP(B3154,'Diciembre 2023'!$B$2:$G$5822,4,0),"")</f>
        <v>PL</v>
      </c>
    </row>
    <row r="3155" spans="1:7" x14ac:dyDescent="0.25">
      <c r="A3155" s="17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IFERROR(VLOOKUP(B3155,'Diciembre 2023'!$B$2:$G$5822,4,0),"")</f>
        <v>BM</v>
      </c>
    </row>
    <row r="3156" spans="1:7" x14ac:dyDescent="0.25">
      <c r="A3156" s="17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IFERROR(VLOOKUP(B3156,'Diciembre 2023'!$B$2:$G$5822,4,0),"")</f>
        <v>ATAPET</v>
      </c>
    </row>
    <row r="3157" spans="1:7" x14ac:dyDescent="0.25">
      <c r="A3157" s="17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IFERROR(VLOOKUP(B3157,'Diciembre 2023'!$B$2:$G$5822,4,0),"")</f>
        <v>ATAPET</v>
      </c>
    </row>
    <row r="3158" spans="1:7" x14ac:dyDescent="0.25">
      <c r="A3158" s="17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IFERROR(VLOOKUP(B3158,'Diciembre 2023'!$B$2:$G$5822,4,0),"")</f>
        <v>BM</v>
      </c>
    </row>
    <row r="3159" spans="1:7" x14ac:dyDescent="0.25">
      <c r="A3159" s="17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IFERROR(VLOOKUP(B3159,'Diciembre 2023'!$B$2:$G$5822,4,0),"")</f>
        <v>BM</v>
      </c>
    </row>
    <row r="3160" spans="1:7" x14ac:dyDescent="0.25">
      <c r="A3160" s="17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IFERROR(VLOOKUP(B3160,'Diciembre 2023'!$B$2:$G$5822,4,0),"")</f>
        <v>BM</v>
      </c>
    </row>
    <row r="3161" spans="1:7" x14ac:dyDescent="0.25">
      <c r="A3161" s="17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IFERROR(VLOOKUP(B3161,'Diciembre 2023'!$B$2:$G$5822,4,0),"")</f>
        <v>BM</v>
      </c>
    </row>
    <row r="3162" spans="1:7" x14ac:dyDescent="0.25">
      <c r="A3162" s="17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IFERROR(VLOOKUP(B3162,'Diciembre 2023'!$B$2:$G$5822,4,0),"")</f>
        <v>BM</v>
      </c>
    </row>
    <row r="3163" spans="1:7" x14ac:dyDescent="0.25">
      <c r="A3163" s="17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IFERROR(VLOOKUP(B3163,'Diciembre 2023'!$B$2:$G$5822,4,0),"")</f>
        <v>ACTPETS</v>
      </c>
    </row>
    <row r="3164" spans="1:7" x14ac:dyDescent="0.25">
      <c r="A3164" s="17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IFERROR(VLOOKUP(B3164,'Diciembre 2023'!$B$2:$G$5822,4,0),"")</f>
        <v>BM</v>
      </c>
    </row>
    <row r="3165" spans="1:7" x14ac:dyDescent="0.25">
      <c r="A3165" s="17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IFERROR(VLOOKUP(B3165,'Diciembre 2023'!$B$2:$G$5822,4,0),"")</f>
        <v>BM</v>
      </c>
    </row>
    <row r="3166" spans="1:7" x14ac:dyDescent="0.25">
      <c r="A3166" s="17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IFERROR(VLOOKUP(B3166,'Diciembre 2023'!$B$2:$G$5822,4,0),"")</f>
        <v>APA_PC</v>
      </c>
    </row>
    <row r="3167" spans="1:7" x14ac:dyDescent="0.25">
      <c r="A3167" s="17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IFERROR(VLOOKUP(B3167,'Diciembre 2023'!$B$2:$G$5822,4,0),"")</f>
        <v>BM</v>
      </c>
    </row>
    <row r="3168" spans="1:7" x14ac:dyDescent="0.25">
      <c r="A3168" s="17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IFERROR(VLOOKUP(B3168,'Diciembre 2023'!$B$2:$G$5822,4,0),"")</f>
        <v>ACTPETF</v>
      </c>
    </row>
    <row r="3169" spans="1:7" x14ac:dyDescent="0.25">
      <c r="A3169" s="17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IFERROR(VLOOKUP(B3169,'Diciembre 2023'!$B$2:$G$5822,4,0),"")</f>
        <v>BM</v>
      </c>
    </row>
    <row r="3170" spans="1:7" x14ac:dyDescent="0.25">
      <c r="A3170" s="17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IFERROR(VLOOKUP(B3170,'Diciembre 2023'!$B$2:$G$5822,4,0),"")</f>
        <v>APA_CNPC</v>
      </c>
    </row>
    <row r="3171" spans="1:7" x14ac:dyDescent="0.25">
      <c r="A3171" s="17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IFERROR(VLOOKUP(B3171,'Diciembre 2023'!$B$2:$G$5822,4,0),"")</f>
        <v>BM</v>
      </c>
    </row>
    <row r="3172" spans="1:7" x14ac:dyDescent="0.25">
      <c r="A3172" s="17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IFERROR(VLOOKUP(B3172,'Diciembre 2023'!$B$2:$G$5822,4,0),"")</f>
        <v>BM</v>
      </c>
    </row>
    <row r="3173" spans="1:7" x14ac:dyDescent="0.25">
      <c r="A3173" s="17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IFERROR(VLOOKUP(B3173,'Diciembre 2023'!$B$2:$G$5822,4,0),"")</f>
        <v>BM</v>
      </c>
    </row>
    <row r="3174" spans="1:7" x14ac:dyDescent="0.25">
      <c r="A3174" s="17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IFERROR(VLOOKUP(B3174,'Diciembre 2023'!$B$2:$G$5822,4,0),"")</f>
        <v>INACTBM</v>
      </c>
    </row>
    <row r="3175" spans="1:7" x14ac:dyDescent="0.25">
      <c r="A3175" s="17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IFERROR(VLOOKUP(B3175,'Diciembre 2023'!$B$2:$G$5822,4,0),"")</f>
        <v>BM</v>
      </c>
    </row>
    <row r="3176" spans="1:7" x14ac:dyDescent="0.25">
      <c r="A3176" s="17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IFERROR(VLOOKUP(B3176,'Diciembre 2023'!$B$2:$G$5822,4,0),"")</f>
        <v>BM</v>
      </c>
    </row>
    <row r="3177" spans="1:7" x14ac:dyDescent="0.25">
      <c r="A3177" s="17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IFERROR(VLOOKUP(B3177,'Diciembre 2023'!$B$2:$G$5822,4,0),"")</f>
        <v>INACTPETF</v>
      </c>
    </row>
    <row r="3178" spans="1:7" x14ac:dyDescent="0.25">
      <c r="A3178" s="17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IFERROR(VLOOKUP(B3178,'Diciembre 2023'!$B$2:$G$5822,4,0),"")</f>
        <v>INACTBM</v>
      </c>
    </row>
    <row r="3179" spans="1:7" x14ac:dyDescent="0.25">
      <c r="A3179" s="17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IFERROR(VLOOKUP(B3179,'Diciembre 2023'!$B$2:$G$5822,4,0),"")</f>
        <v>BM</v>
      </c>
    </row>
    <row r="3180" spans="1:7" x14ac:dyDescent="0.25">
      <c r="A3180" s="17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IFERROR(VLOOKUP(B3180,'Diciembre 2023'!$B$2:$G$5822,4,0),"")</f>
        <v>ACTPETS</v>
      </c>
    </row>
    <row r="3181" spans="1:7" x14ac:dyDescent="0.25">
      <c r="A3181" s="17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IFERROR(VLOOKUP(B3181,'Diciembre 2023'!$B$2:$G$5822,4,0),"")</f>
        <v>BM</v>
      </c>
    </row>
    <row r="3182" spans="1:7" x14ac:dyDescent="0.25">
      <c r="A3182" s="17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IFERROR(VLOOKUP(B3182,'Diciembre 2023'!$B$2:$G$5822,4,0),"")</f>
        <v>BM</v>
      </c>
    </row>
    <row r="3183" spans="1:7" x14ac:dyDescent="0.25">
      <c r="A3183" s="17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IFERROR(VLOOKUP(B3183,'Diciembre 2023'!$B$2:$G$5822,4,0),"")</f>
        <v>ACTPETF</v>
      </c>
    </row>
    <row r="3184" spans="1:7" x14ac:dyDescent="0.25">
      <c r="A3184" s="17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IFERROR(VLOOKUP(B3184,'Diciembre 2023'!$B$2:$G$5822,4,0),"")</f>
        <v>INACTBM</v>
      </c>
    </row>
    <row r="3185" spans="1:7" x14ac:dyDescent="0.25">
      <c r="A3185" s="17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IFERROR(VLOOKUP(B3185,'Diciembre 2023'!$B$2:$G$5822,4,0),"")</f>
        <v>INACTBM</v>
      </c>
    </row>
    <row r="3186" spans="1:7" x14ac:dyDescent="0.25">
      <c r="A3186" s="17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IFERROR(VLOOKUP(B3186,'Diciembre 2023'!$B$2:$G$5822,4,0),"")</f>
        <v>BM</v>
      </c>
    </row>
    <row r="3187" spans="1:7" x14ac:dyDescent="0.25">
      <c r="A3187" s="17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IFERROR(VLOOKUP(B3187,'Diciembre 2023'!$B$2:$G$5822,4,0),"")</f>
        <v>BM</v>
      </c>
    </row>
    <row r="3188" spans="1:7" x14ac:dyDescent="0.25">
      <c r="A3188" s="17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IFERROR(VLOOKUP(B3188,'Diciembre 2023'!$B$2:$G$5822,4,0),"")</f>
        <v>ACTPETF</v>
      </c>
    </row>
    <row r="3189" spans="1:7" x14ac:dyDescent="0.25">
      <c r="A3189" s="17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IFERROR(VLOOKUP(B3189,'Diciembre 2023'!$B$2:$G$5822,4,0),"")</f>
        <v>BM</v>
      </c>
    </row>
    <row r="3190" spans="1:7" x14ac:dyDescent="0.25">
      <c r="A3190" s="17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IFERROR(VLOOKUP(B3190,'Diciembre 2023'!$B$2:$G$5822,4,0),"")</f>
        <v>ACTPETS</v>
      </c>
    </row>
    <row r="3191" spans="1:7" x14ac:dyDescent="0.25">
      <c r="A3191" s="17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IFERROR(VLOOKUP(B3191,'Diciembre 2023'!$B$2:$G$5822,4,0),"")</f>
        <v>BM</v>
      </c>
    </row>
    <row r="3192" spans="1:7" x14ac:dyDescent="0.25">
      <c r="A3192" s="17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IFERROR(VLOOKUP(B3192,'Diciembre 2023'!$B$2:$G$5822,4,0),"")</f>
        <v>PL</v>
      </c>
    </row>
    <row r="3193" spans="1:7" x14ac:dyDescent="0.25">
      <c r="A3193" s="17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IFERROR(VLOOKUP(B3193,'Diciembre 2023'!$B$2:$G$5822,4,0),"")</f>
        <v>INACTPETS</v>
      </c>
    </row>
    <row r="3194" spans="1:7" x14ac:dyDescent="0.25">
      <c r="A3194" s="17"/>
      <c r="B3194" s="4" t="s">
        <v>3106</v>
      </c>
      <c r="C3194" s="4" t="s">
        <v>35</v>
      </c>
      <c r="D3194" s="4" t="s">
        <v>35</v>
      </c>
      <c r="E3194" s="4" t="s">
        <v>163</v>
      </c>
      <c r="F3194" s="4" t="s">
        <v>21</v>
      </c>
      <c r="G3194" s="5" t="str">
        <f>IFERROR(VLOOKUP(B3194,'Diciembre 2023'!$B$2:$G$5822,4,0),"")</f>
        <v>INACTPETS</v>
      </c>
    </row>
    <row r="3195" spans="1:7" x14ac:dyDescent="0.25">
      <c r="A3195" s="17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IFERROR(VLOOKUP(B3195,'Diciembre 2023'!$B$2:$G$5822,4,0),"")</f>
        <v>BM</v>
      </c>
    </row>
    <row r="3196" spans="1:7" x14ac:dyDescent="0.25">
      <c r="A3196" s="17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IFERROR(VLOOKUP(B3196,'Diciembre 2023'!$B$2:$G$5822,4,0),"")</f>
        <v>BM</v>
      </c>
    </row>
    <row r="3197" spans="1:7" x14ac:dyDescent="0.25">
      <c r="A3197" s="17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IFERROR(VLOOKUP(B3197,'Diciembre 2023'!$B$2:$G$5822,4,0),"")</f>
        <v>BM</v>
      </c>
    </row>
    <row r="3198" spans="1:7" x14ac:dyDescent="0.25">
      <c r="A3198" s="17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IFERROR(VLOOKUP(B3198,'Diciembre 2023'!$B$2:$G$5822,4,0),"")</f>
        <v>BM</v>
      </c>
    </row>
    <row r="3199" spans="1:7" x14ac:dyDescent="0.25">
      <c r="A3199" s="17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IFERROR(VLOOKUP(B3199,'Diciembre 2023'!$B$2:$G$5822,4,0),"")</f>
        <v>INACTBM</v>
      </c>
    </row>
    <row r="3200" spans="1:7" x14ac:dyDescent="0.25">
      <c r="A3200" s="17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IFERROR(VLOOKUP(B3200,'Diciembre 2023'!$B$2:$G$5822,4,0),"")</f>
        <v>BM</v>
      </c>
    </row>
    <row r="3201" spans="1:7" x14ac:dyDescent="0.25">
      <c r="A3201" s="17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IFERROR(VLOOKUP(B3201,'Diciembre 2023'!$B$2:$G$5822,4,0),"")</f>
        <v>BM</v>
      </c>
    </row>
    <row r="3202" spans="1:7" x14ac:dyDescent="0.25">
      <c r="A3202" s="17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IFERROR(VLOOKUP(B3202,'Diciembre 2023'!$B$2:$G$5822,4,0),"")</f>
        <v>BM</v>
      </c>
    </row>
    <row r="3203" spans="1:7" x14ac:dyDescent="0.25">
      <c r="A3203" s="17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IFERROR(VLOOKUP(B3203,'Diciembre 2023'!$B$2:$G$5822,4,0),"")</f>
        <v>BM</v>
      </c>
    </row>
    <row r="3204" spans="1:7" x14ac:dyDescent="0.25">
      <c r="A3204" s="17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IFERROR(VLOOKUP(B3204,'Diciembre 2023'!$B$2:$G$5822,4,0),"")</f>
        <v>BM</v>
      </c>
    </row>
    <row r="3205" spans="1:7" x14ac:dyDescent="0.25">
      <c r="A3205" s="17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IFERROR(VLOOKUP(B3205,'Diciembre 2023'!$B$2:$G$5822,4,0),"")</f>
        <v>PL</v>
      </c>
    </row>
    <row r="3206" spans="1:7" x14ac:dyDescent="0.25">
      <c r="A3206" s="17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IFERROR(VLOOKUP(B3206,'Diciembre 2023'!$B$2:$G$5822,4,0),"")</f>
        <v>PL</v>
      </c>
    </row>
    <row r="3207" spans="1:7" x14ac:dyDescent="0.25">
      <c r="A3207" s="17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IFERROR(VLOOKUP(B3207,'Diciembre 2023'!$B$2:$G$5822,4,0),"")</f>
        <v>PL</v>
      </c>
    </row>
    <row r="3208" spans="1:7" x14ac:dyDescent="0.25">
      <c r="A3208" s="17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IFERROR(VLOOKUP(B3208,'Diciembre 2023'!$B$2:$G$5822,4,0),"")</f>
        <v>ATAPET</v>
      </c>
    </row>
    <row r="3209" spans="1:7" x14ac:dyDescent="0.25">
      <c r="A3209" s="17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IFERROR(VLOOKUP(B3209,'Diciembre 2023'!$B$2:$G$5822,4,0),"")</f>
        <v>ACTPETF</v>
      </c>
    </row>
    <row r="3210" spans="1:7" x14ac:dyDescent="0.25">
      <c r="A3210" s="17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IFERROR(VLOOKUP(B3210,'Diciembre 2023'!$B$2:$G$5822,4,0),"")</f>
        <v>BM</v>
      </c>
    </row>
    <row r="3211" spans="1:7" x14ac:dyDescent="0.25">
      <c r="A3211" s="17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IFERROR(VLOOKUP(B3211,'Diciembre 2023'!$B$2:$G$5822,4,0),"")</f>
        <v>INACTPETS</v>
      </c>
    </row>
    <row r="3212" spans="1:7" x14ac:dyDescent="0.25">
      <c r="A3212" s="17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IFERROR(VLOOKUP(B3212,'Diciembre 2023'!$B$2:$G$5822,4,0),"")</f>
        <v>BM</v>
      </c>
    </row>
    <row r="3213" spans="1:7" x14ac:dyDescent="0.25">
      <c r="A3213" s="17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IFERROR(VLOOKUP(B3213,'Diciembre 2023'!$B$2:$G$5822,4,0),"")</f>
        <v>BM</v>
      </c>
    </row>
    <row r="3214" spans="1:7" x14ac:dyDescent="0.25">
      <c r="A3214" s="17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IFERROR(VLOOKUP(B3214,'Diciembre 2023'!$B$2:$G$5822,4,0),"")</f>
        <v>INACTGAS</v>
      </c>
    </row>
    <row r="3215" spans="1:7" x14ac:dyDescent="0.25">
      <c r="A3215" s="17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IFERROR(VLOOKUP(B3215,'Diciembre 2023'!$B$2:$G$5822,4,0),"")</f>
        <v>BM</v>
      </c>
    </row>
    <row r="3216" spans="1:7" x14ac:dyDescent="0.25">
      <c r="A3216" s="17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IFERROR(VLOOKUP(B3216,'Diciembre 2023'!$B$2:$G$5822,4,0),"")</f>
        <v>ATAPET</v>
      </c>
    </row>
    <row r="3217" spans="1:7" x14ac:dyDescent="0.25">
      <c r="A3217" s="17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IFERROR(VLOOKUP(B3217,'Diciembre 2023'!$B$2:$G$5822,4,0),"")</f>
        <v>INACTGAS</v>
      </c>
    </row>
    <row r="3218" spans="1:7" x14ac:dyDescent="0.25">
      <c r="A3218" s="17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IFERROR(VLOOKUP(B3218,'Diciembre 2023'!$B$2:$G$5822,4,0),"")</f>
        <v>BM</v>
      </c>
    </row>
    <row r="3219" spans="1:7" x14ac:dyDescent="0.25">
      <c r="A3219" s="17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IFERROR(VLOOKUP(B3219,'Diciembre 2023'!$B$2:$G$5822,4,0),"")</f>
        <v>ACTPETF</v>
      </c>
    </row>
    <row r="3220" spans="1:7" x14ac:dyDescent="0.25">
      <c r="A3220" s="17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IFERROR(VLOOKUP(B3220,'Diciembre 2023'!$B$2:$G$5822,4,0),"")</f>
        <v>BM</v>
      </c>
    </row>
    <row r="3221" spans="1:7" x14ac:dyDescent="0.25">
      <c r="A3221" s="17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IFERROR(VLOOKUP(B3221,'Diciembre 2023'!$B$2:$G$5822,4,0),"")</f>
        <v>BM</v>
      </c>
    </row>
    <row r="3222" spans="1:7" x14ac:dyDescent="0.25">
      <c r="A3222" s="17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IFERROR(VLOOKUP(B3222,'Diciembre 2023'!$B$2:$G$5822,4,0),"")</f>
        <v>ACTPETF</v>
      </c>
    </row>
    <row r="3223" spans="1:7" x14ac:dyDescent="0.25">
      <c r="A3223" s="17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IFERROR(VLOOKUP(B3223,'Diciembre 2023'!$B$2:$G$5822,4,0),"")</f>
        <v>BM</v>
      </c>
    </row>
    <row r="3224" spans="1:7" x14ac:dyDescent="0.25">
      <c r="A3224" s="17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IFERROR(VLOOKUP(B3224,'Diciembre 2023'!$B$2:$G$5822,4,0),"")</f>
        <v>BM</v>
      </c>
    </row>
    <row r="3225" spans="1:7" x14ac:dyDescent="0.25">
      <c r="A3225" s="17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IFERROR(VLOOKUP(B3225,'Diciembre 2023'!$B$2:$G$5822,4,0),"")</f>
        <v>ACTPETF</v>
      </c>
    </row>
    <row r="3226" spans="1:7" x14ac:dyDescent="0.25">
      <c r="A3226" s="17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IFERROR(VLOOKUP(B3226,'Diciembre 2023'!$B$2:$G$5822,4,0),"")</f>
        <v>ACTPETF</v>
      </c>
    </row>
    <row r="3227" spans="1:7" x14ac:dyDescent="0.25">
      <c r="A3227" s="17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IFERROR(VLOOKUP(B3227,'Diciembre 2023'!$B$2:$G$5822,4,0),"")</f>
        <v>BM</v>
      </c>
    </row>
    <row r="3228" spans="1:7" x14ac:dyDescent="0.25">
      <c r="A3228" s="17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IFERROR(VLOOKUP(B3228,'Diciembre 2023'!$B$2:$G$5822,4,0),"")</f>
        <v>ATAPET</v>
      </c>
    </row>
    <row r="3229" spans="1:7" x14ac:dyDescent="0.25">
      <c r="A3229" s="17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IFERROR(VLOOKUP(B3229,'Diciembre 2023'!$B$2:$G$5822,4,0),"")</f>
        <v>BM</v>
      </c>
    </row>
    <row r="3230" spans="1:7" x14ac:dyDescent="0.25">
      <c r="A3230" s="17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IFERROR(VLOOKUP(B3230,'Diciembre 2023'!$B$2:$G$5822,4,0),"")</f>
        <v>BM</v>
      </c>
    </row>
    <row r="3231" spans="1:7" x14ac:dyDescent="0.25">
      <c r="A3231" s="17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IFERROR(VLOOKUP(B3231,'Diciembre 2023'!$B$2:$G$5822,4,0),"")</f>
        <v>BM</v>
      </c>
    </row>
    <row r="3232" spans="1:7" x14ac:dyDescent="0.25">
      <c r="A3232" s="17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IFERROR(VLOOKUP(B3232,'Diciembre 2023'!$B$2:$G$5822,4,0),"")</f>
        <v>BM</v>
      </c>
    </row>
    <row r="3233" spans="1:7" x14ac:dyDescent="0.25">
      <c r="A3233" s="17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IFERROR(VLOOKUP(B3233,'Diciembre 2023'!$B$2:$G$5822,4,0),"")</f>
        <v>INACTPETS</v>
      </c>
    </row>
    <row r="3234" spans="1:7" x14ac:dyDescent="0.25">
      <c r="A3234" s="17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IFERROR(VLOOKUP(B3234,'Diciembre 2023'!$B$2:$G$5822,4,0),"")</f>
        <v>BM</v>
      </c>
    </row>
    <row r="3235" spans="1:7" x14ac:dyDescent="0.25">
      <c r="A3235" s="17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IFERROR(VLOOKUP(B3235,'Diciembre 2023'!$B$2:$G$5822,4,0),"")</f>
        <v>ACTPETF</v>
      </c>
    </row>
    <row r="3236" spans="1:7" x14ac:dyDescent="0.25">
      <c r="A3236" s="17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IFERROR(VLOOKUP(B3236,'Diciembre 2023'!$B$2:$G$5822,4,0),"")</f>
        <v>INACTGAS</v>
      </c>
    </row>
    <row r="3237" spans="1:7" x14ac:dyDescent="0.25">
      <c r="A3237" s="17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IFERROR(VLOOKUP(B3237,'Diciembre 2023'!$B$2:$G$5822,4,0),"")</f>
        <v>BM</v>
      </c>
    </row>
    <row r="3238" spans="1:7" x14ac:dyDescent="0.25">
      <c r="A3238" s="17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IFERROR(VLOOKUP(B3238,'Diciembre 2023'!$B$2:$G$5822,4,0),"")</f>
        <v>BM</v>
      </c>
    </row>
    <row r="3239" spans="1:7" x14ac:dyDescent="0.25">
      <c r="A3239" s="17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IFERROR(VLOOKUP(B3239,'Diciembre 2023'!$B$2:$G$5822,4,0),"")</f>
        <v>BM</v>
      </c>
    </row>
    <row r="3240" spans="1:7" x14ac:dyDescent="0.25">
      <c r="A3240" s="17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IFERROR(VLOOKUP(B3240,'Diciembre 2023'!$B$2:$G$5822,4,0),"")</f>
        <v>INACTGAS</v>
      </c>
    </row>
    <row r="3241" spans="1:7" x14ac:dyDescent="0.25">
      <c r="A3241" s="17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IFERROR(VLOOKUP(B3241,'Diciembre 2023'!$B$2:$G$5822,4,0),"")</f>
        <v>BM</v>
      </c>
    </row>
    <row r="3242" spans="1:7" x14ac:dyDescent="0.25">
      <c r="A3242" s="17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IFERROR(VLOOKUP(B3242,'Diciembre 2023'!$B$2:$G$5822,4,0),"")</f>
        <v>INACTBM</v>
      </c>
    </row>
    <row r="3243" spans="1:7" x14ac:dyDescent="0.25">
      <c r="A3243" s="17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IFERROR(VLOOKUP(B3243,'Diciembre 2023'!$B$2:$G$5822,4,0),"")</f>
        <v>BM</v>
      </c>
    </row>
    <row r="3244" spans="1:7" x14ac:dyDescent="0.25">
      <c r="A3244" s="17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IFERROR(VLOOKUP(B3244,'Diciembre 2023'!$B$2:$G$5822,4,0),"")</f>
        <v>BM</v>
      </c>
    </row>
    <row r="3245" spans="1:7" x14ac:dyDescent="0.25">
      <c r="A3245" s="17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IFERROR(VLOOKUP(B3245,'Diciembre 2023'!$B$2:$G$5822,4,0),"")</f>
        <v>ATAINY</v>
      </c>
    </row>
    <row r="3246" spans="1:7" x14ac:dyDescent="0.25">
      <c r="A3246" s="17"/>
      <c r="B3246" s="4" t="s">
        <v>3158</v>
      </c>
      <c r="C3246" s="4" t="s">
        <v>35</v>
      </c>
      <c r="D3246" s="4" t="s">
        <v>35</v>
      </c>
      <c r="E3246" s="4" t="s">
        <v>686</v>
      </c>
      <c r="F3246" s="4" t="s">
        <v>112</v>
      </c>
      <c r="G3246" s="5" t="str">
        <f>IFERROR(VLOOKUP(B3246,'Diciembre 2023'!$B$2:$G$5822,4,0),"")</f>
        <v>INACTINYA</v>
      </c>
    </row>
    <row r="3247" spans="1:7" x14ac:dyDescent="0.25">
      <c r="A3247" s="17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IFERROR(VLOOKUP(B3247,'Diciembre 2023'!$B$2:$G$5822,4,0),"")</f>
        <v>BM</v>
      </c>
    </row>
    <row r="3248" spans="1:7" x14ac:dyDescent="0.25">
      <c r="A3248" s="17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IFERROR(VLOOKUP(B3248,'Diciembre 2023'!$B$2:$G$5822,4,0),"")</f>
        <v>BM</v>
      </c>
    </row>
    <row r="3249" spans="1:7" x14ac:dyDescent="0.25">
      <c r="A3249" s="17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IFERROR(VLOOKUP(B3249,'Diciembre 2023'!$B$2:$G$5822,4,0),"")</f>
        <v>BM</v>
      </c>
    </row>
    <row r="3250" spans="1:7" x14ac:dyDescent="0.25">
      <c r="A3250" s="17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IFERROR(VLOOKUP(B3250,'Diciembre 2023'!$B$2:$G$5822,4,0),"")</f>
        <v>BM</v>
      </c>
    </row>
    <row r="3251" spans="1:7" x14ac:dyDescent="0.25">
      <c r="A3251" s="17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IFERROR(VLOOKUP(B3251,'Diciembre 2023'!$B$2:$G$5822,4,0),"")</f>
        <v>INACTBM</v>
      </c>
    </row>
    <row r="3252" spans="1:7" x14ac:dyDescent="0.25">
      <c r="A3252" s="17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IFERROR(VLOOKUP(B3252,'Diciembre 2023'!$B$2:$G$5822,4,0),"")</f>
        <v>BM</v>
      </c>
    </row>
    <row r="3253" spans="1:7" x14ac:dyDescent="0.25">
      <c r="A3253" s="17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IFERROR(VLOOKUP(B3253,'Diciembre 2023'!$B$2:$G$5822,4,0),"")</f>
        <v>INACTGAS</v>
      </c>
    </row>
    <row r="3254" spans="1:7" x14ac:dyDescent="0.25">
      <c r="A3254" s="17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IFERROR(VLOOKUP(B3254,'Diciembre 2023'!$B$2:$G$5822,4,0),"")</f>
        <v>BM</v>
      </c>
    </row>
    <row r="3255" spans="1:7" x14ac:dyDescent="0.25">
      <c r="A3255" s="17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IFERROR(VLOOKUP(B3255,'Diciembre 2023'!$B$2:$G$5822,4,0),"")</f>
        <v>BM</v>
      </c>
    </row>
    <row r="3256" spans="1:7" x14ac:dyDescent="0.25">
      <c r="A3256" s="17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IFERROR(VLOOKUP(B3256,'Diciembre 2023'!$B$2:$G$5822,4,0),"")</f>
        <v>INACTINYA</v>
      </c>
    </row>
    <row r="3257" spans="1:7" x14ac:dyDescent="0.25">
      <c r="A3257" s="17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IFERROR(VLOOKUP(B3257,'Diciembre 2023'!$B$2:$G$5822,4,0),"")</f>
        <v>BM</v>
      </c>
    </row>
    <row r="3258" spans="1:7" x14ac:dyDescent="0.25">
      <c r="A3258" s="17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IFERROR(VLOOKUP(B3258,'Diciembre 2023'!$B$2:$G$5822,4,0),"")</f>
        <v>BM</v>
      </c>
    </row>
    <row r="3259" spans="1:7" x14ac:dyDescent="0.25">
      <c r="A3259" s="17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IFERROR(VLOOKUP(B3259,'Diciembre 2023'!$B$2:$G$5822,4,0),"")</f>
        <v>BM</v>
      </c>
    </row>
    <row r="3260" spans="1:7" x14ac:dyDescent="0.25">
      <c r="A3260" s="17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IFERROR(VLOOKUP(B3260,'Diciembre 2023'!$B$2:$G$5822,4,0),"")</f>
        <v>BM</v>
      </c>
    </row>
    <row r="3261" spans="1:7" x14ac:dyDescent="0.25">
      <c r="A3261" s="17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IFERROR(VLOOKUP(B3261,'Diciembre 2023'!$B$2:$G$5822,4,0),"")</f>
        <v>ACTPETF</v>
      </c>
    </row>
    <row r="3262" spans="1:7" x14ac:dyDescent="0.25">
      <c r="A3262" s="17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IFERROR(VLOOKUP(B3262,'Diciembre 2023'!$B$2:$G$5822,4,0),"")</f>
        <v>BM</v>
      </c>
    </row>
    <row r="3263" spans="1:7" x14ac:dyDescent="0.25">
      <c r="A3263" s="17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IFERROR(VLOOKUP(B3263,'Diciembre 2023'!$B$2:$G$5822,4,0),"")</f>
        <v>ACTPETF</v>
      </c>
    </row>
    <row r="3264" spans="1:7" x14ac:dyDescent="0.25">
      <c r="A3264" s="17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IFERROR(VLOOKUP(B3264,'Diciembre 2023'!$B$2:$G$5822,4,0),"")</f>
        <v>BM</v>
      </c>
    </row>
    <row r="3265" spans="1:7" x14ac:dyDescent="0.25">
      <c r="A3265" s="17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IFERROR(VLOOKUP(B3265,'Diciembre 2023'!$B$2:$G$5822,4,0),"")</f>
        <v>BM</v>
      </c>
    </row>
    <row r="3266" spans="1:7" x14ac:dyDescent="0.25">
      <c r="A3266" s="17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IFERROR(VLOOKUP(B3266,'Diciembre 2023'!$B$2:$G$5822,4,0),"")</f>
        <v>BM</v>
      </c>
    </row>
    <row r="3267" spans="1:7" x14ac:dyDescent="0.25">
      <c r="A3267" s="17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IFERROR(VLOOKUP(B3267,'Diciembre 2023'!$B$2:$G$5822,4,0),"")</f>
        <v>BM</v>
      </c>
    </row>
    <row r="3268" spans="1:7" x14ac:dyDescent="0.25">
      <c r="A3268" s="17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IFERROR(VLOOKUP(B3268,'Diciembre 2023'!$B$2:$G$5822,4,0),"")</f>
        <v>INACTPETF</v>
      </c>
    </row>
    <row r="3269" spans="1:7" x14ac:dyDescent="0.25">
      <c r="A3269" s="17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IFERROR(VLOOKUP(B3269,'Diciembre 2023'!$B$2:$G$5822,4,0),"")</f>
        <v>BM</v>
      </c>
    </row>
    <row r="3270" spans="1:7" x14ac:dyDescent="0.25">
      <c r="A3270" s="17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IFERROR(VLOOKUP(B3270,'Diciembre 2023'!$B$2:$G$5822,4,0),"")</f>
        <v>BM</v>
      </c>
    </row>
    <row r="3271" spans="1:7" x14ac:dyDescent="0.25">
      <c r="A3271" s="17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IFERROR(VLOOKUP(B3271,'Diciembre 2023'!$B$2:$G$5822,4,0),"")</f>
        <v>BM</v>
      </c>
    </row>
    <row r="3272" spans="1:7" x14ac:dyDescent="0.25">
      <c r="A3272" s="17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IFERROR(VLOOKUP(B3272,'Diciembre 2023'!$B$2:$G$5822,4,0),"")</f>
        <v>ATAPET</v>
      </c>
    </row>
    <row r="3273" spans="1:7" x14ac:dyDescent="0.25">
      <c r="A3273" s="17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IFERROR(VLOOKUP(B3273,'Diciembre 2023'!$B$2:$G$5822,4,0),"")</f>
        <v>BM</v>
      </c>
    </row>
    <row r="3274" spans="1:7" x14ac:dyDescent="0.25">
      <c r="A3274" s="17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IFERROR(VLOOKUP(B3274,'Diciembre 2023'!$B$2:$G$5822,4,0),"")</f>
        <v>BM</v>
      </c>
    </row>
    <row r="3275" spans="1:7" x14ac:dyDescent="0.25">
      <c r="A3275" s="17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IFERROR(VLOOKUP(B3275,'Diciembre 2023'!$B$2:$G$5822,4,0),"")</f>
        <v>ACTPETS</v>
      </c>
    </row>
    <row r="3276" spans="1:7" x14ac:dyDescent="0.25">
      <c r="A3276" s="17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IFERROR(VLOOKUP(B3276,'Diciembre 2023'!$B$2:$G$5822,4,0),"")</f>
        <v>BM</v>
      </c>
    </row>
    <row r="3277" spans="1:7" x14ac:dyDescent="0.25">
      <c r="A3277" s="17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IFERROR(VLOOKUP(B3277,'Diciembre 2023'!$B$2:$G$5822,4,0),"")</f>
        <v>ATAPET</v>
      </c>
    </row>
    <row r="3278" spans="1:7" x14ac:dyDescent="0.25">
      <c r="A3278" s="17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IFERROR(VLOOKUP(B3278,'Diciembre 2023'!$B$2:$G$5822,4,0),"")</f>
        <v>BM</v>
      </c>
    </row>
    <row r="3279" spans="1:7" x14ac:dyDescent="0.25">
      <c r="A3279" s="17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IFERROR(VLOOKUP(B3279,'Diciembre 2023'!$B$2:$G$5822,4,0),"")</f>
        <v>BM</v>
      </c>
    </row>
    <row r="3280" spans="1:7" x14ac:dyDescent="0.25">
      <c r="A3280" s="17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IFERROR(VLOOKUP(B3280,'Diciembre 2023'!$B$2:$G$5822,4,0),"")</f>
        <v>BM</v>
      </c>
    </row>
    <row r="3281" spans="1:7" x14ac:dyDescent="0.25">
      <c r="A3281" s="17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IFERROR(VLOOKUP(B3281,'Diciembre 2023'!$B$2:$G$5822,4,0),"")</f>
        <v>BM</v>
      </c>
    </row>
    <row r="3282" spans="1:7" x14ac:dyDescent="0.25">
      <c r="A3282" s="17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IFERROR(VLOOKUP(B3282,'Diciembre 2023'!$B$2:$G$5822,4,0),"")</f>
        <v>APA_CNPC</v>
      </c>
    </row>
    <row r="3283" spans="1:7" x14ac:dyDescent="0.25">
      <c r="A3283" s="17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IFERROR(VLOOKUP(B3283,'Diciembre 2023'!$B$2:$G$5822,4,0),"")</f>
        <v>BM</v>
      </c>
    </row>
    <row r="3284" spans="1:7" x14ac:dyDescent="0.25">
      <c r="A3284" s="17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IFERROR(VLOOKUP(B3284,'Diciembre 2023'!$B$2:$G$5822,4,0),"")</f>
        <v>BM</v>
      </c>
    </row>
    <row r="3285" spans="1:7" x14ac:dyDescent="0.25">
      <c r="A3285" s="17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IFERROR(VLOOKUP(B3285,'Diciembre 2023'!$B$2:$G$5822,4,0),"")</f>
        <v>BM</v>
      </c>
    </row>
    <row r="3286" spans="1:7" x14ac:dyDescent="0.25">
      <c r="A3286" s="17"/>
      <c r="B3286" s="4" t="s">
        <v>3198</v>
      </c>
      <c r="C3286" s="4" t="s">
        <v>35</v>
      </c>
      <c r="D3286" s="4" t="s">
        <v>35</v>
      </c>
      <c r="E3286" s="4" t="s">
        <v>57</v>
      </c>
      <c r="F3286" s="4" t="s">
        <v>2718</v>
      </c>
      <c r="G3286" s="5" t="str">
        <f>IFERROR(VLOOKUP(B3286,'Diciembre 2023'!$B$2:$G$5822,4,0),"")</f>
        <v>INACTBM</v>
      </c>
    </row>
    <row r="3287" spans="1:7" x14ac:dyDescent="0.25">
      <c r="A3287" s="17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IFERROR(VLOOKUP(B3287,'Diciembre 2023'!$B$2:$G$5822,4,0),"")</f>
        <v>BM</v>
      </c>
    </row>
    <row r="3288" spans="1:7" x14ac:dyDescent="0.25">
      <c r="A3288" s="17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IFERROR(VLOOKUP(B3288,'Diciembre 2023'!$B$2:$G$5822,4,0),"")</f>
        <v>BM</v>
      </c>
    </row>
    <row r="3289" spans="1:7" x14ac:dyDescent="0.25">
      <c r="A3289" s="17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IFERROR(VLOOKUP(B3289,'Diciembre 2023'!$B$2:$G$5822,4,0),"")</f>
        <v>BM</v>
      </c>
    </row>
    <row r="3290" spans="1:7" x14ac:dyDescent="0.25">
      <c r="A3290" s="17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IFERROR(VLOOKUP(B3290,'Diciembre 2023'!$B$2:$G$5822,4,0),"")</f>
        <v>BM</v>
      </c>
    </row>
    <row r="3291" spans="1:7" x14ac:dyDescent="0.25">
      <c r="A3291" s="17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IFERROR(VLOOKUP(B3291,'Diciembre 2023'!$B$2:$G$5822,4,0),"")</f>
        <v>INACTBM</v>
      </c>
    </row>
    <row r="3292" spans="1:7" x14ac:dyDescent="0.25">
      <c r="A3292" s="17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IFERROR(VLOOKUP(B3292,'Diciembre 2023'!$B$2:$G$5822,4,0),"")</f>
        <v>BM</v>
      </c>
    </row>
    <row r="3293" spans="1:7" x14ac:dyDescent="0.25">
      <c r="A3293" s="17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IFERROR(VLOOKUP(B3293,'Diciembre 2023'!$B$2:$G$5822,4,0),"")</f>
        <v>BM</v>
      </c>
    </row>
    <row r="3294" spans="1:7" x14ac:dyDescent="0.25">
      <c r="A3294" s="17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IFERROR(VLOOKUP(B3294,'Diciembre 2023'!$B$2:$G$5822,4,0),"")</f>
        <v>BM</v>
      </c>
    </row>
    <row r="3295" spans="1:7" x14ac:dyDescent="0.25">
      <c r="A3295" s="17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IFERROR(VLOOKUP(B3295,'Diciembre 2023'!$B$2:$G$5822,4,0),"")</f>
        <v>INACTINYA</v>
      </c>
    </row>
    <row r="3296" spans="1:7" x14ac:dyDescent="0.25">
      <c r="A3296" s="17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IFERROR(VLOOKUP(B3296,'Diciembre 2023'!$B$2:$G$5822,4,0),"")</f>
        <v>BM</v>
      </c>
    </row>
    <row r="3297" spans="1:7" x14ac:dyDescent="0.25">
      <c r="A3297" s="17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IFERROR(VLOOKUP(B3297,'Diciembre 2023'!$B$2:$G$5822,4,0),"")</f>
        <v>BM</v>
      </c>
    </row>
    <row r="3298" spans="1:7" x14ac:dyDescent="0.25">
      <c r="A3298" s="17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IFERROR(VLOOKUP(B3298,'Diciembre 2023'!$B$2:$G$5822,4,0),"")</f>
        <v>BM</v>
      </c>
    </row>
    <row r="3299" spans="1:7" x14ac:dyDescent="0.25">
      <c r="A3299" s="17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IFERROR(VLOOKUP(B3299,'Diciembre 2023'!$B$2:$G$5822,4,0),"")</f>
        <v>BM</v>
      </c>
    </row>
    <row r="3300" spans="1:7" x14ac:dyDescent="0.25">
      <c r="A3300" s="17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IFERROR(VLOOKUP(B3300,'Diciembre 2023'!$B$2:$G$5822,4,0),"")</f>
        <v>BM</v>
      </c>
    </row>
    <row r="3301" spans="1:7" x14ac:dyDescent="0.25">
      <c r="A3301" s="17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IFERROR(VLOOKUP(B3301,'Diciembre 2023'!$B$2:$G$5822,4,0),"")</f>
        <v>INACTPETF</v>
      </c>
    </row>
    <row r="3302" spans="1:7" x14ac:dyDescent="0.25">
      <c r="A3302" s="17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IFERROR(VLOOKUP(B3302,'Diciembre 2023'!$B$2:$G$5822,4,0),"")</f>
        <v>BM</v>
      </c>
    </row>
    <row r="3303" spans="1:7" x14ac:dyDescent="0.25">
      <c r="A3303" s="17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IFERROR(VLOOKUP(B3303,'Diciembre 2023'!$B$2:$G$5822,4,0),"")</f>
        <v>BM</v>
      </c>
    </row>
    <row r="3304" spans="1:7" x14ac:dyDescent="0.25">
      <c r="A3304" s="17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IFERROR(VLOOKUP(B3304,'Diciembre 2023'!$B$2:$G$5822,4,0),"")</f>
        <v>BM</v>
      </c>
    </row>
    <row r="3305" spans="1:7" x14ac:dyDescent="0.25">
      <c r="A3305" s="17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IFERROR(VLOOKUP(B3305,'Diciembre 2023'!$B$2:$G$5822,4,0),"")</f>
        <v>BM</v>
      </c>
    </row>
    <row r="3306" spans="1:7" x14ac:dyDescent="0.25">
      <c r="A3306" s="17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IFERROR(VLOOKUP(B3306,'Diciembre 2023'!$B$2:$G$5822,4,0),"")</f>
        <v>BM</v>
      </c>
    </row>
    <row r="3307" spans="1:7" x14ac:dyDescent="0.25">
      <c r="A3307" s="17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IFERROR(VLOOKUP(B3307,'Diciembre 2023'!$B$2:$G$5822,4,0),"")</f>
        <v>BM</v>
      </c>
    </row>
    <row r="3308" spans="1:7" x14ac:dyDescent="0.25">
      <c r="A3308" s="17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IFERROR(VLOOKUP(B3308,'Diciembre 2023'!$B$2:$G$5822,4,0),"")</f>
        <v>BM</v>
      </c>
    </row>
    <row r="3309" spans="1:7" x14ac:dyDescent="0.25">
      <c r="A3309" s="17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IFERROR(VLOOKUP(B3309,'Diciembre 2023'!$B$2:$G$5822,4,0),"")</f>
        <v>BM</v>
      </c>
    </row>
    <row r="3310" spans="1:7" x14ac:dyDescent="0.25">
      <c r="A3310" s="17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IFERROR(VLOOKUP(B3310,'Diciembre 2023'!$B$2:$G$5822,4,0),"")</f>
        <v>BM</v>
      </c>
    </row>
    <row r="3311" spans="1:7" x14ac:dyDescent="0.25">
      <c r="A3311" s="17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IFERROR(VLOOKUP(B3311,'Diciembre 2023'!$B$2:$G$5822,4,0),"")</f>
        <v>BM</v>
      </c>
    </row>
    <row r="3312" spans="1:7" x14ac:dyDescent="0.25">
      <c r="A3312" s="17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IFERROR(VLOOKUP(B3312,'Diciembre 2023'!$B$2:$G$5822,4,0),"")</f>
        <v>ATAPET</v>
      </c>
    </row>
    <row r="3313" spans="1:7" x14ac:dyDescent="0.25">
      <c r="A3313" s="17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IFERROR(VLOOKUP(B3313,'Diciembre 2023'!$B$2:$G$5822,4,0),"")</f>
        <v>BM</v>
      </c>
    </row>
    <row r="3314" spans="1:7" x14ac:dyDescent="0.25">
      <c r="A3314" s="17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IFERROR(VLOOKUP(B3314,'Diciembre 2023'!$B$2:$G$5822,4,0),"")</f>
        <v>BM</v>
      </c>
    </row>
    <row r="3315" spans="1:7" x14ac:dyDescent="0.25">
      <c r="A3315" s="17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IFERROR(VLOOKUP(B3315,'Diciembre 2023'!$B$2:$G$5822,4,0),"")</f>
        <v>BM</v>
      </c>
    </row>
    <row r="3316" spans="1:7" x14ac:dyDescent="0.25">
      <c r="A3316" s="17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IFERROR(VLOOKUP(B3316,'Diciembre 2023'!$B$2:$G$5822,4,0),"")</f>
        <v>BM</v>
      </c>
    </row>
    <row r="3317" spans="1:7" x14ac:dyDescent="0.25">
      <c r="A3317" s="17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IFERROR(VLOOKUP(B3317,'Diciembre 2023'!$B$2:$G$5822,4,0),"")</f>
        <v>BM</v>
      </c>
    </row>
    <row r="3318" spans="1:7" x14ac:dyDescent="0.25">
      <c r="A3318" s="17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IFERROR(VLOOKUP(B3318,'Diciembre 2023'!$B$2:$G$5822,4,0),"")</f>
        <v>DPAPET</v>
      </c>
    </row>
    <row r="3319" spans="1:7" x14ac:dyDescent="0.25">
      <c r="A3319" s="17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IFERROR(VLOOKUP(B3319,'Diciembre 2023'!$B$2:$G$5822,4,0),"")</f>
        <v>DPAPET</v>
      </c>
    </row>
    <row r="3320" spans="1:7" x14ac:dyDescent="0.25">
      <c r="A3320" s="17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IFERROR(VLOOKUP(B3320,'Diciembre 2023'!$B$2:$G$5822,4,0),"")</f>
        <v>ACTPETS</v>
      </c>
    </row>
    <row r="3321" spans="1:7" x14ac:dyDescent="0.25">
      <c r="A3321" s="17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IFERROR(VLOOKUP(B3321,'Diciembre 2023'!$B$2:$G$5822,4,0),"")</f>
        <v>BM</v>
      </c>
    </row>
    <row r="3322" spans="1:7" x14ac:dyDescent="0.25">
      <c r="A3322" s="17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IFERROR(VLOOKUP(B3322,'Diciembre 2023'!$B$2:$G$5822,4,0),"")</f>
        <v>BM</v>
      </c>
    </row>
    <row r="3323" spans="1:7" x14ac:dyDescent="0.25">
      <c r="A3323" s="17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IFERROR(VLOOKUP(B3323,'Diciembre 2023'!$B$2:$G$5822,4,0),"")</f>
        <v>BM</v>
      </c>
    </row>
    <row r="3324" spans="1:7" x14ac:dyDescent="0.25">
      <c r="A3324" s="17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IFERROR(VLOOKUP(B3324,'Diciembre 2023'!$B$2:$G$5822,4,0),"")</f>
        <v>BM</v>
      </c>
    </row>
    <row r="3325" spans="1:7" x14ac:dyDescent="0.25">
      <c r="A3325" s="17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IFERROR(VLOOKUP(B3325,'Diciembre 2023'!$B$2:$G$5822,4,0),"")</f>
        <v>BM</v>
      </c>
    </row>
    <row r="3326" spans="1:7" x14ac:dyDescent="0.25">
      <c r="A3326" s="17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IFERROR(VLOOKUP(B3326,'Diciembre 2023'!$B$2:$G$5822,4,0),"")</f>
        <v>ATAPET</v>
      </c>
    </row>
    <row r="3327" spans="1:7" x14ac:dyDescent="0.25">
      <c r="A3327" s="17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IFERROR(VLOOKUP(B3327,'Diciembre 2023'!$B$2:$G$5822,4,0),"")</f>
        <v>BM</v>
      </c>
    </row>
    <row r="3328" spans="1:7" x14ac:dyDescent="0.25">
      <c r="A3328" s="17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IFERROR(VLOOKUP(B3328,'Diciembre 2023'!$B$2:$G$5822,4,0),"")</f>
        <v>INACTBM</v>
      </c>
    </row>
    <row r="3329" spans="1:7" x14ac:dyDescent="0.25">
      <c r="A3329" s="17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IFERROR(VLOOKUP(B3329,'Diciembre 2023'!$B$2:$G$5822,4,0),"")</f>
        <v>INACTPETS</v>
      </c>
    </row>
    <row r="3330" spans="1:7" x14ac:dyDescent="0.25">
      <c r="A3330" s="17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IFERROR(VLOOKUP(B3330,'Diciembre 2023'!$B$2:$G$5822,4,0),"")</f>
        <v>INACTBM</v>
      </c>
    </row>
    <row r="3331" spans="1:7" x14ac:dyDescent="0.25">
      <c r="A3331" s="17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IFERROR(VLOOKUP(B3331,'Diciembre 2023'!$B$2:$G$5822,4,0),"")</f>
        <v>BM</v>
      </c>
    </row>
    <row r="3332" spans="1:7" x14ac:dyDescent="0.25">
      <c r="A3332" s="17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IFERROR(VLOOKUP(B3332,'Diciembre 2023'!$B$2:$G$5822,4,0),"")</f>
        <v>BM</v>
      </c>
    </row>
    <row r="3333" spans="1:7" x14ac:dyDescent="0.25">
      <c r="A3333" s="17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IFERROR(VLOOKUP(B3333,'Diciembre 2023'!$B$2:$G$5822,4,0),"")</f>
        <v>ACTPETF</v>
      </c>
    </row>
    <row r="3334" spans="1:7" x14ac:dyDescent="0.25">
      <c r="A3334" s="17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IFERROR(VLOOKUP(B3334,'Diciembre 2023'!$B$2:$G$5822,4,0),"")</f>
        <v>BM</v>
      </c>
    </row>
    <row r="3335" spans="1:7" x14ac:dyDescent="0.25">
      <c r="A3335" s="17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IFERROR(VLOOKUP(B3335,'Diciembre 2023'!$B$2:$G$5822,4,0),"")</f>
        <v>BM</v>
      </c>
    </row>
    <row r="3336" spans="1:7" x14ac:dyDescent="0.25">
      <c r="A3336" s="17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IFERROR(VLOOKUP(B3336,'Diciembre 2023'!$B$2:$G$5822,4,0),"")</f>
        <v>BM</v>
      </c>
    </row>
    <row r="3337" spans="1:7" x14ac:dyDescent="0.25">
      <c r="A3337" s="17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IFERROR(VLOOKUP(B3337,'Diciembre 2023'!$B$2:$G$5822,4,0),"")</f>
        <v>BM</v>
      </c>
    </row>
    <row r="3338" spans="1:7" x14ac:dyDescent="0.25">
      <c r="A3338" s="17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IFERROR(VLOOKUP(B3338,'Diciembre 2023'!$B$2:$G$5822,4,0),"")</f>
        <v>ACTPETF</v>
      </c>
    </row>
    <row r="3339" spans="1:7" x14ac:dyDescent="0.25">
      <c r="A3339" s="17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IFERROR(VLOOKUP(B3339,'Diciembre 2023'!$B$2:$G$5822,4,0),"")</f>
        <v>BM</v>
      </c>
    </row>
    <row r="3340" spans="1:7" x14ac:dyDescent="0.25">
      <c r="A3340" s="17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IFERROR(VLOOKUP(B3340,'Diciembre 2023'!$B$2:$G$5822,4,0),"")</f>
        <v>BM</v>
      </c>
    </row>
    <row r="3341" spans="1:7" x14ac:dyDescent="0.25">
      <c r="A3341" s="17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IFERROR(VLOOKUP(B3341,'Diciembre 2023'!$B$2:$G$5822,4,0),"")</f>
        <v>BM</v>
      </c>
    </row>
    <row r="3342" spans="1:7" x14ac:dyDescent="0.25">
      <c r="A3342" s="17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IFERROR(VLOOKUP(B3342,'Diciembre 2023'!$B$2:$G$5822,4,0),"")</f>
        <v>BM</v>
      </c>
    </row>
    <row r="3343" spans="1:7" x14ac:dyDescent="0.25">
      <c r="A3343" s="17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IFERROR(VLOOKUP(B3343,'Diciembre 2023'!$B$2:$G$5822,4,0),"")</f>
        <v>INACTBM</v>
      </c>
    </row>
    <row r="3344" spans="1:7" x14ac:dyDescent="0.25">
      <c r="A3344" s="17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IFERROR(VLOOKUP(B3344,'Diciembre 2023'!$B$2:$G$5822,4,0),"")</f>
        <v>BM</v>
      </c>
    </row>
    <row r="3345" spans="1:7" x14ac:dyDescent="0.25">
      <c r="A3345" s="17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IFERROR(VLOOKUP(B3345,'Diciembre 2023'!$B$2:$G$5822,4,0),"")</f>
        <v>BM</v>
      </c>
    </row>
    <row r="3346" spans="1:7" x14ac:dyDescent="0.25">
      <c r="A3346" s="17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IFERROR(VLOOKUP(B3346,'Diciembre 2023'!$B$2:$G$5822,4,0),"")</f>
        <v>ACTPETF</v>
      </c>
    </row>
    <row r="3347" spans="1:7" x14ac:dyDescent="0.25">
      <c r="A3347" s="17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IFERROR(VLOOKUP(B3347,'Diciembre 2023'!$B$2:$G$5822,4,0),"")</f>
        <v>BM</v>
      </c>
    </row>
    <row r="3348" spans="1:7" x14ac:dyDescent="0.25">
      <c r="A3348" s="17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IFERROR(VLOOKUP(B3348,'Diciembre 2023'!$B$2:$G$5822,4,0),"")</f>
        <v>BM</v>
      </c>
    </row>
    <row r="3349" spans="1:7" x14ac:dyDescent="0.25">
      <c r="A3349" s="17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IFERROR(VLOOKUP(B3349,'Diciembre 2023'!$B$2:$G$5822,4,0),"")</f>
        <v>INACTGAS</v>
      </c>
    </row>
    <row r="3350" spans="1:7" x14ac:dyDescent="0.25">
      <c r="A3350" s="17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IFERROR(VLOOKUP(B3350,'Diciembre 2023'!$B$2:$G$5822,4,0),"")</f>
        <v>BM</v>
      </c>
    </row>
    <row r="3351" spans="1:7" x14ac:dyDescent="0.25">
      <c r="A3351" s="17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IFERROR(VLOOKUP(B3351,'Diciembre 2023'!$B$2:$G$5822,4,0),"")</f>
        <v>BM</v>
      </c>
    </row>
    <row r="3352" spans="1:7" x14ac:dyDescent="0.25">
      <c r="A3352" s="17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IFERROR(VLOOKUP(B3352,'Diciembre 2023'!$B$2:$G$5822,4,0),"")</f>
        <v>ACTPETF</v>
      </c>
    </row>
    <row r="3353" spans="1:7" x14ac:dyDescent="0.25">
      <c r="A3353" s="17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IFERROR(VLOOKUP(B3353,'Diciembre 2023'!$B$2:$G$5822,4,0),"")</f>
        <v>BM</v>
      </c>
    </row>
    <row r="3354" spans="1:7" x14ac:dyDescent="0.25">
      <c r="A3354" s="17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IFERROR(VLOOKUP(B3354,'Diciembre 2023'!$B$2:$G$5822,4,0),"")</f>
        <v>ACTPETF</v>
      </c>
    </row>
    <row r="3355" spans="1:7" x14ac:dyDescent="0.25">
      <c r="A3355" s="17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IFERROR(VLOOKUP(B3355,'Diciembre 2023'!$B$2:$G$5822,4,0),"")</f>
        <v>BM</v>
      </c>
    </row>
    <row r="3356" spans="1:7" x14ac:dyDescent="0.25">
      <c r="A3356" s="17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IFERROR(VLOOKUP(B3356,'Diciembre 2023'!$B$2:$G$5822,4,0),"")</f>
        <v>INACTBM</v>
      </c>
    </row>
    <row r="3357" spans="1:7" x14ac:dyDescent="0.25">
      <c r="A3357" s="17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IFERROR(VLOOKUP(B3357,'Diciembre 2023'!$B$2:$G$5822,4,0),"")</f>
        <v>BM</v>
      </c>
    </row>
    <row r="3358" spans="1:7" x14ac:dyDescent="0.25">
      <c r="A3358" s="17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IFERROR(VLOOKUP(B3358,'Diciembre 2023'!$B$2:$G$5822,4,0),"")</f>
        <v>INACTBM</v>
      </c>
    </row>
    <row r="3359" spans="1:7" x14ac:dyDescent="0.25">
      <c r="A3359" s="17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IFERROR(VLOOKUP(B3359,'Diciembre 2023'!$B$2:$G$5822,4,0),"")</f>
        <v>BM</v>
      </c>
    </row>
    <row r="3360" spans="1:7" x14ac:dyDescent="0.25">
      <c r="A3360" s="17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IFERROR(VLOOKUP(B3360,'Diciembre 2023'!$B$2:$G$5822,4,0),"")</f>
        <v>BM</v>
      </c>
    </row>
    <row r="3361" spans="1:7" x14ac:dyDescent="0.25">
      <c r="A3361" s="17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IFERROR(VLOOKUP(B3361,'Diciembre 2023'!$B$2:$G$5822,4,0),"")</f>
        <v>BM</v>
      </c>
    </row>
    <row r="3362" spans="1:7" x14ac:dyDescent="0.25">
      <c r="A3362" s="17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IFERROR(VLOOKUP(B3362,'Diciembre 2023'!$B$2:$G$5822,4,0),"")</f>
        <v>BM</v>
      </c>
    </row>
    <row r="3363" spans="1:7" x14ac:dyDescent="0.25">
      <c r="A3363" s="17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IFERROR(VLOOKUP(B3363,'Diciembre 2023'!$B$2:$G$5822,4,0),"")</f>
        <v>BM</v>
      </c>
    </row>
    <row r="3364" spans="1:7" x14ac:dyDescent="0.25">
      <c r="A3364" s="17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IFERROR(VLOOKUP(B3364,'Diciembre 2023'!$B$2:$G$5822,4,0),"")</f>
        <v>BM</v>
      </c>
    </row>
    <row r="3365" spans="1:7" x14ac:dyDescent="0.25">
      <c r="A3365" s="17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IFERROR(VLOOKUP(B3365,'Diciembre 2023'!$B$2:$G$5822,4,0),"")</f>
        <v>BM</v>
      </c>
    </row>
    <row r="3366" spans="1:7" x14ac:dyDescent="0.25">
      <c r="A3366" s="17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IFERROR(VLOOKUP(B3366,'Diciembre 2023'!$B$2:$G$5822,4,0),"")</f>
        <v>BM</v>
      </c>
    </row>
    <row r="3367" spans="1:7" x14ac:dyDescent="0.25">
      <c r="A3367" s="17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IFERROR(VLOOKUP(B3367,'Diciembre 2023'!$B$2:$G$5822,4,0),"")</f>
        <v>BM</v>
      </c>
    </row>
    <row r="3368" spans="1:7" x14ac:dyDescent="0.25">
      <c r="A3368" s="17"/>
      <c r="B3368" s="4" t="s">
        <v>3280</v>
      </c>
      <c r="C3368" s="4" t="s">
        <v>35</v>
      </c>
      <c r="D3368" s="4" t="s">
        <v>35</v>
      </c>
      <c r="E3368" s="4" t="s">
        <v>57</v>
      </c>
      <c r="F3368" s="4" t="s">
        <v>956</v>
      </c>
      <c r="G3368" s="5" t="str">
        <f>IFERROR(VLOOKUP(B3368,'Diciembre 2023'!$B$2:$G$5822,4,0),"")</f>
        <v>INACTBM</v>
      </c>
    </row>
    <row r="3369" spans="1:7" x14ac:dyDescent="0.25">
      <c r="A3369" s="17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IFERROR(VLOOKUP(B3369,'Diciembre 2023'!$B$2:$G$5822,4,0),"")</f>
        <v>BM</v>
      </c>
    </row>
    <row r="3370" spans="1:7" x14ac:dyDescent="0.25">
      <c r="A3370" s="17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IFERROR(VLOOKUP(B3370,'Diciembre 2023'!$B$2:$G$5822,4,0),"")</f>
        <v>ACTPETS</v>
      </c>
    </row>
    <row r="3371" spans="1:7" x14ac:dyDescent="0.25">
      <c r="A3371" s="17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IFERROR(VLOOKUP(B3371,'Diciembre 2023'!$B$2:$G$5822,4,0),"")</f>
        <v>BM</v>
      </c>
    </row>
    <row r="3372" spans="1:7" x14ac:dyDescent="0.25">
      <c r="A3372" s="17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IFERROR(VLOOKUP(B3372,'Diciembre 2023'!$B$2:$G$5822,4,0),"")</f>
        <v>BM</v>
      </c>
    </row>
    <row r="3373" spans="1:7" x14ac:dyDescent="0.25">
      <c r="A3373" s="17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IFERROR(VLOOKUP(B3373,'Diciembre 2023'!$B$2:$G$5822,4,0),"")</f>
        <v>BM</v>
      </c>
    </row>
    <row r="3374" spans="1:7" x14ac:dyDescent="0.25">
      <c r="A3374" s="17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IFERROR(VLOOKUP(B3374,'Diciembre 2023'!$B$2:$G$5822,4,0),"")</f>
        <v>BM</v>
      </c>
    </row>
    <row r="3375" spans="1:7" x14ac:dyDescent="0.25">
      <c r="A3375" s="17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IFERROR(VLOOKUP(B3375,'Diciembre 2023'!$B$2:$G$5822,4,0),"")</f>
        <v>BM</v>
      </c>
    </row>
    <row r="3376" spans="1:7" x14ac:dyDescent="0.25">
      <c r="A3376" s="17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IFERROR(VLOOKUP(B3376,'Diciembre 2023'!$B$2:$G$5822,4,0),"")</f>
        <v>ACTPETS</v>
      </c>
    </row>
    <row r="3377" spans="1:7" x14ac:dyDescent="0.25">
      <c r="A3377" s="17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IFERROR(VLOOKUP(B3377,'Diciembre 2023'!$B$2:$G$5822,4,0),"")</f>
        <v>BM</v>
      </c>
    </row>
    <row r="3378" spans="1:7" x14ac:dyDescent="0.25">
      <c r="A3378" s="17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IFERROR(VLOOKUP(B3378,'Diciembre 2023'!$B$2:$G$5822,4,0),"")</f>
        <v>BM</v>
      </c>
    </row>
    <row r="3379" spans="1:7" x14ac:dyDescent="0.25">
      <c r="A3379" s="17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IFERROR(VLOOKUP(B3379,'Diciembre 2023'!$B$2:$G$5822,4,0),"")</f>
        <v>BM</v>
      </c>
    </row>
    <row r="3380" spans="1:7" x14ac:dyDescent="0.25">
      <c r="A3380" s="17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IFERROR(VLOOKUP(B3380,'Diciembre 2023'!$B$2:$G$5822,4,0),"")</f>
        <v>BM</v>
      </c>
    </row>
    <row r="3381" spans="1:7" x14ac:dyDescent="0.25">
      <c r="A3381" s="17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IFERROR(VLOOKUP(B3381,'Diciembre 2023'!$B$2:$G$5822,4,0),"")</f>
        <v>BM</v>
      </c>
    </row>
    <row r="3382" spans="1:7" x14ac:dyDescent="0.25">
      <c r="A3382" s="17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IFERROR(VLOOKUP(B3382,'Diciembre 2023'!$B$2:$G$5822,4,0),"")</f>
        <v>BM</v>
      </c>
    </row>
    <row r="3383" spans="1:7" x14ac:dyDescent="0.25">
      <c r="A3383" s="17"/>
      <c r="B3383" s="4" t="s">
        <v>3295</v>
      </c>
      <c r="C3383" s="4" t="s">
        <v>14</v>
      </c>
      <c r="D3383" s="4" t="s">
        <v>15</v>
      </c>
      <c r="E3383" s="4" t="s">
        <v>16</v>
      </c>
      <c r="F3383" s="4" t="s">
        <v>14</v>
      </c>
      <c r="G3383" s="5" t="str">
        <f>IFERROR(VLOOKUP(B3383,'Diciembre 2023'!$B$2:$G$5822,4,0),"")</f>
        <v>ATAPET</v>
      </c>
    </row>
    <row r="3384" spans="1:7" x14ac:dyDescent="0.25">
      <c r="A3384" s="17"/>
      <c r="B3384" s="4" t="s">
        <v>3296</v>
      </c>
      <c r="C3384" s="4" t="s">
        <v>35</v>
      </c>
      <c r="D3384" s="4" t="s">
        <v>35</v>
      </c>
      <c r="E3384" s="4" t="s">
        <v>57</v>
      </c>
      <c r="F3384" s="4" t="s">
        <v>973</v>
      </c>
      <c r="G3384" s="5" t="str">
        <f>IFERROR(VLOOKUP(B3384,'Diciembre 2023'!$B$2:$G$5822,4,0),"")</f>
        <v>INACTBM</v>
      </c>
    </row>
    <row r="3385" spans="1:7" x14ac:dyDescent="0.25">
      <c r="A3385" s="17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IFERROR(VLOOKUP(B3385,'Diciembre 2023'!$B$2:$G$5822,4,0),"")</f>
        <v>BM</v>
      </c>
    </row>
    <row r="3386" spans="1:7" x14ac:dyDescent="0.25">
      <c r="A3386" s="17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IFERROR(VLOOKUP(B3386,'Diciembre 2023'!$B$2:$G$5822,4,0),"")</f>
        <v>INACTPL</v>
      </c>
    </row>
    <row r="3387" spans="1:7" x14ac:dyDescent="0.25">
      <c r="A3387" s="17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IFERROR(VLOOKUP(B3387,'Diciembre 2023'!$B$2:$G$5822,4,0),"")</f>
        <v>ACTPETS</v>
      </c>
    </row>
    <row r="3388" spans="1:7" x14ac:dyDescent="0.25">
      <c r="A3388" s="17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IFERROR(VLOOKUP(B3388,'Diciembre 2023'!$B$2:$G$5822,4,0),"")</f>
        <v>APA_CNPC</v>
      </c>
    </row>
    <row r="3389" spans="1:7" x14ac:dyDescent="0.25">
      <c r="A3389" s="17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IFERROR(VLOOKUP(B3389,'Diciembre 2023'!$B$2:$G$5822,4,0),"")</f>
        <v>BM</v>
      </c>
    </row>
    <row r="3390" spans="1:7" x14ac:dyDescent="0.25">
      <c r="A3390" s="17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IFERROR(VLOOKUP(B3390,'Diciembre 2023'!$B$2:$G$5822,4,0),"")</f>
        <v>BM</v>
      </c>
    </row>
    <row r="3391" spans="1:7" x14ac:dyDescent="0.25">
      <c r="A3391" s="17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IFERROR(VLOOKUP(B3391,'Diciembre 2023'!$B$2:$G$5822,4,0),"")</f>
        <v>BM</v>
      </c>
    </row>
    <row r="3392" spans="1:7" x14ac:dyDescent="0.25">
      <c r="A3392" s="17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IFERROR(VLOOKUP(B3392,'Diciembre 2023'!$B$2:$G$5822,4,0),"")</f>
        <v>BM</v>
      </c>
    </row>
    <row r="3393" spans="1:7" x14ac:dyDescent="0.25">
      <c r="A3393" s="17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IFERROR(VLOOKUP(B3393,'Diciembre 2023'!$B$2:$G$5822,4,0),"")</f>
        <v>BM</v>
      </c>
    </row>
    <row r="3394" spans="1:7" x14ac:dyDescent="0.25">
      <c r="A3394" s="17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IFERROR(VLOOKUP(B3394,'Diciembre 2023'!$B$2:$G$5822,4,0),"")</f>
        <v>BCP</v>
      </c>
    </row>
    <row r="3395" spans="1:7" x14ac:dyDescent="0.25">
      <c r="A3395" s="17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IFERROR(VLOOKUP(B3395,'Diciembre 2023'!$B$2:$G$5822,4,0),"")</f>
        <v>ATAPET</v>
      </c>
    </row>
    <row r="3396" spans="1:7" x14ac:dyDescent="0.25">
      <c r="A3396" s="17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IFERROR(VLOOKUP(B3396,'Diciembre 2023'!$B$2:$G$5822,4,0),"")</f>
        <v>BM</v>
      </c>
    </row>
    <row r="3397" spans="1:7" x14ac:dyDescent="0.25">
      <c r="A3397" s="17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IFERROR(VLOOKUP(B3397,'Diciembre 2023'!$B$2:$G$5822,4,0),"")</f>
        <v>BM</v>
      </c>
    </row>
    <row r="3398" spans="1:7" x14ac:dyDescent="0.25">
      <c r="A3398" s="17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IFERROR(VLOOKUP(B3398,'Diciembre 2023'!$B$2:$G$5822,4,0),"")</f>
        <v>BM</v>
      </c>
    </row>
    <row r="3399" spans="1:7" x14ac:dyDescent="0.25">
      <c r="A3399" s="17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IFERROR(VLOOKUP(B3399,'Diciembre 2023'!$B$2:$G$5822,4,0),"")</f>
        <v>BM</v>
      </c>
    </row>
    <row r="3400" spans="1:7" x14ac:dyDescent="0.25">
      <c r="A3400" s="17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IFERROR(VLOOKUP(B3400,'Diciembre 2023'!$B$2:$G$5822,4,0),"")</f>
        <v>BM</v>
      </c>
    </row>
    <row r="3401" spans="1:7" x14ac:dyDescent="0.25">
      <c r="A3401" s="17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IFERROR(VLOOKUP(B3401,'Diciembre 2023'!$B$2:$G$5822,4,0),"")</f>
        <v>ACTPETF</v>
      </c>
    </row>
    <row r="3402" spans="1:7" x14ac:dyDescent="0.25">
      <c r="A3402" s="17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IFERROR(VLOOKUP(B3402,'Diciembre 2023'!$B$2:$G$5822,4,0),"")</f>
        <v>BM</v>
      </c>
    </row>
    <row r="3403" spans="1:7" x14ac:dyDescent="0.25">
      <c r="A3403" s="17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IFERROR(VLOOKUP(B3403,'Diciembre 2023'!$B$2:$G$5822,4,0),"")</f>
        <v>BM</v>
      </c>
    </row>
    <row r="3404" spans="1:7" x14ac:dyDescent="0.25">
      <c r="A3404" s="17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IFERROR(VLOOKUP(B3404,'Diciembre 2023'!$B$2:$G$5822,4,0),"")</f>
        <v>INACTBM</v>
      </c>
    </row>
    <row r="3405" spans="1:7" x14ac:dyDescent="0.25">
      <c r="A3405" s="17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IFERROR(VLOOKUP(B3405,'Diciembre 2023'!$B$2:$G$5822,4,0),"")</f>
        <v>BM</v>
      </c>
    </row>
    <row r="3406" spans="1:7" x14ac:dyDescent="0.25">
      <c r="A3406" s="17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IFERROR(VLOOKUP(B3406,'Diciembre 2023'!$B$2:$G$5822,4,0),"")</f>
        <v>BM</v>
      </c>
    </row>
    <row r="3407" spans="1:7" x14ac:dyDescent="0.25">
      <c r="A3407" s="17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IFERROR(VLOOKUP(B3407,'Diciembre 2023'!$B$2:$G$5822,4,0),"")</f>
        <v>ACTPETS</v>
      </c>
    </row>
    <row r="3408" spans="1:7" x14ac:dyDescent="0.25">
      <c r="A3408" s="17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IFERROR(VLOOKUP(B3408,'Diciembre 2023'!$B$2:$G$5822,4,0),"")</f>
        <v>BM</v>
      </c>
    </row>
    <row r="3409" spans="1:7" x14ac:dyDescent="0.25">
      <c r="A3409" s="17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IFERROR(VLOOKUP(B3409,'Diciembre 2023'!$B$2:$G$5822,4,0),"")</f>
        <v>BM</v>
      </c>
    </row>
    <row r="3410" spans="1:7" x14ac:dyDescent="0.25">
      <c r="A3410" s="17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IFERROR(VLOOKUP(B3410,'Diciembre 2023'!$B$2:$G$5822,4,0),"")</f>
        <v>BM</v>
      </c>
    </row>
    <row r="3411" spans="1:7" x14ac:dyDescent="0.25">
      <c r="A3411" s="17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IFERROR(VLOOKUP(B3411,'Diciembre 2023'!$B$2:$G$5822,4,0),"")</f>
        <v>BM</v>
      </c>
    </row>
    <row r="3412" spans="1:7" x14ac:dyDescent="0.25">
      <c r="A3412" s="17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IFERROR(VLOOKUP(B3412,'Diciembre 2023'!$B$2:$G$5822,4,0),"")</f>
        <v>BM</v>
      </c>
    </row>
    <row r="3413" spans="1:7" x14ac:dyDescent="0.25">
      <c r="A3413" s="17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IFERROR(VLOOKUP(B3413,'Diciembre 2023'!$B$2:$G$5822,4,0),"")</f>
        <v>ACTPETF</v>
      </c>
    </row>
    <row r="3414" spans="1:7" x14ac:dyDescent="0.25">
      <c r="A3414" s="17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IFERROR(VLOOKUP(B3414,'Diciembre 2023'!$B$2:$G$5822,4,0),"")</f>
        <v>BM</v>
      </c>
    </row>
    <row r="3415" spans="1:7" x14ac:dyDescent="0.25">
      <c r="A3415" s="17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IFERROR(VLOOKUP(B3415,'Diciembre 2023'!$B$2:$G$5822,4,0),"")</f>
        <v>BM</v>
      </c>
    </row>
    <row r="3416" spans="1:7" x14ac:dyDescent="0.25">
      <c r="A3416" s="17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IFERROR(VLOOKUP(B3416,'Diciembre 2023'!$B$2:$G$5822,4,0),"")</f>
        <v>ATAPET</v>
      </c>
    </row>
    <row r="3417" spans="1:7" x14ac:dyDescent="0.25">
      <c r="A3417" s="17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IFERROR(VLOOKUP(B3417,'Diciembre 2023'!$B$2:$G$5822,4,0),"")</f>
        <v>ACTPETF</v>
      </c>
    </row>
    <row r="3418" spans="1:7" x14ac:dyDescent="0.25">
      <c r="A3418" s="17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IFERROR(VLOOKUP(B3418,'Diciembre 2023'!$B$2:$G$5822,4,0),"")</f>
        <v>BM</v>
      </c>
    </row>
    <row r="3419" spans="1:7" x14ac:dyDescent="0.25">
      <c r="A3419" s="17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IFERROR(VLOOKUP(B3419,'Diciembre 2023'!$B$2:$G$5822,4,0),"")</f>
        <v>BM</v>
      </c>
    </row>
    <row r="3420" spans="1:7" x14ac:dyDescent="0.25">
      <c r="A3420" s="17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IFERROR(VLOOKUP(B3420,'Diciembre 2023'!$B$2:$G$5822,4,0),"")</f>
        <v>BM</v>
      </c>
    </row>
    <row r="3421" spans="1:7" x14ac:dyDescent="0.25">
      <c r="A3421" s="17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IFERROR(VLOOKUP(B3421,'Diciembre 2023'!$B$2:$G$5822,4,0),"")</f>
        <v>APA_CNPC</v>
      </c>
    </row>
    <row r="3422" spans="1:7" x14ac:dyDescent="0.25">
      <c r="A3422" s="17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IFERROR(VLOOKUP(B3422,'Diciembre 2023'!$B$2:$G$5822,4,0),"")</f>
        <v>APA_PC</v>
      </c>
    </row>
    <row r="3423" spans="1:7" x14ac:dyDescent="0.25">
      <c r="A3423" s="17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IFERROR(VLOOKUP(B3423,'Diciembre 2023'!$B$2:$G$5822,4,0),"")</f>
        <v>BM</v>
      </c>
    </row>
    <row r="3424" spans="1:7" x14ac:dyDescent="0.25">
      <c r="A3424" s="17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IFERROR(VLOOKUP(B3424,'Diciembre 2023'!$B$2:$G$5822,4,0),"")</f>
        <v>BM</v>
      </c>
    </row>
    <row r="3425" spans="1:7" x14ac:dyDescent="0.25">
      <c r="A3425" s="17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IFERROR(VLOOKUP(B3425,'Diciembre 2023'!$B$2:$G$5822,4,0),"")</f>
        <v>BM</v>
      </c>
    </row>
    <row r="3426" spans="1:7" x14ac:dyDescent="0.25">
      <c r="A3426" s="17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IFERROR(VLOOKUP(B3426,'Diciembre 2023'!$B$2:$G$5822,4,0),"")</f>
        <v>BM</v>
      </c>
    </row>
    <row r="3427" spans="1:7" x14ac:dyDescent="0.25">
      <c r="A3427" s="17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IFERROR(VLOOKUP(B3427,'Diciembre 2023'!$B$2:$G$5822,4,0),"")</f>
        <v>BM</v>
      </c>
    </row>
    <row r="3428" spans="1:7" x14ac:dyDescent="0.25">
      <c r="A3428" s="17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IFERROR(VLOOKUP(B3428,'Diciembre 2023'!$B$2:$G$5822,4,0),"")</f>
        <v>BM</v>
      </c>
    </row>
    <row r="3429" spans="1:7" x14ac:dyDescent="0.25">
      <c r="A3429" s="17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IFERROR(VLOOKUP(B3429,'Diciembre 2023'!$B$2:$G$5822,4,0),"")</f>
        <v>BM</v>
      </c>
    </row>
    <row r="3430" spans="1:7" x14ac:dyDescent="0.25">
      <c r="A3430" s="17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IFERROR(VLOOKUP(B3430,'Diciembre 2023'!$B$2:$G$5822,4,0),"")</f>
        <v>BM</v>
      </c>
    </row>
    <row r="3431" spans="1:7" x14ac:dyDescent="0.25">
      <c r="A3431" s="17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IFERROR(VLOOKUP(B3431,'Diciembre 2023'!$B$2:$G$5822,4,0),"")</f>
        <v>BM</v>
      </c>
    </row>
    <row r="3432" spans="1:7" x14ac:dyDescent="0.25">
      <c r="A3432" s="17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IFERROR(VLOOKUP(B3432,'Diciembre 2023'!$B$2:$G$5822,4,0),"")</f>
        <v>INACTBM</v>
      </c>
    </row>
    <row r="3433" spans="1:7" x14ac:dyDescent="0.25">
      <c r="A3433" s="17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IFERROR(VLOOKUP(B3433,'Diciembre 2023'!$B$2:$G$5822,4,0),"")</f>
        <v>ACTPETF</v>
      </c>
    </row>
    <row r="3434" spans="1:7" x14ac:dyDescent="0.25">
      <c r="A3434" s="17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IFERROR(VLOOKUP(B3434,'Diciembre 2023'!$B$2:$G$5822,4,0),"")</f>
        <v>BM</v>
      </c>
    </row>
    <row r="3435" spans="1:7" x14ac:dyDescent="0.25">
      <c r="A3435" s="17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IFERROR(VLOOKUP(B3435,'Diciembre 2023'!$B$2:$G$5822,4,0),"")</f>
        <v>ATAINY</v>
      </c>
    </row>
    <row r="3436" spans="1:7" x14ac:dyDescent="0.25">
      <c r="A3436" s="17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IFERROR(VLOOKUP(B3436,'Diciembre 2023'!$B$2:$G$5822,4,0),"")</f>
        <v>BM</v>
      </c>
    </row>
    <row r="3437" spans="1:7" x14ac:dyDescent="0.25">
      <c r="A3437" s="17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IFERROR(VLOOKUP(B3437,'Diciembre 2023'!$B$2:$G$5822,4,0),"")</f>
        <v>PL</v>
      </c>
    </row>
    <row r="3438" spans="1:7" x14ac:dyDescent="0.25">
      <c r="A3438" s="17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IFERROR(VLOOKUP(B3438,'Diciembre 2023'!$B$2:$G$5822,4,0),"")</f>
        <v>INACTPL</v>
      </c>
    </row>
    <row r="3439" spans="1:7" x14ac:dyDescent="0.25">
      <c r="A3439" s="17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IFERROR(VLOOKUP(B3439,'Diciembre 2023'!$B$2:$G$5822,4,0),"")</f>
        <v>PL</v>
      </c>
    </row>
    <row r="3440" spans="1:7" x14ac:dyDescent="0.25">
      <c r="A3440" s="17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IFERROR(VLOOKUP(B3440,'Diciembre 2023'!$B$2:$G$5822,4,0),"")</f>
        <v>PL</v>
      </c>
    </row>
    <row r="3441" spans="1:7" x14ac:dyDescent="0.25">
      <c r="A3441" s="17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IFERROR(VLOOKUP(B3441,'Diciembre 2023'!$B$2:$G$5822,4,0),"")</f>
        <v>BM</v>
      </c>
    </row>
    <row r="3442" spans="1:7" x14ac:dyDescent="0.25">
      <c r="A3442" s="17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IFERROR(VLOOKUP(B3442,'Diciembre 2023'!$B$2:$G$5822,4,0),"")</f>
        <v>BM</v>
      </c>
    </row>
    <row r="3443" spans="1:7" x14ac:dyDescent="0.25">
      <c r="A3443" s="17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IFERROR(VLOOKUP(B3443,'Diciembre 2023'!$B$2:$G$5822,4,0),"")</f>
        <v>ACTPETF</v>
      </c>
    </row>
    <row r="3444" spans="1:7" x14ac:dyDescent="0.25">
      <c r="A3444" s="17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IFERROR(VLOOKUP(B3444,'Diciembre 2023'!$B$2:$G$5822,4,0),"")</f>
        <v>BM</v>
      </c>
    </row>
    <row r="3445" spans="1:7" x14ac:dyDescent="0.25">
      <c r="A3445" s="17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IFERROR(VLOOKUP(B3445,'Diciembre 2023'!$B$2:$G$5822,4,0),"")</f>
        <v>BM</v>
      </c>
    </row>
    <row r="3446" spans="1:7" x14ac:dyDescent="0.25">
      <c r="A3446" s="17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IFERROR(VLOOKUP(B3446,'Diciembre 2023'!$B$2:$G$5822,4,0),"")</f>
        <v>APA_CNPC</v>
      </c>
    </row>
    <row r="3447" spans="1:7" x14ac:dyDescent="0.25">
      <c r="A3447" s="17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IFERROR(VLOOKUP(B3447,'Diciembre 2023'!$B$2:$G$5822,4,0),"")</f>
        <v>APA_CNPC</v>
      </c>
    </row>
    <row r="3448" spans="1:7" x14ac:dyDescent="0.25">
      <c r="A3448" s="17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IFERROR(VLOOKUP(B3448,'Diciembre 2023'!$B$2:$G$5822,4,0),"")</f>
        <v>APA_PB</v>
      </c>
    </row>
    <row r="3449" spans="1:7" x14ac:dyDescent="0.25">
      <c r="A3449" s="17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IFERROR(VLOOKUP(B3449,'Diciembre 2023'!$B$2:$G$5822,4,0),"")</f>
        <v>APA_PB</v>
      </c>
    </row>
    <row r="3450" spans="1:7" x14ac:dyDescent="0.25">
      <c r="A3450" s="17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IFERROR(VLOOKUP(B3450,'Diciembre 2023'!$B$2:$G$5822,4,0),"")</f>
        <v>APA_PB</v>
      </c>
    </row>
    <row r="3451" spans="1:7" x14ac:dyDescent="0.25">
      <c r="A3451" s="17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IFERROR(VLOOKUP(B3451,'Diciembre 2023'!$B$2:$G$5822,4,0),"")</f>
        <v>BM</v>
      </c>
    </row>
    <row r="3452" spans="1:7" x14ac:dyDescent="0.25">
      <c r="A3452" s="17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IFERROR(VLOOKUP(B3452,'Diciembre 2023'!$B$2:$G$5822,4,0),"")</f>
        <v>BM</v>
      </c>
    </row>
    <row r="3453" spans="1:7" x14ac:dyDescent="0.25">
      <c r="A3453" s="17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IFERROR(VLOOKUP(B3453,'Diciembre 2023'!$B$2:$G$5822,4,0),"")</f>
        <v>BM</v>
      </c>
    </row>
    <row r="3454" spans="1:7" x14ac:dyDescent="0.25">
      <c r="A3454" s="17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IFERROR(VLOOKUP(B3454,'Diciembre 2023'!$B$2:$G$5822,4,0),"")</f>
        <v>BM</v>
      </c>
    </row>
    <row r="3455" spans="1:7" x14ac:dyDescent="0.25">
      <c r="A3455" s="17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IFERROR(VLOOKUP(B3455,'Diciembre 2023'!$B$2:$G$5822,4,0),"")</f>
        <v>BM</v>
      </c>
    </row>
    <row r="3456" spans="1:7" x14ac:dyDescent="0.25">
      <c r="A3456" s="17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IFERROR(VLOOKUP(B3456,'Diciembre 2023'!$B$2:$G$5822,4,0),"")</f>
        <v>BM</v>
      </c>
    </row>
    <row r="3457" spans="1:7" x14ac:dyDescent="0.25">
      <c r="A3457" s="17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IFERROR(VLOOKUP(B3457,'Diciembre 2023'!$B$2:$G$5822,4,0),"")</f>
        <v>BM</v>
      </c>
    </row>
    <row r="3458" spans="1:7" x14ac:dyDescent="0.25">
      <c r="A3458" s="17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IFERROR(VLOOKUP(B3458,'Diciembre 2023'!$B$2:$G$5822,4,0),"")</f>
        <v>ACTPETS</v>
      </c>
    </row>
    <row r="3459" spans="1:7" x14ac:dyDescent="0.25">
      <c r="A3459" s="17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IFERROR(VLOOKUP(B3459,'Diciembre 2023'!$B$2:$G$5822,4,0),"")</f>
        <v>BM</v>
      </c>
    </row>
    <row r="3460" spans="1:7" x14ac:dyDescent="0.25">
      <c r="A3460" s="17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IFERROR(VLOOKUP(B3460,'Diciembre 2023'!$B$2:$G$5822,4,0),"")</f>
        <v>BM</v>
      </c>
    </row>
    <row r="3461" spans="1:7" x14ac:dyDescent="0.25">
      <c r="A3461" s="17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IFERROR(VLOOKUP(B3461,'Diciembre 2023'!$B$2:$G$5822,4,0),"")</f>
        <v>BM</v>
      </c>
    </row>
    <row r="3462" spans="1:7" x14ac:dyDescent="0.25">
      <c r="A3462" s="17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IFERROR(VLOOKUP(B3462,'Diciembre 2023'!$B$2:$G$5822,4,0),"")</f>
        <v>BM</v>
      </c>
    </row>
    <row r="3463" spans="1:7" x14ac:dyDescent="0.25">
      <c r="A3463" s="17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IFERROR(VLOOKUP(B3463,'Diciembre 2023'!$B$2:$G$5822,4,0),"")</f>
        <v>BM</v>
      </c>
    </row>
    <row r="3464" spans="1:7" x14ac:dyDescent="0.25">
      <c r="A3464" s="17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IFERROR(VLOOKUP(B3464,'Diciembre 2023'!$B$2:$G$5822,4,0),"")</f>
        <v>INACTBM</v>
      </c>
    </row>
    <row r="3465" spans="1:7" x14ac:dyDescent="0.25">
      <c r="A3465" s="17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IFERROR(VLOOKUP(B3465,'Diciembre 2023'!$B$2:$G$5822,4,0),"")</f>
        <v>ACTPETF</v>
      </c>
    </row>
    <row r="3466" spans="1:7" x14ac:dyDescent="0.25">
      <c r="A3466" s="17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IFERROR(VLOOKUP(B3466,'Diciembre 2023'!$B$2:$G$5822,4,0),"")</f>
        <v>BM</v>
      </c>
    </row>
    <row r="3467" spans="1:7" x14ac:dyDescent="0.25">
      <c r="A3467" s="17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IFERROR(VLOOKUP(B3467,'Diciembre 2023'!$B$2:$G$5822,4,0),"")</f>
        <v>APA_CNPC</v>
      </c>
    </row>
    <row r="3468" spans="1:7" x14ac:dyDescent="0.25">
      <c r="A3468" s="17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IFERROR(VLOOKUP(B3468,'Diciembre 2023'!$B$2:$G$5822,4,0),"")</f>
        <v>BM</v>
      </c>
    </row>
    <row r="3469" spans="1:7" x14ac:dyDescent="0.25">
      <c r="A3469" s="17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IFERROR(VLOOKUP(B3469,'Diciembre 2023'!$B$2:$G$5822,4,0),"")</f>
        <v>BM</v>
      </c>
    </row>
    <row r="3470" spans="1:7" x14ac:dyDescent="0.25">
      <c r="A3470" s="17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IFERROR(VLOOKUP(B3470,'Diciembre 2023'!$B$2:$G$5822,4,0),"")</f>
        <v>BM</v>
      </c>
    </row>
    <row r="3471" spans="1:7" x14ac:dyDescent="0.25">
      <c r="A3471" s="17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IFERROR(VLOOKUP(B3471,'Diciembre 2023'!$B$2:$G$5822,4,0),"")</f>
        <v>BM</v>
      </c>
    </row>
    <row r="3472" spans="1:7" x14ac:dyDescent="0.25">
      <c r="A3472" s="17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IFERROR(VLOOKUP(B3472,'Diciembre 2023'!$B$2:$G$5822,4,0),"")</f>
        <v>BM</v>
      </c>
    </row>
    <row r="3473" spans="1:7" x14ac:dyDescent="0.25">
      <c r="A3473" s="17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IFERROR(VLOOKUP(B3473,'Diciembre 2023'!$B$2:$G$5822,4,0),"")</f>
        <v>BM</v>
      </c>
    </row>
    <row r="3474" spans="1:7" x14ac:dyDescent="0.25">
      <c r="A3474" s="17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tr">
        <f>IFERROR(VLOOKUP(B3474,'Diciembre 2023'!$B$2:$G$5822,4,0),"")</f>
        <v>BM</v>
      </c>
    </row>
    <row r="3475" spans="1:7" x14ac:dyDescent="0.25">
      <c r="A3475" s="17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IFERROR(VLOOKUP(B3475,'Diciembre 2023'!$B$2:$G$5822,4,0),"")</f>
        <v>BM</v>
      </c>
    </row>
    <row r="3476" spans="1:7" x14ac:dyDescent="0.25">
      <c r="A3476" s="17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IFERROR(VLOOKUP(B3476,'Diciembre 2023'!$B$2:$G$5822,4,0),"")</f>
        <v>APA_CNPC</v>
      </c>
    </row>
    <row r="3477" spans="1:7" x14ac:dyDescent="0.25">
      <c r="A3477" s="17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IFERROR(VLOOKUP(B3477,'Diciembre 2023'!$B$2:$G$5822,4,0),"")</f>
        <v>BM</v>
      </c>
    </row>
    <row r="3478" spans="1:7" x14ac:dyDescent="0.25">
      <c r="A3478" s="17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IFERROR(VLOOKUP(B3478,'Diciembre 2023'!$B$2:$G$5822,4,0),"")</f>
        <v>BM</v>
      </c>
    </row>
    <row r="3479" spans="1:7" x14ac:dyDescent="0.25">
      <c r="A3479" s="17"/>
      <c r="B3479" s="4" t="s">
        <v>3391</v>
      </c>
      <c r="C3479" s="4" t="s">
        <v>18</v>
      </c>
      <c r="D3479" s="4" t="s">
        <v>19</v>
      </c>
      <c r="E3479" s="4" t="s">
        <v>20</v>
      </c>
      <c r="F3479" s="4" t="s">
        <v>21</v>
      </c>
      <c r="G3479" s="5" t="str">
        <f>IFERROR(VLOOKUP(B3479,'Diciembre 2023'!$B$2:$G$5822,4,0),"")</f>
        <v>INACTPETS</v>
      </c>
    </row>
    <row r="3480" spans="1:7" x14ac:dyDescent="0.25">
      <c r="A3480" s="17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IFERROR(VLOOKUP(B3480,'Diciembre 2023'!$B$2:$G$5822,4,0),"")</f>
        <v>ACTPETS</v>
      </c>
    </row>
    <row r="3481" spans="1:7" x14ac:dyDescent="0.25">
      <c r="A3481" s="17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IFERROR(VLOOKUP(B3481,'Diciembre 2023'!$B$2:$G$5822,4,0),"")</f>
        <v>PL</v>
      </c>
    </row>
    <row r="3482" spans="1:7" x14ac:dyDescent="0.25">
      <c r="A3482" s="17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IFERROR(VLOOKUP(B3482,'Diciembre 2023'!$B$2:$G$5822,4,0),"")</f>
        <v>ACTPETS</v>
      </c>
    </row>
    <row r="3483" spans="1:7" x14ac:dyDescent="0.25">
      <c r="A3483" s="17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IFERROR(VLOOKUP(B3483,'Diciembre 2023'!$B$2:$G$5822,4,0),"")</f>
        <v>PL</v>
      </c>
    </row>
    <row r="3484" spans="1:7" x14ac:dyDescent="0.25">
      <c r="A3484" s="17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IFERROR(VLOOKUP(B3484,'Diciembre 2023'!$B$2:$G$5822,4,0),"")</f>
        <v>INACTPL</v>
      </c>
    </row>
    <row r="3485" spans="1:7" x14ac:dyDescent="0.25">
      <c r="A3485" s="17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IFERROR(VLOOKUP(B3485,'Diciembre 2023'!$B$2:$G$5822,4,0),"")</f>
        <v>INACTPL</v>
      </c>
    </row>
    <row r="3486" spans="1:7" x14ac:dyDescent="0.25">
      <c r="A3486" s="17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IFERROR(VLOOKUP(B3486,'Diciembre 2023'!$B$2:$G$5822,4,0),"")</f>
        <v>BM</v>
      </c>
    </row>
    <row r="3487" spans="1:7" x14ac:dyDescent="0.25">
      <c r="A3487" s="17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IFERROR(VLOOKUP(B3487,'Diciembre 2023'!$B$2:$G$5822,4,0),"")</f>
        <v>PL</v>
      </c>
    </row>
    <row r="3488" spans="1:7" x14ac:dyDescent="0.25">
      <c r="A3488" s="17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IFERROR(VLOOKUP(B3488,'Diciembre 2023'!$B$2:$G$5822,4,0),"")</f>
        <v>ACTPETS</v>
      </c>
    </row>
    <row r="3489" spans="1:7" x14ac:dyDescent="0.25">
      <c r="A3489" s="17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IFERROR(VLOOKUP(B3489,'Diciembre 2023'!$B$2:$G$5822,4,0),"")</f>
        <v>BM</v>
      </c>
    </row>
    <row r="3490" spans="1:7" x14ac:dyDescent="0.25">
      <c r="A3490" s="17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IFERROR(VLOOKUP(B3490,'Diciembre 2023'!$B$2:$G$5822,4,0),"")</f>
        <v>ATAPET</v>
      </c>
    </row>
    <row r="3491" spans="1:7" x14ac:dyDescent="0.25">
      <c r="A3491" s="17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IFERROR(VLOOKUP(B3491,'Diciembre 2023'!$B$2:$G$5822,4,0),"")</f>
        <v>PL</v>
      </c>
    </row>
    <row r="3492" spans="1:7" x14ac:dyDescent="0.25">
      <c r="A3492" s="17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IFERROR(VLOOKUP(B3492,'Diciembre 2023'!$B$2:$G$5822,4,0),"")</f>
        <v>PL</v>
      </c>
    </row>
    <row r="3493" spans="1:7" x14ac:dyDescent="0.25">
      <c r="A3493" s="17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IFERROR(VLOOKUP(B3493,'Diciembre 2023'!$B$2:$G$5822,4,0),"")</f>
        <v>PL</v>
      </c>
    </row>
    <row r="3494" spans="1:7" x14ac:dyDescent="0.25">
      <c r="A3494" s="17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IFERROR(VLOOKUP(B3494,'Diciembre 2023'!$B$2:$G$5822,4,0),"")</f>
        <v>PL</v>
      </c>
    </row>
    <row r="3495" spans="1:7" x14ac:dyDescent="0.25">
      <c r="A3495" s="17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IFERROR(VLOOKUP(B3495,'Diciembre 2023'!$B$2:$G$5822,4,0),"")</f>
        <v>APA_CNPC</v>
      </c>
    </row>
    <row r="3496" spans="1:7" x14ac:dyDescent="0.25">
      <c r="A3496" s="17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IFERROR(VLOOKUP(B3496,'Diciembre 2023'!$B$2:$G$5822,4,0),"")</f>
        <v>BM</v>
      </c>
    </row>
    <row r="3497" spans="1:7" x14ac:dyDescent="0.25">
      <c r="A3497" s="17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IFERROR(VLOOKUP(B3497,'Diciembre 2023'!$B$2:$G$5822,4,0),"")</f>
        <v>BM</v>
      </c>
    </row>
    <row r="3498" spans="1:7" x14ac:dyDescent="0.25">
      <c r="A3498" s="17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IFERROR(VLOOKUP(B3498,'Diciembre 2023'!$B$2:$G$5822,4,0),"")</f>
        <v>BM</v>
      </c>
    </row>
    <row r="3499" spans="1:7" x14ac:dyDescent="0.25">
      <c r="A3499" s="17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IFERROR(VLOOKUP(B3499,'Diciembre 2023'!$B$2:$G$5822,4,0),"")</f>
        <v>BM</v>
      </c>
    </row>
    <row r="3500" spans="1:7" x14ac:dyDescent="0.25">
      <c r="A3500" s="17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IFERROR(VLOOKUP(B3500,'Diciembre 2023'!$B$2:$G$5822,4,0),"")</f>
        <v>PL</v>
      </c>
    </row>
    <row r="3501" spans="1:7" x14ac:dyDescent="0.25">
      <c r="A3501" s="17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IFERROR(VLOOKUP(B3501,'Diciembre 2023'!$B$2:$G$5822,4,0),"")</f>
        <v>BM</v>
      </c>
    </row>
    <row r="3502" spans="1:7" x14ac:dyDescent="0.25">
      <c r="A3502" s="17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IFERROR(VLOOKUP(B3502,'Diciembre 2023'!$B$2:$G$5822,4,0),"")</f>
        <v>BM</v>
      </c>
    </row>
    <row r="3503" spans="1:7" x14ac:dyDescent="0.25">
      <c r="A3503" s="17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IFERROR(VLOOKUP(B3503,'Diciembre 2023'!$B$2:$G$5822,4,0),"")</f>
        <v>BM</v>
      </c>
    </row>
    <row r="3504" spans="1:7" x14ac:dyDescent="0.25">
      <c r="A3504" s="17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IFERROR(VLOOKUP(B3504,'Diciembre 2023'!$B$2:$G$5822,4,0),"")</f>
        <v>BM</v>
      </c>
    </row>
    <row r="3505" spans="1:7" x14ac:dyDescent="0.25">
      <c r="A3505" s="17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IFERROR(VLOOKUP(B3505,'Diciembre 2023'!$B$2:$G$5822,4,0),"")</f>
        <v>PL</v>
      </c>
    </row>
    <row r="3506" spans="1:7" x14ac:dyDescent="0.25">
      <c r="A3506" s="17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IFERROR(VLOOKUP(B3506,'Diciembre 2023'!$B$2:$G$5822,4,0),"")</f>
        <v>ACTPETS</v>
      </c>
    </row>
    <row r="3507" spans="1:7" x14ac:dyDescent="0.25">
      <c r="A3507" s="17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IFERROR(VLOOKUP(B3507,'Diciembre 2023'!$B$2:$G$5822,4,0),"")</f>
        <v>INACTPL</v>
      </c>
    </row>
    <row r="3508" spans="1:7" x14ac:dyDescent="0.25">
      <c r="A3508" s="17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IFERROR(VLOOKUP(B3508,'Diciembre 2023'!$B$2:$G$5822,4,0),"")</f>
        <v>BM</v>
      </c>
    </row>
    <row r="3509" spans="1:7" x14ac:dyDescent="0.25">
      <c r="A3509" s="17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IFERROR(VLOOKUP(B3509,'Diciembre 2023'!$B$2:$G$5822,4,0),"")</f>
        <v>INACTBM</v>
      </c>
    </row>
    <row r="3510" spans="1:7" x14ac:dyDescent="0.25">
      <c r="A3510" s="17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IFERROR(VLOOKUP(B3510,'Diciembre 2023'!$B$2:$G$5822,4,0),"")</f>
        <v>BM</v>
      </c>
    </row>
    <row r="3511" spans="1:7" x14ac:dyDescent="0.25">
      <c r="A3511" s="17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IFERROR(VLOOKUP(B3511,'Diciembre 2023'!$B$2:$G$5822,4,0),"")</f>
        <v>BM</v>
      </c>
    </row>
    <row r="3512" spans="1:7" x14ac:dyDescent="0.25">
      <c r="A3512" s="17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IFERROR(VLOOKUP(B3512,'Diciembre 2023'!$B$2:$G$5822,4,0),"")</f>
        <v>INACTBM</v>
      </c>
    </row>
    <row r="3513" spans="1:7" x14ac:dyDescent="0.25">
      <c r="A3513" s="17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IFERROR(VLOOKUP(B3513,'Diciembre 2023'!$B$2:$G$5822,4,0),"")</f>
        <v>BM</v>
      </c>
    </row>
    <row r="3514" spans="1:7" x14ac:dyDescent="0.25">
      <c r="A3514" s="17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IFERROR(VLOOKUP(B3514,'Diciembre 2023'!$B$2:$G$5822,4,0),"")</f>
        <v>BM</v>
      </c>
    </row>
    <row r="3515" spans="1:7" x14ac:dyDescent="0.25">
      <c r="A3515" s="17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IFERROR(VLOOKUP(B3515,'Diciembre 2023'!$B$2:$G$5822,4,0),"")</f>
        <v>ACTPETS</v>
      </c>
    </row>
    <row r="3516" spans="1:7" x14ac:dyDescent="0.25">
      <c r="A3516" s="17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IFERROR(VLOOKUP(B3516,'Diciembre 2023'!$B$2:$G$5822,4,0),"")</f>
        <v>ACTPETS</v>
      </c>
    </row>
    <row r="3517" spans="1:7" x14ac:dyDescent="0.25">
      <c r="A3517" s="17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IFERROR(VLOOKUP(B3517,'Diciembre 2023'!$B$2:$G$5822,4,0),"")</f>
        <v>PL</v>
      </c>
    </row>
    <row r="3518" spans="1:7" x14ac:dyDescent="0.25">
      <c r="A3518" s="17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IFERROR(VLOOKUP(B3518,'Diciembre 2023'!$B$2:$G$5822,4,0),"")</f>
        <v>INACTPL</v>
      </c>
    </row>
    <row r="3519" spans="1:7" x14ac:dyDescent="0.25">
      <c r="A3519" s="17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IFERROR(VLOOKUP(B3519,'Diciembre 2023'!$B$2:$G$5822,4,0),"")</f>
        <v>BM</v>
      </c>
    </row>
    <row r="3520" spans="1:7" x14ac:dyDescent="0.25">
      <c r="A3520" s="17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IFERROR(VLOOKUP(B3520,'Diciembre 2023'!$B$2:$G$5822,4,0),"")</f>
        <v>PL</v>
      </c>
    </row>
    <row r="3521" spans="1:7" x14ac:dyDescent="0.25">
      <c r="A3521" s="17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IFERROR(VLOOKUP(B3521,'Diciembre 2023'!$B$2:$G$5822,4,0),"")</f>
        <v>BM</v>
      </c>
    </row>
    <row r="3522" spans="1:7" x14ac:dyDescent="0.25">
      <c r="A3522" s="17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IFERROR(VLOOKUP(B3522,'Diciembre 2023'!$B$2:$G$5822,4,0),"")</f>
        <v>PL</v>
      </c>
    </row>
    <row r="3523" spans="1:7" x14ac:dyDescent="0.25">
      <c r="A3523" s="17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IFERROR(VLOOKUP(B3523,'Diciembre 2023'!$B$2:$G$5822,4,0),"")</f>
        <v>PL</v>
      </c>
    </row>
    <row r="3524" spans="1:7" x14ac:dyDescent="0.25">
      <c r="A3524" s="17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IFERROR(VLOOKUP(B3524,'Diciembre 2023'!$B$2:$G$5822,4,0),"")</f>
        <v>BM</v>
      </c>
    </row>
    <row r="3525" spans="1:7" x14ac:dyDescent="0.25">
      <c r="A3525" s="17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IFERROR(VLOOKUP(B3525,'Diciembre 2023'!$B$2:$G$5822,4,0),"")</f>
        <v>BM</v>
      </c>
    </row>
    <row r="3526" spans="1:7" x14ac:dyDescent="0.25">
      <c r="A3526" s="17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IFERROR(VLOOKUP(B3526,'Diciembre 2023'!$B$2:$G$5822,4,0),"")</f>
        <v>APA_PC</v>
      </c>
    </row>
    <row r="3527" spans="1:7" x14ac:dyDescent="0.25">
      <c r="A3527" s="17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IFERROR(VLOOKUP(B3527,'Diciembre 2023'!$B$2:$G$5822,4,0),"")</f>
        <v>INACTPETS</v>
      </c>
    </row>
    <row r="3528" spans="1:7" x14ac:dyDescent="0.25">
      <c r="A3528" s="17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IFERROR(VLOOKUP(B3528,'Diciembre 2023'!$B$2:$G$5822,4,0),"")</f>
        <v>BM</v>
      </c>
    </row>
    <row r="3529" spans="1:7" x14ac:dyDescent="0.25">
      <c r="A3529" s="17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IFERROR(VLOOKUP(B3529,'Diciembre 2023'!$B$2:$G$5822,4,0),"")</f>
        <v>ACTPETS</v>
      </c>
    </row>
    <row r="3530" spans="1:7" x14ac:dyDescent="0.25">
      <c r="A3530" s="17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IFERROR(VLOOKUP(B3530,'Diciembre 2023'!$B$2:$G$5822,4,0),"")</f>
        <v>BM</v>
      </c>
    </row>
    <row r="3531" spans="1:7" x14ac:dyDescent="0.25">
      <c r="A3531" s="17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IFERROR(VLOOKUP(B3531,'Diciembre 2023'!$B$2:$G$5822,4,0),"")</f>
        <v>BM</v>
      </c>
    </row>
    <row r="3532" spans="1:7" x14ac:dyDescent="0.25">
      <c r="A3532" s="17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IFERROR(VLOOKUP(B3532,'Diciembre 2023'!$B$2:$G$5822,4,0),"")</f>
        <v>BM</v>
      </c>
    </row>
    <row r="3533" spans="1:7" x14ac:dyDescent="0.25">
      <c r="A3533" s="17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IFERROR(VLOOKUP(B3533,'Diciembre 2023'!$B$2:$G$5822,4,0),"")</f>
        <v>BM</v>
      </c>
    </row>
    <row r="3534" spans="1:7" x14ac:dyDescent="0.25">
      <c r="A3534" s="17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IFERROR(VLOOKUP(B3534,'Diciembre 2023'!$B$2:$G$5822,4,0),"")</f>
        <v>PL</v>
      </c>
    </row>
    <row r="3535" spans="1:7" x14ac:dyDescent="0.25">
      <c r="A3535" s="17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IFERROR(VLOOKUP(B3535,'Diciembre 2023'!$B$2:$G$5822,4,0),"")</f>
        <v>BM</v>
      </c>
    </row>
    <row r="3536" spans="1:7" x14ac:dyDescent="0.25">
      <c r="A3536" s="17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IFERROR(VLOOKUP(B3536,'Diciembre 2023'!$B$2:$G$5822,4,0),"")</f>
        <v>BM</v>
      </c>
    </row>
    <row r="3537" spans="1:7" x14ac:dyDescent="0.25">
      <c r="A3537" s="17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IFERROR(VLOOKUP(B3537,'Diciembre 2023'!$B$2:$G$5822,4,0),"")</f>
        <v>BM</v>
      </c>
    </row>
    <row r="3538" spans="1:7" x14ac:dyDescent="0.25">
      <c r="A3538" s="17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IFERROR(VLOOKUP(B3538,'Diciembre 2023'!$B$2:$G$5822,4,0),"")</f>
        <v>BM</v>
      </c>
    </row>
    <row r="3539" spans="1:7" x14ac:dyDescent="0.25">
      <c r="A3539" s="17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IFERROR(VLOOKUP(B3539,'Diciembre 2023'!$B$2:$G$5822,4,0),"")</f>
        <v>BM</v>
      </c>
    </row>
    <row r="3540" spans="1:7" x14ac:dyDescent="0.25">
      <c r="A3540" s="17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IFERROR(VLOOKUP(B3540,'Diciembre 2023'!$B$2:$G$5822,4,0),"")</f>
        <v>BM</v>
      </c>
    </row>
    <row r="3541" spans="1:7" x14ac:dyDescent="0.25">
      <c r="A3541" s="17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IFERROR(VLOOKUP(B3541,'Diciembre 2023'!$B$2:$G$5822,4,0),"")</f>
        <v>ACTINYA</v>
      </c>
    </row>
    <row r="3542" spans="1:7" x14ac:dyDescent="0.25">
      <c r="A3542" s="17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IFERROR(VLOOKUP(B3542,'Diciembre 2023'!$B$2:$G$5822,4,0),"")</f>
        <v>ACTINYA</v>
      </c>
    </row>
    <row r="3543" spans="1:7" x14ac:dyDescent="0.25">
      <c r="A3543" s="17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IFERROR(VLOOKUP(B3543,'Diciembre 2023'!$B$2:$G$5822,4,0),"")</f>
        <v>ACTPETS</v>
      </c>
    </row>
    <row r="3544" spans="1:7" x14ac:dyDescent="0.25">
      <c r="A3544" s="17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IFERROR(VLOOKUP(B3544,'Diciembre 2023'!$B$2:$G$5822,4,0),"")</f>
        <v>BM</v>
      </c>
    </row>
    <row r="3545" spans="1:7" x14ac:dyDescent="0.25">
      <c r="A3545" s="17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IFERROR(VLOOKUP(B3545,'Diciembre 2023'!$B$2:$G$5822,4,0),"")</f>
        <v>BM</v>
      </c>
    </row>
    <row r="3546" spans="1:7" x14ac:dyDescent="0.25">
      <c r="A3546" s="17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IFERROR(VLOOKUP(B3546,'Diciembre 2023'!$B$2:$G$5822,4,0),"")</f>
        <v>BM</v>
      </c>
    </row>
    <row r="3547" spans="1:7" x14ac:dyDescent="0.25">
      <c r="A3547" s="17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IFERROR(VLOOKUP(B3547,'Diciembre 2023'!$B$2:$G$5822,4,0),"")</f>
        <v>INACTPETF</v>
      </c>
    </row>
    <row r="3548" spans="1:7" x14ac:dyDescent="0.25">
      <c r="A3548" s="17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IFERROR(VLOOKUP(B3548,'Diciembre 2023'!$B$2:$G$5822,4,0),"")</f>
        <v>BM</v>
      </c>
    </row>
    <row r="3549" spans="1:7" x14ac:dyDescent="0.25">
      <c r="A3549" s="17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IFERROR(VLOOKUP(B3549,'Diciembre 2023'!$B$2:$G$5822,4,0),"")</f>
        <v>BM</v>
      </c>
    </row>
    <row r="3550" spans="1:7" x14ac:dyDescent="0.25">
      <c r="A3550" s="17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IFERROR(VLOOKUP(B3550,'Diciembre 2023'!$B$2:$G$5822,4,0),"")</f>
        <v>ACTINYA</v>
      </c>
    </row>
    <row r="3551" spans="1:7" x14ac:dyDescent="0.25">
      <c r="A3551" s="17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IFERROR(VLOOKUP(B3551,'Diciembre 2023'!$B$2:$G$5822,4,0),"")</f>
        <v>BM</v>
      </c>
    </row>
    <row r="3552" spans="1:7" x14ac:dyDescent="0.25">
      <c r="A3552" s="17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IFERROR(VLOOKUP(B3552,'Diciembre 2023'!$B$2:$G$5822,4,0),"")</f>
        <v>BM</v>
      </c>
    </row>
    <row r="3553" spans="1:7" x14ac:dyDescent="0.25">
      <c r="A3553" s="17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IFERROR(VLOOKUP(B3553,'Diciembre 2023'!$B$2:$G$5822,4,0),"")</f>
        <v>BM</v>
      </c>
    </row>
    <row r="3554" spans="1:7" x14ac:dyDescent="0.25">
      <c r="A3554" s="17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IFERROR(VLOOKUP(B3554,'Diciembre 2023'!$B$2:$G$5822,4,0),"")</f>
        <v>BO</v>
      </c>
    </row>
    <row r="3555" spans="1:7" x14ac:dyDescent="0.25">
      <c r="A3555" s="17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IFERROR(VLOOKUP(B3555,'Diciembre 2023'!$B$2:$G$5822,4,0),"")</f>
        <v>BM</v>
      </c>
    </row>
    <row r="3556" spans="1:7" x14ac:dyDescent="0.25">
      <c r="A3556" s="17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IFERROR(VLOOKUP(B3556,'Diciembre 2023'!$B$2:$G$5822,4,0),"")</f>
        <v>APA_CNPC</v>
      </c>
    </row>
    <row r="3557" spans="1:7" x14ac:dyDescent="0.25">
      <c r="A3557" s="17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IFERROR(VLOOKUP(B3557,'Diciembre 2023'!$B$2:$G$5822,4,0),"")</f>
        <v>ACTPETS</v>
      </c>
    </row>
    <row r="3558" spans="1:7" x14ac:dyDescent="0.25">
      <c r="A3558" s="17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IFERROR(VLOOKUP(B3558,'Diciembre 2023'!$B$2:$G$5822,4,0),"")</f>
        <v>ACTPETF</v>
      </c>
    </row>
    <row r="3559" spans="1:7" x14ac:dyDescent="0.25">
      <c r="A3559" s="17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IFERROR(VLOOKUP(B3559,'Diciembre 2023'!$B$2:$G$5822,4,0),"")</f>
        <v>INACTPETF</v>
      </c>
    </row>
    <row r="3560" spans="1:7" x14ac:dyDescent="0.25">
      <c r="A3560" s="17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IFERROR(VLOOKUP(B3560,'Diciembre 2023'!$B$2:$G$5822,4,0),"")</f>
        <v>ACTPETF</v>
      </c>
    </row>
    <row r="3561" spans="1:7" x14ac:dyDescent="0.25">
      <c r="A3561" s="17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IFERROR(VLOOKUP(B3561,'Diciembre 2023'!$B$2:$G$5822,4,0),"")</f>
        <v>ACTPETF</v>
      </c>
    </row>
    <row r="3562" spans="1:7" x14ac:dyDescent="0.25">
      <c r="A3562" s="17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IFERROR(VLOOKUP(B3562,'Diciembre 2023'!$B$2:$G$5822,4,0),"")</f>
        <v>BM</v>
      </c>
    </row>
    <row r="3563" spans="1:7" x14ac:dyDescent="0.25">
      <c r="A3563" s="17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IFERROR(VLOOKUP(B3563,'Diciembre 2023'!$B$2:$G$5822,4,0),"")</f>
        <v>BM</v>
      </c>
    </row>
    <row r="3564" spans="1:7" x14ac:dyDescent="0.25">
      <c r="A3564" s="17"/>
      <c r="B3564" s="4" t="s">
        <v>3476</v>
      </c>
      <c r="C3564" s="4" t="s">
        <v>11</v>
      </c>
      <c r="D3564" s="4" t="s">
        <v>11</v>
      </c>
      <c r="E3564" s="4" t="s">
        <v>11</v>
      </c>
      <c r="F3564" s="4" t="s">
        <v>1270</v>
      </c>
      <c r="G3564" s="5" t="str">
        <f>IFERROR(VLOOKUP(B3564,'Diciembre 2023'!$B$2:$G$5822,4,0),"")</f>
        <v>BM</v>
      </c>
    </row>
    <row r="3565" spans="1:7" x14ac:dyDescent="0.25">
      <c r="A3565" s="17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IFERROR(VLOOKUP(B3565,'Diciembre 2023'!$B$2:$G$5822,4,0),"")</f>
        <v>ACTINYA</v>
      </c>
    </row>
    <row r="3566" spans="1:7" x14ac:dyDescent="0.25">
      <c r="A3566" s="17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IFERROR(VLOOKUP(B3566,'Diciembre 2023'!$B$2:$G$5822,4,0),"")</f>
        <v>INACTBM</v>
      </c>
    </row>
    <row r="3567" spans="1:7" x14ac:dyDescent="0.25">
      <c r="A3567" s="17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IFERROR(VLOOKUP(B3567,'Diciembre 2023'!$B$2:$G$5822,4,0),"")</f>
        <v>ACTPETF</v>
      </c>
    </row>
    <row r="3568" spans="1:7" x14ac:dyDescent="0.25">
      <c r="A3568" s="17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IFERROR(VLOOKUP(B3568,'Diciembre 2023'!$B$2:$G$5822,4,0),"")</f>
        <v>BM</v>
      </c>
    </row>
    <row r="3569" spans="1:7" x14ac:dyDescent="0.25">
      <c r="A3569" s="17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IFERROR(VLOOKUP(B3569,'Diciembre 2023'!$B$2:$G$5822,4,0),"")</f>
        <v>BM</v>
      </c>
    </row>
    <row r="3570" spans="1:7" x14ac:dyDescent="0.25">
      <c r="A3570" s="17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IFERROR(VLOOKUP(B3570,'Diciembre 2023'!$B$2:$G$5822,4,0),"")</f>
        <v>BM</v>
      </c>
    </row>
    <row r="3571" spans="1:7" x14ac:dyDescent="0.25">
      <c r="A3571" s="17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IFERROR(VLOOKUP(B3571,'Diciembre 2023'!$B$2:$G$5822,4,0),"")</f>
        <v>BM</v>
      </c>
    </row>
    <row r="3572" spans="1:7" x14ac:dyDescent="0.25">
      <c r="A3572" s="17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IFERROR(VLOOKUP(B3572,'Diciembre 2023'!$B$2:$G$5822,4,0),"")</f>
        <v>BM</v>
      </c>
    </row>
    <row r="3573" spans="1:7" x14ac:dyDescent="0.25">
      <c r="A3573" s="17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IFERROR(VLOOKUP(B3573,'Diciembre 2023'!$B$2:$G$5822,4,0),"")</f>
        <v>BM</v>
      </c>
    </row>
    <row r="3574" spans="1:7" x14ac:dyDescent="0.25">
      <c r="A3574" s="17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IFERROR(VLOOKUP(B3574,'Diciembre 2023'!$B$2:$G$5822,4,0),"")</f>
        <v>BM</v>
      </c>
    </row>
    <row r="3575" spans="1:7" x14ac:dyDescent="0.25">
      <c r="A3575" s="17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IFERROR(VLOOKUP(B3575,'Diciembre 2023'!$B$2:$G$5822,4,0),"")</f>
        <v>BM</v>
      </c>
    </row>
    <row r="3576" spans="1:7" x14ac:dyDescent="0.25">
      <c r="A3576" s="17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IFERROR(VLOOKUP(B3576,'Diciembre 2023'!$B$2:$G$5822,4,0),"")</f>
        <v>BM</v>
      </c>
    </row>
    <row r="3577" spans="1:7" x14ac:dyDescent="0.25">
      <c r="A3577" s="17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IFERROR(VLOOKUP(B3577,'Diciembre 2023'!$B$2:$G$5822,4,0),"")</f>
        <v>BM</v>
      </c>
    </row>
    <row r="3578" spans="1:7" x14ac:dyDescent="0.25">
      <c r="A3578" s="17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IFERROR(VLOOKUP(B3578,'Diciembre 2023'!$B$2:$G$5822,4,0),"")</f>
        <v>ATAPET</v>
      </c>
    </row>
    <row r="3579" spans="1:7" x14ac:dyDescent="0.25">
      <c r="A3579" s="17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IFERROR(VLOOKUP(B3579,'Diciembre 2023'!$B$2:$G$5822,4,0),"")</f>
        <v>INACTBM</v>
      </c>
    </row>
    <row r="3580" spans="1:7" x14ac:dyDescent="0.25">
      <c r="A3580" s="17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IFERROR(VLOOKUP(B3580,'Diciembre 2023'!$B$2:$G$5822,4,0),"")</f>
        <v>BM</v>
      </c>
    </row>
    <row r="3581" spans="1:7" x14ac:dyDescent="0.25">
      <c r="A3581" s="17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IFERROR(VLOOKUP(B3581,'Diciembre 2023'!$B$2:$G$5822,4,0),"")</f>
        <v>BM</v>
      </c>
    </row>
    <row r="3582" spans="1:7" x14ac:dyDescent="0.25">
      <c r="A3582" s="17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IFERROR(VLOOKUP(B3582,'Diciembre 2023'!$B$2:$G$5822,4,0),"")</f>
        <v>BM</v>
      </c>
    </row>
    <row r="3583" spans="1:7" x14ac:dyDescent="0.25">
      <c r="A3583" s="17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IFERROR(VLOOKUP(B3583,'Diciembre 2023'!$B$2:$G$5822,4,0),"")</f>
        <v>BM</v>
      </c>
    </row>
    <row r="3584" spans="1:7" x14ac:dyDescent="0.25">
      <c r="A3584" s="17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IFERROR(VLOOKUP(B3584,'Diciembre 2023'!$B$2:$G$5822,4,0),"")</f>
        <v>INACTBM</v>
      </c>
    </row>
    <row r="3585" spans="1:7" x14ac:dyDescent="0.25">
      <c r="A3585" s="17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IFERROR(VLOOKUP(B3585,'Diciembre 2023'!$B$2:$G$5822,4,0),"")</f>
        <v>INACTINYA</v>
      </c>
    </row>
    <row r="3586" spans="1:7" x14ac:dyDescent="0.25">
      <c r="A3586" s="17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IFERROR(VLOOKUP(B3586,'Diciembre 2023'!$B$2:$G$5822,4,0),"")</f>
        <v>BM</v>
      </c>
    </row>
    <row r="3587" spans="1:7" x14ac:dyDescent="0.25">
      <c r="A3587" s="17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IFERROR(VLOOKUP(B3587,'Diciembre 2023'!$B$2:$G$5822,4,0),"")</f>
        <v>BM</v>
      </c>
    </row>
    <row r="3588" spans="1:7" x14ac:dyDescent="0.25">
      <c r="A3588" s="17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IFERROR(VLOOKUP(B3588,'Diciembre 2023'!$B$2:$G$5822,4,0),"")</f>
        <v>BM</v>
      </c>
    </row>
    <row r="3589" spans="1:7" x14ac:dyDescent="0.25">
      <c r="A3589" s="17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IFERROR(VLOOKUP(B3589,'Diciembre 2023'!$B$2:$G$5822,4,0),"")</f>
        <v>BM</v>
      </c>
    </row>
    <row r="3590" spans="1:7" x14ac:dyDescent="0.25">
      <c r="A3590" s="17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IFERROR(VLOOKUP(B3590,'Diciembre 2023'!$B$2:$G$5822,4,0),"")</f>
        <v>BM</v>
      </c>
    </row>
    <row r="3591" spans="1:7" x14ac:dyDescent="0.25">
      <c r="A3591" s="17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IFERROR(VLOOKUP(B3591,'Diciembre 2023'!$B$2:$G$5822,4,0),"")</f>
        <v>ACTPETS</v>
      </c>
    </row>
    <row r="3592" spans="1:7" x14ac:dyDescent="0.25">
      <c r="A3592" s="17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IFERROR(VLOOKUP(B3592,'Diciembre 2023'!$B$2:$G$5822,4,0),"")</f>
        <v>BM</v>
      </c>
    </row>
    <row r="3593" spans="1:7" x14ac:dyDescent="0.25">
      <c r="A3593" s="17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IFERROR(VLOOKUP(B3593,'Diciembre 2023'!$B$2:$G$5822,4,0),"")</f>
        <v>BM</v>
      </c>
    </row>
    <row r="3594" spans="1:7" x14ac:dyDescent="0.25">
      <c r="A3594" s="17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IFERROR(VLOOKUP(B3594,'Diciembre 2023'!$B$2:$G$5822,4,0),"")</f>
        <v>BM</v>
      </c>
    </row>
    <row r="3595" spans="1:7" x14ac:dyDescent="0.25">
      <c r="A3595" s="17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IFERROR(VLOOKUP(B3595,'Diciembre 2023'!$B$2:$G$5822,4,0),"")</f>
        <v>BM</v>
      </c>
    </row>
    <row r="3596" spans="1:7" x14ac:dyDescent="0.25">
      <c r="A3596" s="17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IFERROR(VLOOKUP(B3596,'Diciembre 2023'!$B$2:$G$5822,4,0),"")</f>
        <v>BM</v>
      </c>
    </row>
    <row r="3597" spans="1:7" x14ac:dyDescent="0.25">
      <c r="A3597" s="17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tr">
        <f>IFERROR(VLOOKUP(B3597,'Diciembre 2023'!$B$2:$G$5822,4,0),"")</f>
        <v>BM</v>
      </c>
    </row>
    <row r="3598" spans="1:7" x14ac:dyDescent="0.25">
      <c r="A3598" s="17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IFERROR(VLOOKUP(B3598,'Diciembre 2023'!$B$2:$G$5822,4,0),"")</f>
        <v>INACTINYA</v>
      </c>
    </row>
    <row r="3599" spans="1:7" x14ac:dyDescent="0.25">
      <c r="A3599" s="17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IFERROR(VLOOKUP(B3599,'Diciembre 2023'!$B$2:$G$5822,4,0),"")</f>
        <v>INACTBM</v>
      </c>
    </row>
    <row r="3600" spans="1:7" x14ac:dyDescent="0.25">
      <c r="A3600" s="17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IFERROR(VLOOKUP(B3600,'Diciembre 2023'!$B$2:$G$5822,4,0),"")</f>
        <v>BM</v>
      </c>
    </row>
    <row r="3601" spans="1:7" x14ac:dyDescent="0.25">
      <c r="A3601" s="17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IFERROR(VLOOKUP(B3601,'Diciembre 2023'!$B$2:$G$5822,4,0),"")</f>
        <v>BM</v>
      </c>
    </row>
    <row r="3602" spans="1:7" x14ac:dyDescent="0.25">
      <c r="A3602" s="17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IFERROR(VLOOKUP(B3602,'Diciembre 2023'!$B$2:$G$5822,4,0),"")</f>
        <v>PL</v>
      </c>
    </row>
    <row r="3603" spans="1:7" x14ac:dyDescent="0.25">
      <c r="A3603" s="17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IFERROR(VLOOKUP(B3603,'Diciembre 2023'!$B$2:$G$5822,4,0),"")</f>
        <v>PL</v>
      </c>
    </row>
    <row r="3604" spans="1:7" x14ac:dyDescent="0.25">
      <c r="A3604" s="17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IFERROR(VLOOKUP(B3604,'Diciembre 2023'!$B$2:$G$5822,4,0),"")</f>
        <v>BM</v>
      </c>
    </row>
    <row r="3605" spans="1:7" x14ac:dyDescent="0.25">
      <c r="A3605" s="17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IFERROR(VLOOKUP(B3605,'Diciembre 2023'!$B$2:$G$5822,4,0),"")</f>
        <v>BM</v>
      </c>
    </row>
    <row r="3606" spans="1:7" x14ac:dyDescent="0.25">
      <c r="A3606" s="17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IFERROR(VLOOKUP(B3606,'Diciembre 2023'!$B$2:$G$5822,4,0),"")</f>
        <v>BM</v>
      </c>
    </row>
    <row r="3607" spans="1:7" x14ac:dyDescent="0.25">
      <c r="A3607" s="17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IFERROR(VLOOKUP(B3607,'Diciembre 2023'!$B$2:$G$5822,4,0),"")</f>
        <v>BM</v>
      </c>
    </row>
    <row r="3608" spans="1:7" x14ac:dyDescent="0.25">
      <c r="A3608" s="17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IFERROR(VLOOKUP(B3608,'Diciembre 2023'!$B$2:$G$5822,4,0),"")</f>
        <v>BM</v>
      </c>
    </row>
    <row r="3609" spans="1:7" x14ac:dyDescent="0.25">
      <c r="A3609" s="17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IFERROR(VLOOKUP(B3609,'Diciembre 2023'!$B$2:$G$5822,4,0),"")</f>
        <v>BM</v>
      </c>
    </row>
    <row r="3610" spans="1:7" x14ac:dyDescent="0.25">
      <c r="A3610" s="17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IFERROR(VLOOKUP(B3610,'Diciembre 2023'!$B$2:$G$5822,4,0),"")</f>
        <v>BM</v>
      </c>
    </row>
    <row r="3611" spans="1:7" x14ac:dyDescent="0.25">
      <c r="A3611" s="17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IFERROR(VLOOKUP(B3611,'Diciembre 2023'!$B$2:$G$5822,4,0),"")</f>
        <v>PL</v>
      </c>
    </row>
    <row r="3612" spans="1:7" x14ac:dyDescent="0.25">
      <c r="A3612" s="17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IFERROR(VLOOKUP(B3612,'Diciembre 2023'!$B$2:$G$5822,4,0),"")</f>
        <v>BM</v>
      </c>
    </row>
    <row r="3613" spans="1:7" x14ac:dyDescent="0.25">
      <c r="A3613" s="17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IFERROR(VLOOKUP(B3613,'Diciembre 2023'!$B$2:$G$5822,4,0),"")</f>
        <v>PL</v>
      </c>
    </row>
    <row r="3614" spans="1:7" x14ac:dyDescent="0.25">
      <c r="A3614" s="17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IFERROR(VLOOKUP(B3614,'Diciembre 2023'!$B$2:$G$5822,4,0),"")</f>
        <v>PL</v>
      </c>
    </row>
    <row r="3615" spans="1:7" x14ac:dyDescent="0.25">
      <c r="A3615" s="17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IFERROR(VLOOKUP(B3615,'Diciembre 2023'!$B$2:$G$5822,4,0),"")</f>
        <v>PL</v>
      </c>
    </row>
    <row r="3616" spans="1:7" x14ac:dyDescent="0.25">
      <c r="A3616" s="17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IFERROR(VLOOKUP(B3616,'Diciembre 2023'!$B$2:$G$5822,4,0),"")</f>
        <v>BM</v>
      </c>
    </row>
    <row r="3617" spans="1:7" x14ac:dyDescent="0.25">
      <c r="A3617" s="17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IFERROR(VLOOKUP(B3617,'Diciembre 2023'!$B$2:$G$5822,4,0),"")</f>
        <v>BM</v>
      </c>
    </row>
    <row r="3618" spans="1:7" x14ac:dyDescent="0.25">
      <c r="A3618" s="17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IFERROR(VLOOKUP(B3618,'Diciembre 2023'!$B$2:$G$5822,4,0),"")</f>
        <v>BM</v>
      </c>
    </row>
    <row r="3619" spans="1:7" x14ac:dyDescent="0.25">
      <c r="A3619" s="17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IFERROR(VLOOKUP(B3619,'Diciembre 2023'!$B$2:$G$5822,4,0),"")</f>
        <v>BM</v>
      </c>
    </row>
    <row r="3620" spans="1:7" x14ac:dyDescent="0.25">
      <c r="A3620" s="17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IFERROR(VLOOKUP(B3620,'Diciembre 2023'!$B$2:$G$5822,4,0),"")</f>
        <v>BM</v>
      </c>
    </row>
    <row r="3621" spans="1:7" x14ac:dyDescent="0.25">
      <c r="A3621" s="17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IFERROR(VLOOKUP(B3621,'Diciembre 2023'!$B$2:$G$5822,4,0),"")</f>
        <v>INACTBM</v>
      </c>
    </row>
    <row r="3622" spans="1:7" x14ac:dyDescent="0.25">
      <c r="A3622" s="17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IFERROR(VLOOKUP(B3622,'Diciembre 2023'!$B$2:$G$5822,4,0),"")</f>
        <v>BM</v>
      </c>
    </row>
    <row r="3623" spans="1:7" x14ac:dyDescent="0.25">
      <c r="A3623" s="17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IFERROR(VLOOKUP(B3623,'Diciembre 2023'!$B$2:$G$5822,4,0),"")</f>
        <v>BM</v>
      </c>
    </row>
    <row r="3624" spans="1:7" x14ac:dyDescent="0.25">
      <c r="A3624" s="17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IFERROR(VLOOKUP(B3624,'Diciembre 2023'!$B$2:$G$5822,4,0),"")</f>
        <v>BM</v>
      </c>
    </row>
    <row r="3625" spans="1:7" x14ac:dyDescent="0.25">
      <c r="A3625" s="17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IFERROR(VLOOKUP(B3625,'Diciembre 2023'!$B$2:$G$5822,4,0),"")</f>
        <v>PL</v>
      </c>
    </row>
    <row r="3626" spans="1:7" x14ac:dyDescent="0.25">
      <c r="A3626" s="17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IFERROR(VLOOKUP(B3626,'Diciembre 2023'!$B$2:$G$5822,4,0),"")</f>
        <v>BM</v>
      </c>
    </row>
    <row r="3627" spans="1:7" x14ac:dyDescent="0.25">
      <c r="A3627" s="17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IFERROR(VLOOKUP(B3627,'Diciembre 2023'!$B$2:$G$5822,4,0),"")</f>
        <v>BM</v>
      </c>
    </row>
    <row r="3628" spans="1:7" x14ac:dyDescent="0.25">
      <c r="A3628" s="17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IFERROR(VLOOKUP(B3628,'Diciembre 2023'!$B$2:$G$5822,4,0),"")</f>
        <v>BM</v>
      </c>
    </row>
    <row r="3629" spans="1:7" x14ac:dyDescent="0.25">
      <c r="A3629" s="17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IFERROR(VLOOKUP(B3629,'Diciembre 2023'!$B$2:$G$5822,4,0),"")</f>
        <v>BM</v>
      </c>
    </row>
    <row r="3630" spans="1:7" x14ac:dyDescent="0.25">
      <c r="A3630" s="17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IFERROR(VLOOKUP(B3630,'Diciembre 2023'!$B$2:$G$5822,4,0),"")</f>
        <v>BM</v>
      </c>
    </row>
    <row r="3631" spans="1:7" x14ac:dyDescent="0.25">
      <c r="A3631" s="17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IFERROR(VLOOKUP(B3631,'Diciembre 2023'!$B$2:$G$5822,4,0),"")</f>
        <v>PL</v>
      </c>
    </row>
    <row r="3632" spans="1:7" x14ac:dyDescent="0.25">
      <c r="A3632" s="17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IFERROR(VLOOKUP(B3632,'Diciembre 2023'!$B$2:$G$5822,4,0),"")</f>
        <v>BM</v>
      </c>
    </row>
    <row r="3633" spans="1:7" x14ac:dyDescent="0.25">
      <c r="A3633" s="17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IFERROR(VLOOKUP(B3633,'Diciembre 2023'!$B$2:$G$5822,4,0),"")</f>
        <v>BM</v>
      </c>
    </row>
    <row r="3634" spans="1:7" x14ac:dyDescent="0.25">
      <c r="A3634" s="17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IFERROR(VLOOKUP(B3634,'Diciembre 2023'!$B$2:$G$5822,4,0),"")</f>
        <v>BM</v>
      </c>
    </row>
    <row r="3635" spans="1:7" x14ac:dyDescent="0.25">
      <c r="A3635" s="17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IFERROR(VLOOKUP(B3635,'Diciembre 2023'!$B$2:$G$5822,4,0),"")</f>
        <v>BM</v>
      </c>
    </row>
    <row r="3636" spans="1:7" x14ac:dyDescent="0.25">
      <c r="A3636" s="17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IFERROR(VLOOKUP(B3636,'Diciembre 2023'!$B$2:$G$5822,4,0),"")</f>
        <v>BM</v>
      </c>
    </row>
    <row r="3637" spans="1:7" x14ac:dyDescent="0.25">
      <c r="A3637" s="17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IFERROR(VLOOKUP(B3637,'Diciembre 2023'!$B$2:$G$5822,4,0),"")</f>
        <v>BM</v>
      </c>
    </row>
    <row r="3638" spans="1:7" x14ac:dyDescent="0.25">
      <c r="A3638" s="17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IFERROR(VLOOKUP(B3638,'Diciembre 2023'!$B$2:$G$5822,4,0),"")</f>
        <v>BM</v>
      </c>
    </row>
    <row r="3639" spans="1:7" x14ac:dyDescent="0.25">
      <c r="A3639" s="17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IFERROR(VLOOKUP(B3639,'Diciembre 2023'!$B$2:$G$5822,4,0),"")</f>
        <v>BM</v>
      </c>
    </row>
    <row r="3640" spans="1:7" x14ac:dyDescent="0.25">
      <c r="A3640" s="17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IFERROR(VLOOKUP(B3640,'Diciembre 2023'!$B$2:$G$5822,4,0),"")</f>
        <v>BM</v>
      </c>
    </row>
    <row r="3641" spans="1:7" x14ac:dyDescent="0.25">
      <c r="A3641" s="17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IFERROR(VLOOKUP(B3641,'Diciembre 2023'!$B$2:$G$5822,4,0),"")</f>
        <v>BM</v>
      </c>
    </row>
    <row r="3642" spans="1:7" x14ac:dyDescent="0.25">
      <c r="A3642" s="17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IFERROR(VLOOKUP(B3642,'Diciembre 2023'!$B$2:$G$5822,4,0),"")</f>
        <v>PL</v>
      </c>
    </row>
    <row r="3643" spans="1:7" x14ac:dyDescent="0.25">
      <c r="A3643" s="17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IFERROR(VLOOKUP(B3643,'Diciembre 2023'!$B$2:$G$5822,4,0),"")</f>
        <v>BM</v>
      </c>
    </row>
    <row r="3644" spans="1:7" x14ac:dyDescent="0.25">
      <c r="A3644" s="17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IFERROR(VLOOKUP(B3644,'Diciembre 2023'!$B$2:$G$5822,4,0),"")</f>
        <v>BM</v>
      </c>
    </row>
    <row r="3645" spans="1:7" x14ac:dyDescent="0.25">
      <c r="A3645" s="17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IFERROR(VLOOKUP(B3645,'Diciembre 2023'!$B$2:$G$5822,4,0),"")</f>
        <v>BM</v>
      </c>
    </row>
    <row r="3646" spans="1:7" x14ac:dyDescent="0.25">
      <c r="A3646" s="17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IFERROR(VLOOKUP(B3646,'Diciembre 2023'!$B$2:$G$5822,4,0),"")</f>
        <v>BM</v>
      </c>
    </row>
    <row r="3647" spans="1:7" x14ac:dyDescent="0.25">
      <c r="A3647" s="17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IFERROR(VLOOKUP(B3647,'Diciembre 2023'!$B$2:$G$5822,4,0),"")</f>
        <v>BM</v>
      </c>
    </row>
    <row r="3648" spans="1:7" x14ac:dyDescent="0.25">
      <c r="A3648" s="17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IFERROR(VLOOKUP(B3648,'Diciembre 2023'!$B$2:$G$5822,4,0),"")</f>
        <v>BM</v>
      </c>
    </row>
    <row r="3649" spans="1:7" x14ac:dyDescent="0.25">
      <c r="A3649" s="17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IFERROR(VLOOKUP(B3649,'Diciembre 2023'!$B$2:$G$5822,4,0),"")</f>
        <v>BM</v>
      </c>
    </row>
    <row r="3650" spans="1:7" x14ac:dyDescent="0.25">
      <c r="A3650" s="17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IFERROR(VLOOKUP(B3650,'Diciembre 2023'!$B$2:$G$5822,4,0),"")</f>
        <v>BM</v>
      </c>
    </row>
    <row r="3651" spans="1:7" x14ac:dyDescent="0.25">
      <c r="A3651" s="17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IFERROR(VLOOKUP(B3651,'Diciembre 2023'!$B$2:$G$5822,4,0),"")</f>
        <v>BM</v>
      </c>
    </row>
    <row r="3652" spans="1:7" x14ac:dyDescent="0.25">
      <c r="A3652" s="17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IFERROR(VLOOKUP(B3652,'Diciembre 2023'!$B$2:$G$5822,4,0),"")</f>
        <v>BM</v>
      </c>
    </row>
    <row r="3653" spans="1:7" x14ac:dyDescent="0.25">
      <c r="A3653" s="17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IFERROR(VLOOKUP(B3653,'Diciembre 2023'!$B$2:$G$5822,4,0),"")</f>
        <v>BM</v>
      </c>
    </row>
    <row r="3654" spans="1:7" x14ac:dyDescent="0.25">
      <c r="A3654" s="17"/>
      <c r="B3654" s="4" t="s">
        <v>3566</v>
      </c>
      <c r="C3654" s="4" t="s">
        <v>11</v>
      </c>
      <c r="D3654" s="4" t="s">
        <v>11</v>
      </c>
      <c r="E3654" s="4" t="s">
        <v>11</v>
      </c>
      <c r="F3654" s="4" t="s">
        <v>1010</v>
      </c>
      <c r="G3654" s="5" t="str">
        <f>IFERROR(VLOOKUP(B3654,'Diciembre 2023'!$B$2:$G$5822,4,0),"")</f>
        <v>BM</v>
      </c>
    </row>
    <row r="3655" spans="1:7" x14ac:dyDescent="0.25">
      <c r="A3655" s="17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IFERROR(VLOOKUP(B3655,'Diciembre 2023'!$B$2:$G$5822,4,0),"")</f>
        <v>BM</v>
      </c>
    </row>
    <row r="3656" spans="1:7" x14ac:dyDescent="0.25">
      <c r="A3656" s="17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IFERROR(VLOOKUP(B3656,'Diciembre 2023'!$B$2:$G$5822,4,0),"")</f>
        <v>INACTBM</v>
      </c>
    </row>
    <row r="3657" spans="1:7" x14ac:dyDescent="0.25">
      <c r="A3657" s="17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IFERROR(VLOOKUP(B3657,'Diciembre 2023'!$B$2:$G$5822,4,0),"")</f>
        <v>BM</v>
      </c>
    </row>
    <row r="3658" spans="1:7" x14ac:dyDescent="0.25">
      <c r="A3658" s="17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IFERROR(VLOOKUP(B3658,'Diciembre 2023'!$B$2:$G$5822,4,0),"")</f>
        <v>BM</v>
      </c>
    </row>
    <row r="3659" spans="1:7" x14ac:dyDescent="0.25">
      <c r="A3659" s="17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IFERROR(VLOOKUP(B3659,'Diciembre 2023'!$B$2:$G$5822,4,0),"")</f>
        <v>BM</v>
      </c>
    </row>
    <row r="3660" spans="1:7" x14ac:dyDescent="0.25">
      <c r="A3660" s="17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IFERROR(VLOOKUP(B3660,'Diciembre 2023'!$B$2:$G$5822,4,0),"")</f>
        <v>BM</v>
      </c>
    </row>
    <row r="3661" spans="1:7" x14ac:dyDescent="0.25">
      <c r="A3661" s="17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IFERROR(VLOOKUP(B3661,'Diciembre 2023'!$B$2:$G$5822,4,0),"")</f>
        <v>BM</v>
      </c>
    </row>
    <row r="3662" spans="1:7" x14ac:dyDescent="0.25">
      <c r="A3662" s="17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IFERROR(VLOOKUP(B3662,'Diciembre 2023'!$B$2:$G$5822,4,0),"")</f>
        <v>BM</v>
      </c>
    </row>
    <row r="3663" spans="1:7" x14ac:dyDescent="0.25">
      <c r="A3663" s="17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IFERROR(VLOOKUP(B3663,'Diciembre 2023'!$B$2:$G$5822,4,0),"")</f>
        <v>BM</v>
      </c>
    </row>
    <row r="3664" spans="1:7" x14ac:dyDescent="0.25">
      <c r="A3664" s="17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IFERROR(VLOOKUP(B3664,'Diciembre 2023'!$B$2:$G$5822,4,0),"")</f>
        <v>BM</v>
      </c>
    </row>
    <row r="3665" spans="1:7" x14ac:dyDescent="0.25">
      <c r="A3665" s="17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IFERROR(VLOOKUP(B3665,'Diciembre 2023'!$B$2:$G$5822,4,0),"")</f>
        <v>BM</v>
      </c>
    </row>
    <row r="3666" spans="1:7" x14ac:dyDescent="0.25">
      <c r="A3666" s="17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IFERROR(VLOOKUP(B3666,'Diciembre 2023'!$B$2:$G$5822,4,0),"")</f>
        <v>BM</v>
      </c>
    </row>
    <row r="3667" spans="1:7" x14ac:dyDescent="0.25">
      <c r="A3667" s="17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IFERROR(VLOOKUP(B3667,'Diciembre 2023'!$B$2:$G$5822,4,0),"")</f>
        <v>BM</v>
      </c>
    </row>
    <row r="3668" spans="1:7" x14ac:dyDescent="0.25">
      <c r="A3668" s="17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IFERROR(VLOOKUP(B3668,'Diciembre 2023'!$B$2:$G$5822,4,0),"")</f>
        <v>BM</v>
      </c>
    </row>
    <row r="3669" spans="1:7" x14ac:dyDescent="0.25">
      <c r="A3669" s="17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IFERROR(VLOOKUP(B3669,'Diciembre 2023'!$B$2:$G$5822,4,0),"")</f>
        <v>INACTBM</v>
      </c>
    </row>
    <row r="3670" spans="1:7" x14ac:dyDescent="0.25">
      <c r="A3670" s="17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IFERROR(VLOOKUP(B3670,'Diciembre 2023'!$B$2:$G$5822,4,0),"")</f>
        <v>BM</v>
      </c>
    </row>
    <row r="3671" spans="1:7" x14ac:dyDescent="0.25">
      <c r="A3671" s="17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IFERROR(VLOOKUP(B3671,'Diciembre 2023'!$B$2:$G$5822,4,0),"")</f>
        <v>BM</v>
      </c>
    </row>
    <row r="3672" spans="1:7" x14ac:dyDescent="0.25">
      <c r="A3672" s="17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IFERROR(VLOOKUP(B3672,'Diciembre 2023'!$B$2:$G$5822,4,0),"")</f>
        <v>BM</v>
      </c>
    </row>
    <row r="3673" spans="1:7" x14ac:dyDescent="0.25">
      <c r="A3673" s="17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IFERROR(VLOOKUP(B3673,'Diciembre 2023'!$B$2:$G$5822,4,0),"")</f>
        <v>BM</v>
      </c>
    </row>
    <row r="3674" spans="1:7" x14ac:dyDescent="0.25">
      <c r="A3674" s="17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IFERROR(VLOOKUP(B3674,'Diciembre 2023'!$B$2:$G$5822,4,0),"")</f>
        <v>BM</v>
      </c>
    </row>
    <row r="3675" spans="1:7" x14ac:dyDescent="0.25">
      <c r="A3675" s="17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IFERROR(VLOOKUP(B3675,'Diciembre 2023'!$B$2:$G$5822,4,0),"")</f>
        <v>BM</v>
      </c>
    </row>
    <row r="3676" spans="1:7" x14ac:dyDescent="0.25">
      <c r="A3676" s="17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IFERROR(VLOOKUP(B3676,'Diciembre 2023'!$B$2:$G$5822,4,0),"")</f>
        <v>BM</v>
      </c>
    </row>
    <row r="3677" spans="1:7" x14ac:dyDescent="0.25">
      <c r="A3677" s="17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IFERROR(VLOOKUP(B3677,'Diciembre 2023'!$B$2:$G$5822,4,0),"")</f>
        <v>BM</v>
      </c>
    </row>
    <row r="3678" spans="1:7" x14ac:dyDescent="0.25">
      <c r="A3678" s="17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IFERROR(VLOOKUP(B3678,'Diciembre 2023'!$B$2:$G$5822,4,0),"")</f>
        <v>BM</v>
      </c>
    </row>
    <row r="3679" spans="1:7" x14ac:dyDescent="0.25">
      <c r="A3679" s="17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IFERROR(VLOOKUP(B3679,'Diciembre 2023'!$B$2:$G$5822,4,0),"")</f>
        <v>BM</v>
      </c>
    </row>
    <row r="3680" spans="1:7" x14ac:dyDescent="0.25">
      <c r="A3680" s="17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IFERROR(VLOOKUP(B3680,'Diciembre 2023'!$B$2:$G$5822,4,0),"")</f>
        <v>ACTPETF</v>
      </c>
    </row>
    <row r="3681" spans="1:7" x14ac:dyDescent="0.25">
      <c r="A3681" s="17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IFERROR(VLOOKUP(B3681,'Diciembre 2023'!$B$2:$G$5822,4,0),"")</f>
        <v>BM</v>
      </c>
    </row>
    <row r="3682" spans="1:7" x14ac:dyDescent="0.25">
      <c r="A3682" s="17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IFERROR(VLOOKUP(B3682,'Diciembre 2023'!$B$2:$G$5822,4,0),"")</f>
        <v>BM</v>
      </c>
    </row>
    <row r="3683" spans="1:7" x14ac:dyDescent="0.25">
      <c r="A3683" s="17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IFERROR(VLOOKUP(B3683,'Diciembre 2023'!$B$2:$G$5822,4,0),"")</f>
        <v>BM</v>
      </c>
    </row>
    <row r="3684" spans="1:7" x14ac:dyDescent="0.25">
      <c r="A3684" s="17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IFERROR(VLOOKUP(B3684,'Diciembre 2023'!$B$2:$G$5822,4,0),"")</f>
        <v>BM</v>
      </c>
    </row>
    <row r="3685" spans="1:7" x14ac:dyDescent="0.25">
      <c r="A3685" s="17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IFERROR(VLOOKUP(B3685,'Diciembre 2023'!$B$2:$G$5822,4,0),"")</f>
        <v>BM</v>
      </c>
    </row>
    <row r="3686" spans="1:7" x14ac:dyDescent="0.25">
      <c r="A3686" s="17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IFERROR(VLOOKUP(B3686,'Diciembre 2023'!$B$2:$G$5822,4,0),"")</f>
        <v>BM</v>
      </c>
    </row>
    <row r="3687" spans="1:7" x14ac:dyDescent="0.25">
      <c r="A3687" s="17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IFERROR(VLOOKUP(B3687,'Diciembre 2023'!$B$2:$G$5822,4,0),"")</f>
        <v>BM</v>
      </c>
    </row>
    <row r="3688" spans="1:7" x14ac:dyDescent="0.25">
      <c r="A3688" s="17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IFERROR(VLOOKUP(B3688,'Diciembre 2023'!$B$2:$G$5822,4,0),"")</f>
        <v>BM</v>
      </c>
    </row>
    <row r="3689" spans="1:7" x14ac:dyDescent="0.25">
      <c r="A3689" s="17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IFERROR(VLOOKUP(B3689,'Diciembre 2023'!$B$2:$G$5822,4,0),"")</f>
        <v>BM</v>
      </c>
    </row>
    <row r="3690" spans="1:7" x14ac:dyDescent="0.25">
      <c r="A3690" s="17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IFERROR(VLOOKUP(B3690,'Diciembre 2023'!$B$2:$G$5822,4,0),"")</f>
        <v>BM</v>
      </c>
    </row>
    <row r="3691" spans="1:7" x14ac:dyDescent="0.25">
      <c r="A3691" s="17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IFERROR(VLOOKUP(B3691,'Diciembre 2023'!$B$2:$G$5822,4,0),"")</f>
        <v>BM</v>
      </c>
    </row>
    <row r="3692" spans="1:7" x14ac:dyDescent="0.25">
      <c r="A3692" s="17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IFERROR(VLOOKUP(B3692,'Diciembre 2023'!$B$2:$G$5822,4,0),"")</f>
        <v>ACTPETS</v>
      </c>
    </row>
    <row r="3693" spans="1:7" x14ac:dyDescent="0.25">
      <c r="A3693" s="17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IFERROR(VLOOKUP(B3693,'Diciembre 2023'!$B$2:$G$5822,4,0),"")</f>
        <v>BM</v>
      </c>
    </row>
    <row r="3694" spans="1:7" x14ac:dyDescent="0.25">
      <c r="A3694" s="17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IFERROR(VLOOKUP(B3694,'Diciembre 2023'!$B$2:$G$5822,4,0),"")</f>
        <v>BM</v>
      </c>
    </row>
    <row r="3695" spans="1:7" x14ac:dyDescent="0.25">
      <c r="A3695" s="17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IFERROR(VLOOKUP(B3695,'Diciembre 2023'!$B$2:$G$5822,4,0),"")</f>
        <v>BM</v>
      </c>
    </row>
    <row r="3696" spans="1:7" x14ac:dyDescent="0.25">
      <c r="A3696" s="17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IFERROR(VLOOKUP(B3696,'Diciembre 2023'!$B$2:$G$5822,4,0),"")</f>
        <v>BM</v>
      </c>
    </row>
    <row r="3697" spans="1:7" x14ac:dyDescent="0.25">
      <c r="A3697" s="17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IFERROR(VLOOKUP(B3697,'Diciembre 2023'!$B$2:$G$5822,4,0),"")</f>
        <v>BM</v>
      </c>
    </row>
    <row r="3698" spans="1:7" x14ac:dyDescent="0.25">
      <c r="A3698" s="17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IFERROR(VLOOKUP(B3698,'Diciembre 2023'!$B$2:$G$5822,4,0),"")</f>
        <v>BM</v>
      </c>
    </row>
    <row r="3699" spans="1:7" x14ac:dyDescent="0.25">
      <c r="A3699" s="17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IFERROR(VLOOKUP(B3699,'Diciembre 2023'!$B$2:$G$5822,4,0),"")</f>
        <v>BM</v>
      </c>
    </row>
    <row r="3700" spans="1:7" x14ac:dyDescent="0.25">
      <c r="A3700" s="17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IFERROR(VLOOKUP(B3700,'Diciembre 2023'!$B$2:$G$5822,4,0),"")</f>
        <v>BM</v>
      </c>
    </row>
    <row r="3701" spans="1:7" x14ac:dyDescent="0.25">
      <c r="A3701" s="17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IFERROR(VLOOKUP(B3701,'Diciembre 2023'!$B$2:$G$5822,4,0),"")</f>
        <v>BM</v>
      </c>
    </row>
    <row r="3702" spans="1:7" x14ac:dyDescent="0.25">
      <c r="A3702" s="17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IFERROR(VLOOKUP(B3702,'Diciembre 2023'!$B$2:$G$5822,4,0),"")</f>
        <v>BM</v>
      </c>
    </row>
    <row r="3703" spans="1:7" x14ac:dyDescent="0.25">
      <c r="A3703" s="17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IFERROR(VLOOKUP(B3703,'Diciembre 2023'!$B$2:$G$5822,4,0),"")</f>
        <v>BM</v>
      </c>
    </row>
    <row r="3704" spans="1:7" x14ac:dyDescent="0.25">
      <c r="A3704" s="17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tr">
        <f>IFERROR(VLOOKUP(B3704,'Diciembre 2023'!$B$2:$G$5822,4,0),"")</f>
        <v>ACTPETS</v>
      </c>
    </row>
    <row r="3705" spans="1:7" x14ac:dyDescent="0.25">
      <c r="A3705" s="17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tr">
        <f>IFERROR(VLOOKUP(B3705,'Diciembre 2023'!$B$2:$G$5822,4,0),"")</f>
        <v>INACTBM</v>
      </c>
    </row>
    <row r="3706" spans="1:7" x14ac:dyDescent="0.25">
      <c r="A3706" s="17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IFERROR(VLOOKUP(B3706,'Diciembre 2023'!$B$2:$G$5822,4,0),"")</f>
        <v>BM</v>
      </c>
    </row>
    <row r="3707" spans="1:7" x14ac:dyDescent="0.25">
      <c r="A3707" s="17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IFERROR(VLOOKUP(B3707,'Diciembre 2023'!$B$2:$G$5822,4,0),"")</f>
        <v>BM</v>
      </c>
    </row>
    <row r="3708" spans="1:7" x14ac:dyDescent="0.25">
      <c r="A3708" s="17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IFERROR(VLOOKUP(B3708,'Diciembre 2023'!$B$2:$G$5822,4,0),"")</f>
        <v>BM</v>
      </c>
    </row>
    <row r="3709" spans="1:7" x14ac:dyDescent="0.25">
      <c r="A3709" s="17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IFERROR(VLOOKUP(B3709,'Diciembre 2023'!$B$2:$G$5822,4,0),"")</f>
        <v>BM</v>
      </c>
    </row>
    <row r="3710" spans="1:7" x14ac:dyDescent="0.25">
      <c r="A3710" s="17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IFERROR(VLOOKUP(B3710,'Diciembre 2023'!$B$2:$G$5822,4,0),"")</f>
        <v>ACTINYA</v>
      </c>
    </row>
    <row r="3711" spans="1:7" x14ac:dyDescent="0.25">
      <c r="A3711" s="17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IFERROR(VLOOKUP(B3711,'Diciembre 2023'!$B$2:$G$5822,4,0),"")</f>
        <v>BM</v>
      </c>
    </row>
    <row r="3712" spans="1:7" x14ac:dyDescent="0.25">
      <c r="A3712" s="17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IFERROR(VLOOKUP(B3712,'Diciembre 2023'!$B$2:$G$5822,4,0),"")</f>
        <v>ACTINYA</v>
      </c>
    </row>
    <row r="3713" spans="1:7" x14ac:dyDescent="0.25">
      <c r="A3713" s="17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IFERROR(VLOOKUP(B3713,'Diciembre 2023'!$B$2:$G$5822,4,0),"")</f>
        <v>INACTBM</v>
      </c>
    </row>
    <row r="3714" spans="1:7" x14ac:dyDescent="0.25">
      <c r="A3714" s="17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IFERROR(VLOOKUP(B3714,'Diciembre 2023'!$B$2:$G$5822,4,0),"")</f>
        <v>BM</v>
      </c>
    </row>
    <row r="3715" spans="1:7" x14ac:dyDescent="0.25">
      <c r="A3715" s="17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IFERROR(VLOOKUP(B3715,'Diciembre 2023'!$B$2:$G$5822,4,0),"")</f>
        <v>BM</v>
      </c>
    </row>
    <row r="3716" spans="1:7" x14ac:dyDescent="0.25">
      <c r="A3716" s="17"/>
      <c r="B3716" s="4" t="s">
        <v>3628</v>
      </c>
      <c r="C3716" s="4" t="s">
        <v>11</v>
      </c>
      <c r="D3716" s="4" t="s">
        <v>11</v>
      </c>
      <c r="E3716" s="4" t="s">
        <v>11</v>
      </c>
      <c r="F3716" s="4" t="s">
        <v>137</v>
      </c>
      <c r="G3716" s="5" t="str">
        <f>IFERROR(VLOOKUP(B3716,'Diciembre 2023'!$B$2:$G$5822,4,0),"")</f>
        <v>BM</v>
      </c>
    </row>
    <row r="3717" spans="1:7" x14ac:dyDescent="0.25">
      <c r="A3717" s="17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IFERROR(VLOOKUP(B3717,'Diciembre 2023'!$B$2:$G$5822,4,0),"")</f>
        <v>BM</v>
      </c>
    </row>
    <row r="3718" spans="1:7" x14ac:dyDescent="0.25">
      <c r="A3718" s="17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IFERROR(VLOOKUP(B3718,'Diciembre 2023'!$B$2:$G$5822,4,0),"")</f>
        <v>ACTINYA</v>
      </c>
    </row>
    <row r="3719" spans="1:7" x14ac:dyDescent="0.25">
      <c r="A3719" s="17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IFERROR(VLOOKUP(B3719,'Diciembre 2023'!$B$2:$G$5822,4,0),"")</f>
        <v>BM</v>
      </c>
    </row>
    <row r="3720" spans="1:7" x14ac:dyDescent="0.25">
      <c r="A3720" s="17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IFERROR(VLOOKUP(B3720,'Diciembre 2023'!$B$2:$G$5822,4,0),"")</f>
        <v>BM</v>
      </c>
    </row>
    <row r="3721" spans="1:7" x14ac:dyDescent="0.25">
      <c r="A3721" s="17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IFERROR(VLOOKUP(B3721,'Diciembre 2023'!$B$2:$G$5822,4,0),"")</f>
        <v>BM</v>
      </c>
    </row>
    <row r="3722" spans="1:7" x14ac:dyDescent="0.25">
      <c r="A3722" s="17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IFERROR(VLOOKUP(B3722,'Diciembre 2023'!$B$2:$G$5822,4,0),"")</f>
        <v>BM</v>
      </c>
    </row>
    <row r="3723" spans="1:7" x14ac:dyDescent="0.25">
      <c r="A3723" s="17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IFERROR(VLOOKUP(B3723,'Diciembre 2023'!$B$2:$G$5822,4,0),"")</f>
        <v>BM</v>
      </c>
    </row>
    <row r="3724" spans="1:7" x14ac:dyDescent="0.25">
      <c r="A3724" s="17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IFERROR(VLOOKUP(B3724,'Diciembre 2023'!$B$2:$G$5822,4,0),"")</f>
        <v>BM</v>
      </c>
    </row>
    <row r="3725" spans="1:7" x14ac:dyDescent="0.25">
      <c r="A3725" s="17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IFERROR(VLOOKUP(B3725,'Diciembre 2023'!$B$2:$G$5822,4,0),"")</f>
        <v>BM</v>
      </c>
    </row>
    <row r="3726" spans="1:7" x14ac:dyDescent="0.25">
      <c r="A3726" s="17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IFERROR(VLOOKUP(B3726,'Diciembre 2023'!$B$2:$G$5822,4,0),"")</f>
        <v>BM</v>
      </c>
    </row>
    <row r="3727" spans="1:7" x14ac:dyDescent="0.25">
      <c r="A3727" s="17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IFERROR(VLOOKUP(B3727,'Diciembre 2023'!$B$2:$G$5822,4,0),"")</f>
        <v>BM</v>
      </c>
    </row>
    <row r="3728" spans="1:7" x14ac:dyDescent="0.25">
      <c r="A3728" s="17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IFERROR(VLOOKUP(B3728,'Diciembre 2023'!$B$2:$G$5822,4,0),"")</f>
        <v>BM</v>
      </c>
    </row>
    <row r="3729" spans="1:7" x14ac:dyDescent="0.25">
      <c r="A3729" s="17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IFERROR(VLOOKUP(B3729,'Diciembre 2023'!$B$2:$G$5822,4,0),"")</f>
        <v>BM</v>
      </c>
    </row>
    <row r="3730" spans="1:7" x14ac:dyDescent="0.25">
      <c r="A3730" s="17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IFERROR(VLOOKUP(B3730,'Diciembre 2023'!$B$2:$G$5822,4,0),"")</f>
        <v>BM</v>
      </c>
    </row>
    <row r="3731" spans="1:7" x14ac:dyDescent="0.25">
      <c r="A3731" s="17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IFERROR(VLOOKUP(B3731,'Diciembre 2023'!$B$2:$G$5822,4,0),"")</f>
        <v>BM</v>
      </c>
    </row>
    <row r="3732" spans="1:7" x14ac:dyDescent="0.25">
      <c r="A3732" s="17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IFERROR(VLOOKUP(B3732,'Diciembre 2023'!$B$2:$G$5822,4,0),"")</f>
        <v>BM</v>
      </c>
    </row>
    <row r="3733" spans="1:7" x14ac:dyDescent="0.25">
      <c r="A3733" s="17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IFERROR(VLOOKUP(B3733,'Diciembre 2023'!$B$2:$G$5822,4,0),"")</f>
        <v>BM</v>
      </c>
    </row>
    <row r="3734" spans="1:7" x14ac:dyDescent="0.25">
      <c r="A3734" s="17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IFERROR(VLOOKUP(B3734,'Diciembre 2023'!$B$2:$G$5822,4,0),"")</f>
        <v>BM</v>
      </c>
    </row>
    <row r="3735" spans="1:7" x14ac:dyDescent="0.25">
      <c r="A3735" s="17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IFERROR(VLOOKUP(B3735,'Diciembre 2023'!$B$2:$G$5822,4,0),"")</f>
        <v>BM</v>
      </c>
    </row>
    <row r="3736" spans="1:7" x14ac:dyDescent="0.25">
      <c r="A3736" s="17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IFERROR(VLOOKUP(B3736,'Diciembre 2023'!$B$2:$G$5822,4,0),"")</f>
        <v>BM</v>
      </c>
    </row>
    <row r="3737" spans="1:7" x14ac:dyDescent="0.25">
      <c r="A3737" s="17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IFERROR(VLOOKUP(B3737,'Diciembre 2023'!$B$2:$G$5822,4,0),"")</f>
        <v>BM</v>
      </c>
    </row>
    <row r="3738" spans="1:7" x14ac:dyDescent="0.25">
      <c r="A3738" s="17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IFERROR(VLOOKUP(B3738,'Diciembre 2023'!$B$2:$G$5822,4,0),"")</f>
        <v>BM</v>
      </c>
    </row>
    <row r="3739" spans="1:7" x14ac:dyDescent="0.25">
      <c r="A3739" s="17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IFERROR(VLOOKUP(B3739,'Diciembre 2023'!$B$2:$G$5822,4,0),"")</f>
        <v>BM</v>
      </c>
    </row>
    <row r="3740" spans="1:7" x14ac:dyDescent="0.25">
      <c r="A3740" s="17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IFERROR(VLOOKUP(B3740,'Diciembre 2023'!$B$2:$G$5822,4,0),"")</f>
        <v>BM</v>
      </c>
    </row>
    <row r="3741" spans="1:7" x14ac:dyDescent="0.25">
      <c r="A3741" s="17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IFERROR(VLOOKUP(B3741,'Diciembre 2023'!$B$2:$G$5822,4,0),"")</f>
        <v>BM</v>
      </c>
    </row>
    <row r="3742" spans="1:7" x14ac:dyDescent="0.25">
      <c r="A3742" s="17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IFERROR(VLOOKUP(B3742,'Diciembre 2023'!$B$2:$G$5822,4,0),"")</f>
        <v>BM</v>
      </c>
    </row>
    <row r="3743" spans="1:7" x14ac:dyDescent="0.25">
      <c r="A3743" s="17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IFERROR(VLOOKUP(B3743,'Diciembre 2023'!$B$2:$G$5822,4,0),"")</f>
        <v>BM</v>
      </c>
    </row>
    <row r="3744" spans="1:7" x14ac:dyDescent="0.25">
      <c r="A3744" s="17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IFERROR(VLOOKUP(B3744,'Diciembre 2023'!$B$2:$G$5822,4,0),"")</f>
        <v>BM</v>
      </c>
    </row>
    <row r="3745" spans="1:7" x14ac:dyDescent="0.25">
      <c r="A3745" s="17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IFERROR(VLOOKUP(B3745,'Diciembre 2023'!$B$2:$G$5822,4,0),"")</f>
        <v>BM</v>
      </c>
    </row>
    <row r="3746" spans="1:7" x14ac:dyDescent="0.25">
      <c r="A3746" s="17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IFERROR(VLOOKUP(B3746,'Diciembre 2023'!$B$2:$G$5822,4,0),"")</f>
        <v>INACTBM</v>
      </c>
    </row>
    <row r="3747" spans="1:7" x14ac:dyDescent="0.25">
      <c r="A3747" s="17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IFERROR(VLOOKUP(B3747,'Diciembre 2023'!$B$2:$G$5822,4,0),"")</f>
        <v>BM</v>
      </c>
    </row>
    <row r="3748" spans="1:7" x14ac:dyDescent="0.25">
      <c r="A3748" s="17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IFERROR(VLOOKUP(B3748,'Diciembre 2023'!$B$2:$G$5822,4,0),"")</f>
        <v>INACTBM</v>
      </c>
    </row>
    <row r="3749" spans="1:7" x14ac:dyDescent="0.25">
      <c r="A3749" s="17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IFERROR(VLOOKUP(B3749,'Diciembre 2023'!$B$2:$G$5822,4,0),"")</f>
        <v>BM</v>
      </c>
    </row>
    <row r="3750" spans="1:7" x14ac:dyDescent="0.25">
      <c r="A3750" s="17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IFERROR(VLOOKUP(B3750,'Diciembre 2023'!$B$2:$G$5822,4,0),"")</f>
        <v>BM</v>
      </c>
    </row>
    <row r="3751" spans="1:7" x14ac:dyDescent="0.25">
      <c r="A3751" s="17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IFERROR(VLOOKUP(B3751,'Diciembre 2023'!$B$2:$G$5822,4,0),"")</f>
        <v>BM</v>
      </c>
    </row>
    <row r="3752" spans="1:7" x14ac:dyDescent="0.25">
      <c r="A3752" s="17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IFERROR(VLOOKUP(B3752,'Diciembre 2023'!$B$2:$G$5822,4,0),"")</f>
        <v>BM</v>
      </c>
    </row>
    <row r="3753" spans="1:7" x14ac:dyDescent="0.25">
      <c r="A3753" s="17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IFERROR(VLOOKUP(B3753,'Diciembre 2023'!$B$2:$G$5822,4,0),"")</f>
        <v>BM</v>
      </c>
    </row>
    <row r="3754" spans="1:7" x14ac:dyDescent="0.25">
      <c r="A3754" s="17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IFERROR(VLOOKUP(B3754,'Diciembre 2023'!$B$2:$G$5822,4,0),"")</f>
        <v>BM</v>
      </c>
    </row>
    <row r="3755" spans="1:7" x14ac:dyDescent="0.25">
      <c r="A3755" s="17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IFERROR(VLOOKUP(B3755,'Diciembre 2023'!$B$2:$G$5822,4,0),"")</f>
        <v>INACTBM</v>
      </c>
    </row>
    <row r="3756" spans="1:7" x14ac:dyDescent="0.25">
      <c r="A3756" s="17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IFERROR(VLOOKUP(B3756,'Diciembre 2023'!$B$2:$G$5822,4,0),"")</f>
        <v>BM</v>
      </c>
    </row>
    <row r="3757" spans="1:7" x14ac:dyDescent="0.25">
      <c r="A3757" s="17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IFERROR(VLOOKUP(B3757,'Diciembre 2023'!$B$2:$G$5822,4,0),"")</f>
        <v>BM</v>
      </c>
    </row>
    <row r="3758" spans="1:7" x14ac:dyDescent="0.25">
      <c r="A3758" s="17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IFERROR(VLOOKUP(B3758,'Diciembre 2023'!$B$2:$G$5822,4,0),"")</f>
        <v>BM</v>
      </c>
    </row>
    <row r="3759" spans="1:7" x14ac:dyDescent="0.25">
      <c r="A3759" s="17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IFERROR(VLOOKUP(B3759,'Diciembre 2023'!$B$2:$G$5822,4,0),"")</f>
        <v>INACTBM</v>
      </c>
    </row>
    <row r="3760" spans="1:7" x14ac:dyDescent="0.25">
      <c r="A3760" s="17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IFERROR(VLOOKUP(B3760,'Diciembre 2023'!$B$2:$G$5822,4,0),"")</f>
        <v>ACTPETS</v>
      </c>
    </row>
    <row r="3761" spans="1:7" x14ac:dyDescent="0.25">
      <c r="A3761" s="17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IFERROR(VLOOKUP(B3761,'Diciembre 2023'!$B$2:$G$5822,4,0),"")</f>
        <v>BM</v>
      </c>
    </row>
    <row r="3762" spans="1:7" x14ac:dyDescent="0.25">
      <c r="A3762" s="17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IFERROR(VLOOKUP(B3762,'Diciembre 2023'!$B$2:$G$5822,4,0),"")</f>
        <v>INACTBM</v>
      </c>
    </row>
    <row r="3763" spans="1:7" x14ac:dyDescent="0.25">
      <c r="A3763" s="17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IFERROR(VLOOKUP(B3763,'Diciembre 2023'!$B$2:$G$5822,4,0),"")</f>
        <v>BM</v>
      </c>
    </row>
    <row r="3764" spans="1:7" x14ac:dyDescent="0.25">
      <c r="A3764" s="17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IFERROR(VLOOKUP(B3764,'Diciembre 2023'!$B$2:$G$5822,4,0),"")</f>
        <v>INACTBM</v>
      </c>
    </row>
    <row r="3765" spans="1:7" x14ac:dyDescent="0.25">
      <c r="A3765" s="17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IFERROR(VLOOKUP(B3765,'Diciembre 2023'!$B$2:$G$5822,4,0),"")</f>
        <v>BM</v>
      </c>
    </row>
    <row r="3766" spans="1:7" x14ac:dyDescent="0.25">
      <c r="A3766" s="17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IFERROR(VLOOKUP(B3766,'Diciembre 2023'!$B$2:$G$5822,4,0),"")</f>
        <v>BM</v>
      </c>
    </row>
    <row r="3767" spans="1:7" x14ac:dyDescent="0.25">
      <c r="A3767" s="17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IFERROR(VLOOKUP(B3767,'Diciembre 2023'!$B$2:$G$5822,4,0),"")</f>
        <v>BM</v>
      </c>
    </row>
    <row r="3768" spans="1:7" x14ac:dyDescent="0.25">
      <c r="A3768" s="17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IFERROR(VLOOKUP(B3768,'Diciembre 2023'!$B$2:$G$5822,4,0),"")</f>
        <v>BM</v>
      </c>
    </row>
    <row r="3769" spans="1:7" x14ac:dyDescent="0.25">
      <c r="A3769" s="17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IFERROR(VLOOKUP(B3769,'Diciembre 2023'!$B$2:$G$5822,4,0),"")</f>
        <v>BM</v>
      </c>
    </row>
    <row r="3770" spans="1:7" x14ac:dyDescent="0.25">
      <c r="A3770" s="17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IFERROR(VLOOKUP(B3770,'Diciembre 2023'!$B$2:$G$5822,4,0),"")</f>
        <v>INACTBM</v>
      </c>
    </row>
    <row r="3771" spans="1:7" x14ac:dyDescent="0.25">
      <c r="A3771" s="17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IFERROR(VLOOKUP(B3771,'Diciembre 2023'!$B$2:$G$5822,4,0),"")</f>
        <v>BM</v>
      </c>
    </row>
    <row r="3772" spans="1:7" x14ac:dyDescent="0.25">
      <c r="A3772" s="17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IFERROR(VLOOKUP(B3772,'Diciembre 2023'!$B$2:$G$5822,4,0),"")</f>
        <v>ACTPETS</v>
      </c>
    </row>
    <row r="3773" spans="1:7" x14ac:dyDescent="0.25">
      <c r="A3773" s="17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IFERROR(VLOOKUP(B3773,'Diciembre 2023'!$B$2:$G$5822,4,0),"")</f>
        <v>INACTBM</v>
      </c>
    </row>
    <row r="3774" spans="1:7" x14ac:dyDescent="0.25">
      <c r="A3774" s="17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IFERROR(VLOOKUP(B3774,'Diciembre 2023'!$B$2:$G$5822,4,0),"")</f>
        <v>BM</v>
      </c>
    </row>
    <row r="3775" spans="1:7" x14ac:dyDescent="0.25">
      <c r="A3775" s="17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IFERROR(VLOOKUP(B3775,'Diciembre 2023'!$B$2:$G$5822,4,0),"")</f>
        <v>BM</v>
      </c>
    </row>
    <row r="3776" spans="1:7" x14ac:dyDescent="0.25">
      <c r="A3776" s="17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IFERROR(VLOOKUP(B3776,'Diciembre 2023'!$B$2:$G$5822,4,0),"")</f>
        <v>BM</v>
      </c>
    </row>
    <row r="3777" spans="1:7" x14ac:dyDescent="0.25">
      <c r="A3777" s="17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IFERROR(VLOOKUP(B3777,'Diciembre 2023'!$B$2:$G$5822,4,0),"")</f>
        <v>BM</v>
      </c>
    </row>
    <row r="3778" spans="1:7" x14ac:dyDescent="0.25">
      <c r="A3778" s="17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IFERROR(VLOOKUP(B3778,'Diciembre 2023'!$B$2:$G$5822,4,0),"")</f>
        <v>BM</v>
      </c>
    </row>
    <row r="3779" spans="1:7" x14ac:dyDescent="0.25">
      <c r="A3779" s="17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IFERROR(VLOOKUP(B3779,'Diciembre 2023'!$B$2:$G$5822,4,0),"")</f>
        <v>BM</v>
      </c>
    </row>
    <row r="3780" spans="1:7" x14ac:dyDescent="0.25">
      <c r="A3780" s="17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IFERROR(VLOOKUP(B3780,'Diciembre 2023'!$B$2:$G$5822,4,0),"")</f>
        <v>BM</v>
      </c>
    </row>
    <row r="3781" spans="1:7" x14ac:dyDescent="0.25">
      <c r="A3781" s="17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IFERROR(VLOOKUP(B3781,'Diciembre 2023'!$B$2:$G$5822,4,0),"")</f>
        <v>BM</v>
      </c>
    </row>
    <row r="3782" spans="1:7" x14ac:dyDescent="0.25">
      <c r="A3782" s="17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IFERROR(VLOOKUP(B3782,'Diciembre 2023'!$B$2:$G$5822,4,0),"")</f>
        <v>BM</v>
      </c>
    </row>
    <row r="3783" spans="1:7" x14ac:dyDescent="0.25">
      <c r="A3783" s="17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IFERROR(VLOOKUP(B3783,'Diciembre 2023'!$B$2:$G$5822,4,0),"")</f>
        <v>BM</v>
      </c>
    </row>
    <row r="3784" spans="1:7" x14ac:dyDescent="0.25">
      <c r="A3784" s="17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IFERROR(VLOOKUP(B3784,'Diciembre 2023'!$B$2:$G$5822,4,0),"")</f>
        <v>BM</v>
      </c>
    </row>
    <row r="3785" spans="1:7" x14ac:dyDescent="0.25">
      <c r="A3785" s="17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IFERROR(VLOOKUP(B3785,'Diciembre 2023'!$B$2:$G$5822,4,0),"")</f>
        <v>BM</v>
      </c>
    </row>
    <row r="3786" spans="1:7" x14ac:dyDescent="0.25">
      <c r="A3786" s="17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IFERROR(VLOOKUP(B3786,'Diciembre 2023'!$B$2:$G$5822,4,0),"")</f>
        <v>BM</v>
      </c>
    </row>
    <row r="3787" spans="1:7" x14ac:dyDescent="0.25">
      <c r="A3787" s="17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IFERROR(VLOOKUP(B3787,'Diciembre 2023'!$B$2:$G$5822,4,0),"")</f>
        <v>BM</v>
      </c>
    </row>
    <row r="3788" spans="1:7" x14ac:dyDescent="0.25">
      <c r="A3788" s="17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IFERROR(VLOOKUP(B3788,'Diciembre 2023'!$B$2:$G$5822,4,0),"")</f>
        <v>BM</v>
      </c>
    </row>
    <row r="3789" spans="1:7" x14ac:dyDescent="0.25">
      <c r="A3789" s="17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IFERROR(VLOOKUP(B3789,'Diciembre 2023'!$B$2:$G$5822,4,0),"")</f>
        <v>BM</v>
      </c>
    </row>
    <row r="3790" spans="1:7" x14ac:dyDescent="0.25">
      <c r="A3790" s="17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IFERROR(VLOOKUP(B3790,'Diciembre 2023'!$B$2:$G$5822,4,0),"")</f>
        <v>BM</v>
      </c>
    </row>
    <row r="3791" spans="1:7" x14ac:dyDescent="0.25">
      <c r="A3791" s="17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IFERROR(VLOOKUP(B3791,'Diciembre 2023'!$B$2:$G$5822,4,0),"")</f>
        <v>BM</v>
      </c>
    </row>
    <row r="3792" spans="1:7" x14ac:dyDescent="0.25">
      <c r="A3792" s="17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IFERROR(VLOOKUP(B3792,'Diciembre 2023'!$B$2:$G$5822,4,0),"")</f>
        <v>BM</v>
      </c>
    </row>
    <row r="3793" spans="1:7" x14ac:dyDescent="0.25">
      <c r="A3793" s="17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IFERROR(VLOOKUP(B3793,'Diciembre 2023'!$B$2:$G$5822,4,0),"")</f>
        <v>INACTBM</v>
      </c>
    </row>
    <row r="3794" spans="1:7" x14ac:dyDescent="0.25">
      <c r="A3794" s="17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IFERROR(VLOOKUP(B3794,'Diciembre 2023'!$B$2:$G$5822,4,0),"")</f>
        <v>BM</v>
      </c>
    </row>
    <row r="3795" spans="1:7" x14ac:dyDescent="0.25">
      <c r="A3795" s="17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IFERROR(VLOOKUP(B3795,'Diciembre 2023'!$B$2:$G$5822,4,0),"")</f>
        <v>BM</v>
      </c>
    </row>
    <row r="3796" spans="1:7" x14ac:dyDescent="0.25">
      <c r="A3796" s="17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IFERROR(VLOOKUP(B3796,'Diciembre 2023'!$B$2:$G$5822,4,0),"")</f>
        <v>BM</v>
      </c>
    </row>
    <row r="3797" spans="1:7" x14ac:dyDescent="0.25">
      <c r="A3797" s="17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IFERROR(VLOOKUP(B3797,'Diciembre 2023'!$B$2:$G$5822,4,0),"")</f>
        <v>BM</v>
      </c>
    </row>
    <row r="3798" spans="1:7" x14ac:dyDescent="0.25">
      <c r="A3798" s="17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IFERROR(VLOOKUP(B3798,'Diciembre 2023'!$B$2:$G$5822,4,0),"")</f>
        <v>BM</v>
      </c>
    </row>
    <row r="3799" spans="1:7" x14ac:dyDescent="0.25">
      <c r="A3799" s="17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IFERROR(VLOOKUP(B3799,'Diciembre 2023'!$B$2:$G$5822,4,0),"")</f>
        <v>BM</v>
      </c>
    </row>
    <row r="3800" spans="1:7" x14ac:dyDescent="0.25">
      <c r="A3800" s="17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IFERROR(VLOOKUP(B3800,'Diciembre 2023'!$B$2:$G$5822,4,0),"")</f>
        <v>BM</v>
      </c>
    </row>
    <row r="3801" spans="1:7" x14ac:dyDescent="0.25">
      <c r="A3801" s="17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IFERROR(VLOOKUP(B3801,'Diciembre 2023'!$B$2:$G$5822,4,0),"")</f>
        <v>BM</v>
      </c>
    </row>
    <row r="3802" spans="1:7" x14ac:dyDescent="0.25">
      <c r="A3802" s="17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IFERROR(VLOOKUP(B3802,'Diciembre 2023'!$B$2:$G$5822,4,0),"")</f>
        <v>BM</v>
      </c>
    </row>
    <row r="3803" spans="1:7" x14ac:dyDescent="0.25">
      <c r="A3803" s="17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IFERROR(VLOOKUP(B3803,'Diciembre 2023'!$B$2:$G$5822,4,0),"")</f>
        <v>BM</v>
      </c>
    </row>
    <row r="3804" spans="1:7" x14ac:dyDescent="0.25">
      <c r="A3804" s="17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IFERROR(VLOOKUP(B3804,'Diciembre 2023'!$B$2:$G$5822,4,0),"")</f>
        <v>BM</v>
      </c>
    </row>
    <row r="3805" spans="1:7" x14ac:dyDescent="0.25">
      <c r="A3805" s="17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IFERROR(VLOOKUP(B3805,'Diciembre 2023'!$B$2:$G$5822,4,0),"")</f>
        <v>BM</v>
      </c>
    </row>
    <row r="3806" spans="1:7" x14ac:dyDescent="0.25">
      <c r="A3806" s="17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IFERROR(VLOOKUP(B3806,'Diciembre 2023'!$B$2:$G$5822,4,0),"")</f>
        <v>BM</v>
      </c>
    </row>
    <row r="3807" spans="1:7" x14ac:dyDescent="0.25">
      <c r="A3807" s="17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IFERROR(VLOOKUP(B3807,'Diciembre 2023'!$B$2:$G$5822,4,0),"")</f>
        <v>BM</v>
      </c>
    </row>
    <row r="3808" spans="1:7" x14ac:dyDescent="0.25">
      <c r="A3808" s="17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IFERROR(VLOOKUP(B3808,'Diciembre 2023'!$B$2:$G$5822,4,0),"")</f>
        <v>BM</v>
      </c>
    </row>
    <row r="3809" spans="1:7" x14ac:dyDescent="0.25">
      <c r="A3809" s="17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IFERROR(VLOOKUP(B3809,'Diciembre 2023'!$B$2:$G$5822,4,0),"")</f>
        <v>BM</v>
      </c>
    </row>
    <row r="3810" spans="1:7" x14ac:dyDescent="0.25">
      <c r="A3810" s="17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IFERROR(VLOOKUP(B3810,'Diciembre 2023'!$B$2:$G$5822,4,0),"")</f>
        <v>BM</v>
      </c>
    </row>
    <row r="3811" spans="1:7" x14ac:dyDescent="0.25">
      <c r="A3811" s="17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IFERROR(VLOOKUP(B3811,'Diciembre 2023'!$B$2:$G$5822,4,0),"")</f>
        <v>BM</v>
      </c>
    </row>
    <row r="3812" spans="1:7" x14ac:dyDescent="0.25">
      <c r="A3812" s="17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IFERROR(VLOOKUP(B3812,'Diciembre 2023'!$B$2:$G$5822,4,0),"")</f>
        <v>BM</v>
      </c>
    </row>
    <row r="3813" spans="1:7" x14ac:dyDescent="0.25">
      <c r="A3813" s="17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IFERROR(VLOOKUP(B3813,'Diciembre 2023'!$B$2:$G$5822,4,0),"")</f>
        <v>BM</v>
      </c>
    </row>
    <row r="3814" spans="1:7" x14ac:dyDescent="0.25">
      <c r="A3814" s="17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IFERROR(VLOOKUP(B3814,'Diciembre 2023'!$B$2:$G$5822,4,0),"")</f>
        <v>ACTPETS</v>
      </c>
    </row>
    <row r="3815" spans="1:7" x14ac:dyDescent="0.25">
      <c r="A3815" s="17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IFERROR(VLOOKUP(B3815,'Diciembre 2023'!$B$2:$G$5822,4,0),"")</f>
        <v>BM</v>
      </c>
    </row>
    <row r="3816" spans="1:7" x14ac:dyDescent="0.25">
      <c r="A3816" s="17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IFERROR(VLOOKUP(B3816,'Diciembre 2023'!$B$2:$G$5822,4,0),"")</f>
        <v>BM</v>
      </c>
    </row>
    <row r="3817" spans="1:7" x14ac:dyDescent="0.25">
      <c r="A3817" s="17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IFERROR(VLOOKUP(B3817,'Diciembre 2023'!$B$2:$G$5822,4,0),"")</f>
        <v>BM</v>
      </c>
    </row>
    <row r="3818" spans="1:7" x14ac:dyDescent="0.25">
      <c r="A3818" s="17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IFERROR(VLOOKUP(B3818,'Diciembre 2023'!$B$2:$G$5822,4,0),"")</f>
        <v>BM</v>
      </c>
    </row>
    <row r="3819" spans="1:7" x14ac:dyDescent="0.25">
      <c r="A3819" s="17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IFERROR(VLOOKUP(B3819,'Diciembre 2023'!$B$2:$G$5822,4,0),"")</f>
        <v>INACTBM</v>
      </c>
    </row>
    <row r="3820" spans="1:7" x14ac:dyDescent="0.25">
      <c r="A3820" s="17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IFERROR(VLOOKUP(B3820,'Diciembre 2023'!$B$2:$G$5822,4,0),"")</f>
        <v>BM</v>
      </c>
    </row>
    <row r="3821" spans="1:7" x14ac:dyDescent="0.25">
      <c r="A3821" s="17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IFERROR(VLOOKUP(B3821,'Diciembre 2023'!$B$2:$G$5822,4,0),"")</f>
        <v>BM</v>
      </c>
    </row>
    <row r="3822" spans="1:7" x14ac:dyDescent="0.25">
      <c r="A3822" s="17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IFERROR(VLOOKUP(B3822,'Diciembre 2023'!$B$2:$G$5822,4,0),"")</f>
        <v>BM</v>
      </c>
    </row>
    <row r="3823" spans="1:7" x14ac:dyDescent="0.25">
      <c r="A3823" s="17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IFERROR(VLOOKUP(B3823,'Diciembre 2023'!$B$2:$G$5822,4,0),"")</f>
        <v>INACTBM</v>
      </c>
    </row>
    <row r="3824" spans="1:7" x14ac:dyDescent="0.25">
      <c r="A3824" s="17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IFERROR(VLOOKUP(B3824,'Diciembre 2023'!$B$2:$G$5822,4,0),"")</f>
        <v>BM</v>
      </c>
    </row>
    <row r="3825" spans="1:7" x14ac:dyDescent="0.25">
      <c r="A3825" s="17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IFERROR(VLOOKUP(B3825,'Diciembre 2023'!$B$2:$G$5822,4,0),"")</f>
        <v>INACTBM</v>
      </c>
    </row>
    <row r="3826" spans="1:7" x14ac:dyDescent="0.25">
      <c r="A3826" s="17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IFERROR(VLOOKUP(B3826,'Diciembre 2023'!$B$2:$G$5822,4,0),"")</f>
        <v>BM</v>
      </c>
    </row>
    <row r="3827" spans="1:7" x14ac:dyDescent="0.25">
      <c r="A3827" s="17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IFERROR(VLOOKUP(B3827,'Diciembre 2023'!$B$2:$G$5822,4,0),"")</f>
        <v>BM</v>
      </c>
    </row>
    <row r="3828" spans="1:7" x14ac:dyDescent="0.25">
      <c r="A3828" s="17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IFERROR(VLOOKUP(B3828,'Diciembre 2023'!$B$2:$G$5822,4,0),"")</f>
        <v>BM</v>
      </c>
    </row>
    <row r="3829" spans="1:7" x14ac:dyDescent="0.25">
      <c r="A3829" s="17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IFERROR(VLOOKUP(B3829,'Diciembre 2023'!$B$2:$G$5822,4,0),"")</f>
        <v>BM</v>
      </c>
    </row>
    <row r="3830" spans="1:7" x14ac:dyDescent="0.25">
      <c r="A3830" s="17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IFERROR(VLOOKUP(B3830,'Diciembre 2023'!$B$2:$G$5822,4,0),"")</f>
        <v>BM</v>
      </c>
    </row>
    <row r="3831" spans="1:7" x14ac:dyDescent="0.25">
      <c r="A3831" s="17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IFERROR(VLOOKUP(B3831,'Diciembre 2023'!$B$2:$G$5822,4,0),"")</f>
        <v>BM</v>
      </c>
    </row>
    <row r="3832" spans="1:7" x14ac:dyDescent="0.25">
      <c r="A3832" s="17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IFERROR(VLOOKUP(B3832,'Diciembre 2023'!$B$2:$G$5822,4,0),"")</f>
        <v>BM</v>
      </c>
    </row>
    <row r="3833" spans="1:7" x14ac:dyDescent="0.25">
      <c r="A3833" s="17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IFERROR(VLOOKUP(B3833,'Diciembre 2023'!$B$2:$G$5822,4,0),"")</f>
        <v>BM</v>
      </c>
    </row>
    <row r="3834" spans="1:7" x14ac:dyDescent="0.25">
      <c r="A3834" s="17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IFERROR(VLOOKUP(B3834,'Diciembre 2023'!$B$2:$G$5822,4,0),"")</f>
        <v>BM</v>
      </c>
    </row>
    <row r="3835" spans="1:7" x14ac:dyDescent="0.25">
      <c r="A3835" s="17"/>
      <c r="B3835" s="4" t="s">
        <v>3747</v>
      </c>
      <c r="C3835" s="4" t="s">
        <v>109</v>
      </c>
      <c r="D3835" s="4" t="s">
        <v>110</v>
      </c>
      <c r="E3835" s="4" t="s">
        <v>111</v>
      </c>
      <c r="F3835" s="4" t="s">
        <v>112</v>
      </c>
      <c r="G3835" s="5" t="str">
        <f>IFERROR(VLOOKUP(B3835,'Diciembre 2023'!$B$2:$G$5822,4,0),"")</f>
        <v>ACTINYA</v>
      </c>
    </row>
    <row r="3836" spans="1:7" x14ac:dyDescent="0.25">
      <c r="A3836" s="17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tr">
        <f>IFERROR(VLOOKUP(B3836,'Diciembre 2023'!$B$2:$G$5822,4,0),"")</f>
        <v>INACTBM</v>
      </c>
    </row>
    <row r="3837" spans="1:7" x14ac:dyDescent="0.25">
      <c r="A3837" s="17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IFERROR(VLOOKUP(B3837,'Diciembre 2023'!$B$2:$G$5822,4,0),"")</f>
        <v>BM</v>
      </c>
    </row>
    <row r="3838" spans="1:7" x14ac:dyDescent="0.25">
      <c r="A3838" s="17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IFERROR(VLOOKUP(B3838,'Diciembre 2023'!$B$2:$G$5822,4,0),"")</f>
        <v>BM</v>
      </c>
    </row>
    <row r="3839" spans="1:7" x14ac:dyDescent="0.25">
      <c r="A3839" s="17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IFERROR(VLOOKUP(B3839,'Diciembre 2023'!$B$2:$G$5822,4,0),"")</f>
        <v>BM</v>
      </c>
    </row>
    <row r="3840" spans="1:7" x14ac:dyDescent="0.25">
      <c r="A3840" s="17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IFERROR(VLOOKUP(B3840,'Diciembre 2023'!$B$2:$G$5822,4,0),"")</f>
        <v>BM</v>
      </c>
    </row>
    <row r="3841" spans="1:7" x14ac:dyDescent="0.25">
      <c r="A3841" s="17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IFERROR(VLOOKUP(B3841,'Diciembre 2023'!$B$2:$G$5822,4,0),"")</f>
        <v>BM</v>
      </c>
    </row>
    <row r="3842" spans="1:7" x14ac:dyDescent="0.25">
      <c r="A3842" s="17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tr">
        <f>IFERROR(VLOOKUP(B3842,'Diciembre 2023'!$B$2:$G$5822,4,0),"")</f>
        <v>INACTBM</v>
      </c>
    </row>
    <row r="3843" spans="1:7" x14ac:dyDescent="0.25">
      <c r="A3843" s="17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IFERROR(VLOOKUP(B3843,'Diciembre 2023'!$B$2:$G$5822,4,0),"")</f>
        <v>BM</v>
      </c>
    </row>
    <row r="3844" spans="1:7" x14ac:dyDescent="0.25">
      <c r="A3844" s="17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IFERROR(VLOOKUP(B3844,'Diciembre 2023'!$B$2:$G$5822,4,0),"")</f>
        <v>BM</v>
      </c>
    </row>
    <row r="3845" spans="1:7" x14ac:dyDescent="0.25">
      <c r="A3845" s="17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IFERROR(VLOOKUP(B3845,'Diciembre 2023'!$B$2:$G$5822,4,0),"")</f>
        <v>BM</v>
      </c>
    </row>
    <row r="3846" spans="1:7" x14ac:dyDescent="0.25">
      <c r="A3846" s="17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IFERROR(VLOOKUP(B3846,'Diciembre 2023'!$B$2:$G$5822,4,0),"")</f>
        <v>BM</v>
      </c>
    </row>
    <row r="3847" spans="1:7" x14ac:dyDescent="0.25">
      <c r="A3847" s="17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IFERROR(VLOOKUP(B3847,'Diciembre 2023'!$B$2:$G$5822,4,0),"")</f>
        <v>BM</v>
      </c>
    </row>
    <row r="3848" spans="1:7" x14ac:dyDescent="0.25">
      <c r="A3848" s="17"/>
      <c r="B3848" s="4" t="s">
        <v>3760</v>
      </c>
      <c r="C3848" s="4" t="s">
        <v>11</v>
      </c>
      <c r="D3848" s="4" t="s">
        <v>11</v>
      </c>
      <c r="E3848" s="4" t="s">
        <v>11</v>
      </c>
      <c r="F3848" s="4" t="s">
        <v>1187</v>
      </c>
      <c r="G3848" s="5" t="str">
        <f>IFERROR(VLOOKUP(B3848,'Diciembre 2023'!$B$2:$G$5822,4,0),"")</f>
        <v>BM</v>
      </c>
    </row>
    <row r="3849" spans="1:7" x14ac:dyDescent="0.25">
      <c r="A3849" s="17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IFERROR(VLOOKUP(B3849,'Diciembre 2023'!$B$2:$G$5822,4,0),"")</f>
        <v>BM</v>
      </c>
    </row>
    <row r="3850" spans="1:7" x14ac:dyDescent="0.25">
      <c r="A3850" s="17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IFERROR(VLOOKUP(B3850,'Diciembre 2023'!$B$2:$G$5822,4,0),"")</f>
        <v>BM</v>
      </c>
    </row>
    <row r="3851" spans="1:7" x14ac:dyDescent="0.25">
      <c r="A3851" s="17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IFERROR(VLOOKUP(B3851,'Diciembre 2023'!$B$2:$G$5822,4,0),"")</f>
        <v>BM</v>
      </c>
    </row>
    <row r="3852" spans="1:7" x14ac:dyDescent="0.25">
      <c r="A3852" s="17"/>
      <c r="B3852" s="4" t="s">
        <v>3764</v>
      </c>
      <c r="C3852" s="4" t="s">
        <v>11</v>
      </c>
      <c r="D3852" s="4" t="s">
        <v>11</v>
      </c>
      <c r="E3852" s="4" t="s">
        <v>11</v>
      </c>
      <c r="F3852" s="4" t="s">
        <v>1036</v>
      </c>
      <c r="G3852" s="5" t="str">
        <f>IFERROR(VLOOKUP(B3852,'Diciembre 2023'!$B$2:$G$5822,4,0),"")</f>
        <v>BM</v>
      </c>
    </row>
    <row r="3853" spans="1:7" x14ac:dyDescent="0.25">
      <c r="A3853" s="17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IFERROR(VLOOKUP(B3853,'Diciembre 2023'!$B$2:$G$5822,4,0),"")</f>
        <v>BM</v>
      </c>
    </row>
    <row r="3854" spans="1:7" x14ac:dyDescent="0.25">
      <c r="A3854" s="17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IFERROR(VLOOKUP(B3854,'Diciembre 2023'!$B$2:$G$5822,4,0),"")</f>
        <v>BM</v>
      </c>
    </row>
    <row r="3855" spans="1:7" x14ac:dyDescent="0.25">
      <c r="A3855" s="17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IFERROR(VLOOKUP(B3855,'Diciembre 2023'!$B$2:$G$5822,4,0),"")</f>
        <v>BM</v>
      </c>
    </row>
    <row r="3856" spans="1:7" x14ac:dyDescent="0.25">
      <c r="A3856" s="17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IFERROR(VLOOKUP(B3856,'Diciembre 2023'!$B$2:$G$5822,4,0),"")</f>
        <v>BM</v>
      </c>
    </row>
    <row r="3857" spans="1:7" x14ac:dyDescent="0.25">
      <c r="A3857" s="17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IFERROR(VLOOKUP(B3857,'Diciembre 2023'!$B$2:$G$5822,4,0),"")</f>
        <v>BM</v>
      </c>
    </row>
    <row r="3858" spans="1:7" x14ac:dyDescent="0.25">
      <c r="A3858" s="17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IFERROR(VLOOKUP(B3858,'Diciembre 2023'!$B$2:$G$5822,4,0),"")</f>
        <v>BM</v>
      </c>
    </row>
    <row r="3859" spans="1:7" x14ac:dyDescent="0.25">
      <c r="A3859" s="17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IFERROR(VLOOKUP(B3859,'Diciembre 2023'!$B$2:$G$5822,4,0),"")</f>
        <v>BM</v>
      </c>
    </row>
    <row r="3860" spans="1:7" x14ac:dyDescent="0.25">
      <c r="A3860" s="17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IFERROR(VLOOKUP(B3860,'Diciembre 2023'!$B$2:$G$5822,4,0),"")</f>
        <v>BM</v>
      </c>
    </row>
    <row r="3861" spans="1:7" x14ac:dyDescent="0.25">
      <c r="A3861" s="17"/>
      <c r="B3861" s="4" t="s">
        <v>3773</v>
      </c>
      <c r="C3861" s="4" t="s">
        <v>11</v>
      </c>
      <c r="D3861" s="4" t="s">
        <v>11</v>
      </c>
      <c r="E3861" s="4" t="s">
        <v>11</v>
      </c>
      <c r="F3861" s="4" t="s">
        <v>1187</v>
      </c>
      <c r="G3861" s="5" t="str">
        <f>IFERROR(VLOOKUP(B3861,'Diciembre 2023'!$B$2:$G$5822,4,0),"")</f>
        <v>BM</v>
      </c>
    </row>
    <row r="3862" spans="1:7" x14ac:dyDescent="0.25">
      <c r="A3862" s="17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IFERROR(VLOOKUP(B3862,'Diciembre 2023'!$B$2:$G$5822,4,0),"")</f>
        <v>BM</v>
      </c>
    </row>
    <row r="3863" spans="1:7" x14ac:dyDescent="0.25">
      <c r="A3863" s="17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IFERROR(VLOOKUP(B3863,'Diciembre 2023'!$B$2:$G$5822,4,0),"")</f>
        <v>BM</v>
      </c>
    </row>
    <row r="3864" spans="1:7" x14ac:dyDescent="0.25">
      <c r="A3864" s="17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IFERROR(VLOOKUP(B3864,'Diciembre 2023'!$B$2:$G$5822,4,0),"")</f>
        <v>BM</v>
      </c>
    </row>
    <row r="3865" spans="1:7" x14ac:dyDescent="0.25">
      <c r="A3865" s="17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IFERROR(VLOOKUP(B3865,'Diciembre 2023'!$B$2:$G$5822,4,0),"")</f>
        <v>BM</v>
      </c>
    </row>
    <row r="3866" spans="1:7" x14ac:dyDescent="0.25">
      <c r="A3866" s="17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IFERROR(VLOOKUP(B3866,'Diciembre 2023'!$B$2:$G$5822,4,0),"")</f>
        <v>BM</v>
      </c>
    </row>
    <row r="3867" spans="1:7" x14ac:dyDescent="0.25">
      <c r="A3867" s="17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IFERROR(VLOOKUP(B3867,'Diciembre 2023'!$B$2:$G$5822,4,0),"")</f>
        <v>BM</v>
      </c>
    </row>
    <row r="3868" spans="1:7" x14ac:dyDescent="0.25">
      <c r="A3868" s="17"/>
      <c r="B3868" s="4" t="s">
        <v>3780</v>
      </c>
      <c r="C3868" s="4" t="s">
        <v>11</v>
      </c>
      <c r="D3868" s="4" t="s">
        <v>11</v>
      </c>
      <c r="E3868" s="4" t="s">
        <v>11</v>
      </c>
      <c r="F3868" s="4" t="s">
        <v>137</v>
      </c>
      <c r="G3868" s="5" t="str">
        <f>IFERROR(VLOOKUP(B3868,'Diciembre 2023'!$B$2:$G$5822,4,0),"")</f>
        <v>BM</v>
      </c>
    </row>
    <row r="3869" spans="1:7" x14ac:dyDescent="0.25">
      <c r="A3869" s="17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IFERROR(VLOOKUP(B3869,'Diciembre 2023'!$B$2:$G$5822,4,0),"")</f>
        <v>BM</v>
      </c>
    </row>
    <row r="3870" spans="1:7" x14ac:dyDescent="0.25">
      <c r="A3870" s="17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IFERROR(VLOOKUP(B3870,'Diciembre 2023'!$B$2:$G$5822,4,0),"")</f>
        <v>BM</v>
      </c>
    </row>
    <row r="3871" spans="1:7" x14ac:dyDescent="0.25">
      <c r="A3871" s="17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IFERROR(VLOOKUP(B3871,'Diciembre 2023'!$B$2:$G$5822,4,0),"")</f>
        <v>BM</v>
      </c>
    </row>
    <row r="3872" spans="1:7" x14ac:dyDescent="0.25">
      <c r="A3872" s="17"/>
      <c r="B3872" s="4" t="s">
        <v>3784</v>
      </c>
      <c r="C3872" s="4" t="s">
        <v>18</v>
      </c>
      <c r="D3872" s="4" t="s">
        <v>19</v>
      </c>
      <c r="E3872" s="4" t="s">
        <v>20</v>
      </c>
      <c r="F3872" s="4" t="s">
        <v>21</v>
      </c>
      <c r="G3872" s="5" t="str">
        <f>IFERROR(VLOOKUP(B3872,'Diciembre 2023'!$B$2:$G$5822,4,0),"")</f>
        <v>INACTPETS</v>
      </c>
    </row>
    <row r="3873" spans="1:7" x14ac:dyDescent="0.25">
      <c r="A3873" s="17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IFERROR(VLOOKUP(B3873,'Diciembre 2023'!$B$2:$G$5822,4,0),"")</f>
        <v>BM</v>
      </c>
    </row>
    <row r="3874" spans="1:7" x14ac:dyDescent="0.25">
      <c r="A3874" s="17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IFERROR(VLOOKUP(B3874,'Diciembre 2023'!$B$2:$G$5822,4,0),"")</f>
        <v>BM</v>
      </c>
    </row>
    <row r="3875" spans="1:7" x14ac:dyDescent="0.25">
      <c r="A3875" s="17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IFERROR(VLOOKUP(B3875,'Diciembre 2023'!$B$2:$G$5822,4,0),"")</f>
        <v>BM</v>
      </c>
    </row>
    <row r="3876" spans="1:7" x14ac:dyDescent="0.25">
      <c r="A3876" s="17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IFERROR(VLOOKUP(B3876,'Diciembre 2023'!$B$2:$G$5822,4,0),"")</f>
        <v>BM</v>
      </c>
    </row>
    <row r="3877" spans="1:7" x14ac:dyDescent="0.25">
      <c r="A3877" s="17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IFERROR(VLOOKUP(B3877,'Diciembre 2023'!$B$2:$G$5822,4,0),"")</f>
        <v>BM</v>
      </c>
    </row>
    <row r="3878" spans="1:7" x14ac:dyDescent="0.25">
      <c r="A3878" s="17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IFERROR(VLOOKUP(B3878,'Diciembre 2023'!$B$2:$G$5822,4,0),"")</f>
        <v>ACTPETF</v>
      </c>
    </row>
    <row r="3879" spans="1:7" x14ac:dyDescent="0.25">
      <c r="A3879" s="17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IFERROR(VLOOKUP(B3879,'Diciembre 2023'!$B$2:$G$5822,4,0),"")</f>
        <v>BM</v>
      </c>
    </row>
    <row r="3880" spans="1:7" x14ac:dyDescent="0.25">
      <c r="A3880" s="17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IFERROR(VLOOKUP(B3880,'Diciembre 2023'!$B$2:$G$5822,4,0),"")</f>
        <v>BM</v>
      </c>
    </row>
    <row r="3881" spans="1:7" x14ac:dyDescent="0.25">
      <c r="A3881" s="17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IFERROR(VLOOKUP(B3881,'Diciembre 2023'!$B$2:$G$5822,4,0),"")</f>
        <v>BM</v>
      </c>
    </row>
    <row r="3882" spans="1:7" x14ac:dyDescent="0.25">
      <c r="A3882" s="17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IFERROR(VLOOKUP(B3882,'Diciembre 2023'!$B$2:$G$5822,4,0),"")</f>
        <v>BM</v>
      </c>
    </row>
    <row r="3883" spans="1:7" x14ac:dyDescent="0.25">
      <c r="A3883" s="17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IFERROR(VLOOKUP(B3883,'Diciembre 2023'!$B$2:$G$5822,4,0),"")</f>
        <v>BM</v>
      </c>
    </row>
    <row r="3884" spans="1:7" x14ac:dyDescent="0.25">
      <c r="A3884" s="17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IFERROR(VLOOKUP(B3884,'Diciembre 2023'!$B$2:$G$5822,4,0),"")</f>
        <v>BM</v>
      </c>
    </row>
    <row r="3885" spans="1:7" x14ac:dyDescent="0.25">
      <c r="A3885" s="17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tr">
        <f>IFERROR(VLOOKUP(B3885,'Diciembre 2023'!$B$2:$G$5822,4,0),"")</f>
        <v>INACTBM</v>
      </c>
    </row>
    <row r="3886" spans="1:7" x14ac:dyDescent="0.25">
      <c r="A3886" s="17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IFERROR(VLOOKUP(B3886,'Diciembre 2023'!$B$2:$G$5822,4,0),"")</f>
        <v>BM</v>
      </c>
    </row>
    <row r="3887" spans="1:7" x14ac:dyDescent="0.25">
      <c r="A3887" s="17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IFERROR(VLOOKUP(B3887,'Diciembre 2023'!$B$2:$G$5822,4,0),"")</f>
        <v>BM</v>
      </c>
    </row>
    <row r="3888" spans="1:7" x14ac:dyDescent="0.25">
      <c r="A3888" s="17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IFERROR(VLOOKUP(B3888,'Diciembre 2023'!$B$2:$G$5822,4,0),"")</f>
        <v>INACTBM</v>
      </c>
    </row>
    <row r="3889" spans="1:7" x14ac:dyDescent="0.25">
      <c r="A3889" s="17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IFERROR(VLOOKUP(B3889,'Diciembre 2023'!$B$2:$G$5822,4,0),"")</f>
        <v>BM</v>
      </c>
    </row>
    <row r="3890" spans="1:7" x14ac:dyDescent="0.25">
      <c r="A3890" s="17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IFERROR(VLOOKUP(B3890,'Diciembre 2023'!$B$2:$G$5822,4,0),"")</f>
        <v>BM</v>
      </c>
    </row>
    <row r="3891" spans="1:7" x14ac:dyDescent="0.25">
      <c r="A3891" s="17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IFERROR(VLOOKUP(B3891,'Diciembre 2023'!$B$2:$G$5822,4,0),"")</f>
        <v>BM</v>
      </c>
    </row>
    <row r="3892" spans="1:7" x14ac:dyDescent="0.25">
      <c r="A3892" s="17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IFERROR(VLOOKUP(B3892,'Diciembre 2023'!$B$2:$G$5822,4,0),"")</f>
        <v>INACTBM</v>
      </c>
    </row>
    <row r="3893" spans="1:7" x14ac:dyDescent="0.25">
      <c r="A3893" s="17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IFERROR(VLOOKUP(B3893,'Diciembre 2023'!$B$2:$G$5822,4,0),"")</f>
        <v>BM</v>
      </c>
    </row>
    <row r="3894" spans="1:7" x14ac:dyDescent="0.25">
      <c r="A3894" s="17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IFERROR(VLOOKUP(B3894,'Diciembre 2023'!$B$2:$G$5822,4,0),"")</f>
        <v>BM</v>
      </c>
    </row>
    <row r="3895" spans="1:7" x14ac:dyDescent="0.25">
      <c r="A3895" s="17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IFERROR(VLOOKUP(B3895,'Diciembre 2023'!$B$2:$G$5822,4,0),"")</f>
        <v>BM</v>
      </c>
    </row>
    <row r="3896" spans="1:7" x14ac:dyDescent="0.25">
      <c r="A3896" s="17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IFERROR(VLOOKUP(B3896,'Diciembre 2023'!$B$2:$G$5822,4,0),"")</f>
        <v>BM</v>
      </c>
    </row>
    <row r="3897" spans="1:7" x14ac:dyDescent="0.25">
      <c r="A3897" s="17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IFERROR(VLOOKUP(B3897,'Diciembre 2023'!$B$2:$G$5822,4,0),"")</f>
        <v>BM</v>
      </c>
    </row>
    <row r="3898" spans="1:7" x14ac:dyDescent="0.25">
      <c r="A3898" s="17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IFERROR(VLOOKUP(B3898,'Diciembre 2023'!$B$2:$G$5822,4,0),"")</f>
        <v>BM</v>
      </c>
    </row>
    <row r="3899" spans="1:7" x14ac:dyDescent="0.25">
      <c r="A3899" s="17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IFERROR(VLOOKUP(B3899,'Diciembre 2023'!$B$2:$G$5822,4,0),"")</f>
        <v>BM</v>
      </c>
    </row>
    <row r="3900" spans="1:7" x14ac:dyDescent="0.25">
      <c r="A3900" s="17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IFERROR(VLOOKUP(B3900,'Diciembre 2023'!$B$2:$G$5822,4,0),"")</f>
        <v>BM</v>
      </c>
    </row>
    <row r="3901" spans="1:7" x14ac:dyDescent="0.25">
      <c r="A3901" s="17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IFERROR(VLOOKUP(B3901,'Diciembre 2023'!$B$2:$G$5822,4,0),"")</f>
        <v>BM</v>
      </c>
    </row>
    <row r="3902" spans="1:7" x14ac:dyDescent="0.25">
      <c r="A3902" s="17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IFERROR(VLOOKUP(B3902,'Diciembre 2023'!$B$2:$G$5822,4,0),"")</f>
        <v>INACTBM</v>
      </c>
    </row>
    <row r="3903" spans="1:7" x14ac:dyDescent="0.25">
      <c r="A3903" s="17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IFERROR(VLOOKUP(B3903,'Diciembre 2023'!$B$2:$G$5822,4,0),"")</f>
        <v>BM</v>
      </c>
    </row>
    <row r="3904" spans="1:7" x14ac:dyDescent="0.25">
      <c r="A3904" s="17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IFERROR(VLOOKUP(B3904,'Diciembre 2023'!$B$2:$G$5822,4,0),"")</f>
        <v>BM</v>
      </c>
    </row>
    <row r="3905" spans="1:7" x14ac:dyDescent="0.25">
      <c r="A3905" s="17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IFERROR(VLOOKUP(B3905,'Diciembre 2023'!$B$2:$G$5822,4,0),"")</f>
        <v>BM</v>
      </c>
    </row>
    <row r="3906" spans="1:7" x14ac:dyDescent="0.25">
      <c r="A3906" s="17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IFERROR(VLOOKUP(B3906,'Diciembre 2023'!$B$2:$G$5822,4,0),"")</f>
        <v>BM</v>
      </c>
    </row>
    <row r="3907" spans="1:7" x14ac:dyDescent="0.25">
      <c r="A3907" s="17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IFERROR(VLOOKUP(B3907,'Diciembre 2023'!$B$2:$G$5822,4,0),"")</f>
        <v>BM</v>
      </c>
    </row>
    <row r="3908" spans="1:7" x14ac:dyDescent="0.25">
      <c r="A3908" s="17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IFERROR(VLOOKUP(B3908,'Diciembre 2023'!$B$2:$G$5822,4,0),"")</f>
        <v>BM</v>
      </c>
    </row>
    <row r="3909" spans="1:7" x14ac:dyDescent="0.25">
      <c r="A3909" s="17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IFERROR(VLOOKUP(B3909,'Diciembre 2023'!$B$2:$G$5822,4,0),"")</f>
        <v>BM</v>
      </c>
    </row>
    <row r="3910" spans="1:7" x14ac:dyDescent="0.25">
      <c r="A3910" s="17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IFERROR(VLOOKUP(B3910,'Diciembre 2023'!$B$2:$G$5822,4,0),"")</f>
        <v>BM</v>
      </c>
    </row>
    <row r="3911" spans="1:7" x14ac:dyDescent="0.25">
      <c r="A3911" s="17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IFERROR(VLOOKUP(B3911,'Diciembre 2023'!$B$2:$G$5822,4,0),"")</f>
        <v>BM</v>
      </c>
    </row>
    <row r="3912" spans="1:7" x14ac:dyDescent="0.25">
      <c r="A3912" s="17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IFERROR(VLOOKUP(B3912,'Diciembre 2023'!$B$2:$G$5822,4,0),"")</f>
        <v>BM</v>
      </c>
    </row>
    <row r="3913" spans="1:7" x14ac:dyDescent="0.25">
      <c r="A3913" s="17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IFERROR(VLOOKUP(B3913,'Diciembre 2023'!$B$2:$G$5822,4,0),"")</f>
        <v>BM</v>
      </c>
    </row>
    <row r="3914" spans="1:7" x14ac:dyDescent="0.25">
      <c r="A3914" s="17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IFERROR(VLOOKUP(B3914,'Diciembre 2023'!$B$2:$G$5822,4,0),"")</f>
        <v>BM</v>
      </c>
    </row>
    <row r="3915" spans="1:7" x14ac:dyDescent="0.25">
      <c r="A3915" s="17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IFERROR(VLOOKUP(B3915,'Diciembre 2023'!$B$2:$G$5822,4,0),"")</f>
        <v>BM</v>
      </c>
    </row>
    <row r="3916" spans="1:7" x14ac:dyDescent="0.25">
      <c r="A3916" s="17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IFERROR(VLOOKUP(B3916,'Diciembre 2023'!$B$2:$G$5822,4,0),"")</f>
        <v>INACTBM</v>
      </c>
    </row>
    <row r="3917" spans="1:7" x14ac:dyDescent="0.25">
      <c r="A3917" s="17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IFERROR(VLOOKUP(B3917,'Diciembre 2023'!$B$2:$G$5822,4,0),"")</f>
        <v>BM</v>
      </c>
    </row>
    <row r="3918" spans="1:7" x14ac:dyDescent="0.25">
      <c r="A3918" s="17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IFERROR(VLOOKUP(B3918,'Diciembre 2023'!$B$2:$G$5822,4,0),"")</f>
        <v>BM</v>
      </c>
    </row>
    <row r="3919" spans="1:7" x14ac:dyDescent="0.25">
      <c r="A3919" s="17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IFERROR(VLOOKUP(B3919,'Diciembre 2023'!$B$2:$G$5822,4,0),"")</f>
        <v>BM</v>
      </c>
    </row>
    <row r="3920" spans="1:7" x14ac:dyDescent="0.25">
      <c r="A3920" s="17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IFERROR(VLOOKUP(B3920,'Diciembre 2023'!$B$2:$G$5822,4,0),"")</f>
        <v>BM</v>
      </c>
    </row>
    <row r="3921" spans="1:7" x14ac:dyDescent="0.25">
      <c r="A3921" s="17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IFERROR(VLOOKUP(B3921,'Diciembre 2023'!$B$2:$G$5822,4,0),"")</f>
        <v>BM</v>
      </c>
    </row>
    <row r="3922" spans="1:7" x14ac:dyDescent="0.25">
      <c r="A3922" s="17"/>
      <c r="B3922" s="4" t="s">
        <v>3834</v>
      </c>
      <c r="C3922" s="4" t="s">
        <v>35</v>
      </c>
      <c r="D3922" s="4" t="s">
        <v>35</v>
      </c>
      <c r="E3922" s="4" t="s">
        <v>57</v>
      </c>
      <c r="F3922" s="4" t="s">
        <v>1931</v>
      </c>
      <c r="G3922" s="5" t="str">
        <f>IFERROR(VLOOKUP(B3922,'Diciembre 2023'!$B$2:$G$5822,4,0),"")</f>
        <v>INACTBM</v>
      </c>
    </row>
    <row r="3923" spans="1:7" x14ac:dyDescent="0.25">
      <c r="A3923" s="17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IFERROR(VLOOKUP(B3923,'Diciembre 2023'!$B$2:$G$5822,4,0),"")</f>
        <v>BM</v>
      </c>
    </row>
    <row r="3924" spans="1:7" x14ac:dyDescent="0.25">
      <c r="A3924" s="17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IFERROR(VLOOKUP(B3924,'Diciembre 2023'!$B$2:$G$5822,4,0),"")</f>
        <v>BM</v>
      </c>
    </row>
    <row r="3925" spans="1:7" x14ac:dyDescent="0.25">
      <c r="A3925" s="17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IFERROR(VLOOKUP(B3925,'Diciembre 2023'!$B$2:$G$5822,4,0),"")</f>
        <v>BM</v>
      </c>
    </row>
    <row r="3926" spans="1:7" x14ac:dyDescent="0.25">
      <c r="A3926" s="17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IFERROR(VLOOKUP(B3926,'Diciembre 2023'!$B$2:$G$5822,4,0),"")</f>
        <v>BM</v>
      </c>
    </row>
    <row r="3927" spans="1:7" x14ac:dyDescent="0.25">
      <c r="A3927" s="17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IFERROR(VLOOKUP(B3927,'Diciembre 2023'!$B$2:$G$5822,4,0),"")</f>
        <v>BM</v>
      </c>
    </row>
    <row r="3928" spans="1:7" x14ac:dyDescent="0.25">
      <c r="A3928" s="17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IFERROR(VLOOKUP(B3928,'Diciembre 2023'!$B$2:$G$5822,4,0),"")</f>
        <v>BM</v>
      </c>
    </row>
    <row r="3929" spans="1:7" x14ac:dyDescent="0.25">
      <c r="A3929" s="17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IFERROR(VLOOKUP(B3929,'Diciembre 2023'!$B$2:$G$5822,4,0),"")</f>
        <v>BM</v>
      </c>
    </row>
    <row r="3930" spans="1:7" x14ac:dyDescent="0.25">
      <c r="A3930" s="17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IFERROR(VLOOKUP(B3930,'Diciembre 2023'!$B$2:$G$5822,4,0),"")</f>
        <v>BM</v>
      </c>
    </row>
    <row r="3931" spans="1:7" x14ac:dyDescent="0.25">
      <c r="A3931" s="17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IFERROR(VLOOKUP(B3931,'Diciembre 2023'!$B$2:$G$5822,4,0),"")</f>
        <v>BM</v>
      </c>
    </row>
    <row r="3932" spans="1:7" x14ac:dyDescent="0.25">
      <c r="A3932" s="17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IFERROR(VLOOKUP(B3932,'Diciembre 2023'!$B$2:$G$5822,4,0),"")</f>
        <v>BM</v>
      </c>
    </row>
    <row r="3933" spans="1:7" x14ac:dyDescent="0.25">
      <c r="A3933" s="17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IFERROR(VLOOKUP(B3933,'Diciembre 2023'!$B$2:$G$5822,4,0),"")</f>
        <v>BM</v>
      </c>
    </row>
    <row r="3934" spans="1:7" x14ac:dyDescent="0.25">
      <c r="A3934" s="17"/>
      <c r="B3934" s="4" t="s">
        <v>3846</v>
      </c>
      <c r="C3934" s="4" t="s">
        <v>11</v>
      </c>
      <c r="D3934" s="4" t="s">
        <v>11</v>
      </c>
      <c r="E3934" s="4" t="s">
        <v>11</v>
      </c>
      <c r="F3934" s="4" t="s">
        <v>2150</v>
      </c>
      <c r="G3934" s="5" t="str">
        <f>IFERROR(VLOOKUP(B3934,'Diciembre 2023'!$B$2:$G$5822,4,0),"")</f>
        <v>BM</v>
      </c>
    </row>
    <row r="3935" spans="1:7" x14ac:dyDescent="0.25">
      <c r="A3935" s="17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IFERROR(VLOOKUP(B3935,'Diciembre 2023'!$B$2:$G$5822,4,0),"")</f>
        <v>BM</v>
      </c>
    </row>
    <row r="3936" spans="1:7" x14ac:dyDescent="0.25">
      <c r="A3936" s="17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tr">
        <f>IFERROR(VLOOKUP(B3936,'Diciembre 2023'!$B$2:$G$5822,4,0),"")</f>
        <v>BM</v>
      </c>
    </row>
    <row r="3937" spans="1:7" x14ac:dyDescent="0.25">
      <c r="A3937" s="17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IFERROR(VLOOKUP(B3937,'Diciembre 2023'!$B$2:$G$5822,4,0),"")</f>
        <v>BM</v>
      </c>
    </row>
    <row r="3938" spans="1:7" x14ac:dyDescent="0.25">
      <c r="A3938" s="17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IFERROR(VLOOKUP(B3938,'Diciembre 2023'!$B$2:$G$5822,4,0),"")</f>
        <v>BM</v>
      </c>
    </row>
    <row r="3939" spans="1:7" x14ac:dyDescent="0.25">
      <c r="A3939" s="17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IFERROR(VLOOKUP(B3939,'Diciembre 2023'!$B$2:$G$5822,4,0),"")</f>
        <v>BM</v>
      </c>
    </row>
    <row r="3940" spans="1:7" x14ac:dyDescent="0.25">
      <c r="A3940" s="17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IFERROR(VLOOKUP(B3940,'Diciembre 2023'!$B$2:$G$5822,4,0),"")</f>
        <v>BM</v>
      </c>
    </row>
    <row r="3941" spans="1:7" x14ac:dyDescent="0.25">
      <c r="A3941" s="17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IFERROR(VLOOKUP(B3941,'Diciembre 2023'!$B$2:$G$5822,4,0),"")</f>
        <v>BM</v>
      </c>
    </row>
    <row r="3942" spans="1:7" x14ac:dyDescent="0.25">
      <c r="A3942" s="17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IFERROR(VLOOKUP(B3942,'Diciembre 2023'!$B$2:$G$5822,4,0),"")</f>
        <v>ACTPETS</v>
      </c>
    </row>
    <row r="3943" spans="1:7" x14ac:dyDescent="0.25">
      <c r="A3943" s="17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IFERROR(VLOOKUP(B3943,'Diciembre 2023'!$B$2:$G$5822,4,0),"")</f>
        <v>BM</v>
      </c>
    </row>
    <row r="3944" spans="1:7" x14ac:dyDescent="0.25">
      <c r="A3944" s="17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IFERROR(VLOOKUP(B3944,'Diciembre 2023'!$B$2:$G$5822,4,0),"")</f>
        <v>BM</v>
      </c>
    </row>
    <row r="3945" spans="1:7" x14ac:dyDescent="0.25">
      <c r="A3945" s="17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IFERROR(VLOOKUP(B3945,'Diciembre 2023'!$B$2:$G$5822,4,0),"")</f>
        <v>BM</v>
      </c>
    </row>
    <row r="3946" spans="1:7" x14ac:dyDescent="0.25">
      <c r="A3946" s="17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IFERROR(VLOOKUP(B3946,'Diciembre 2023'!$B$2:$G$5822,4,0),"")</f>
        <v>BM</v>
      </c>
    </row>
    <row r="3947" spans="1:7" x14ac:dyDescent="0.25">
      <c r="A3947" s="17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IFERROR(VLOOKUP(B3947,'Diciembre 2023'!$B$2:$G$5822,4,0),"")</f>
        <v>BM</v>
      </c>
    </row>
    <row r="3948" spans="1:7" x14ac:dyDescent="0.25">
      <c r="A3948" s="17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IFERROR(VLOOKUP(B3948,'Diciembre 2023'!$B$2:$G$5822,4,0),"")</f>
        <v>BM</v>
      </c>
    </row>
    <row r="3949" spans="1:7" x14ac:dyDescent="0.25">
      <c r="A3949" s="17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IFERROR(VLOOKUP(B3949,'Diciembre 2023'!$B$2:$G$5822,4,0),"")</f>
        <v>BM</v>
      </c>
    </row>
    <row r="3950" spans="1:7" x14ac:dyDescent="0.25">
      <c r="A3950" s="17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IFERROR(VLOOKUP(B3950,'Diciembre 2023'!$B$2:$G$5822,4,0),"")</f>
        <v>BM</v>
      </c>
    </row>
    <row r="3951" spans="1:7" x14ac:dyDescent="0.25">
      <c r="A3951" s="17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IFERROR(VLOOKUP(B3951,'Diciembre 2023'!$B$2:$G$5822,4,0),"")</f>
        <v>BM</v>
      </c>
    </row>
    <row r="3952" spans="1:7" x14ac:dyDescent="0.25">
      <c r="A3952" s="17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IFERROR(VLOOKUP(B3952,'Diciembre 2023'!$B$2:$G$5822,4,0),"")</f>
        <v>INACTBM</v>
      </c>
    </row>
    <row r="3953" spans="1:7" x14ac:dyDescent="0.25">
      <c r="A3953" s="17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IFERROR(VLOOKUP(B3953,'Diciembre 2023'!$B$2:$G$5822,4,0),"")</f>
        <v>BM</v>
      </c>
    </row>
    <row r="3954" spans="1:7" x14ac:dyDescent="0.25">
      <c r="A3954" s="17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IFERROR(VLOOKUP(B3954,'Diciembre 2023'!$B$2:$G$5822,4,0),"")</f>
        <v>BM</v>
      </c>
    </row>
    <row r="3955" spans="1:7" x14ac:dyDescent="0.25">
      <c r="A3955" s="17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IFERROR(VLOOKUP(B3955,'Diciembre 2023'!$B$2:$G$5822,4,0),"")</f>
        <v>BM</v>
      </c>
    </row>
    <row r="3956" spans="1:7" x14ac:dyDescent="0.25">
      <c r="A3956" s="17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IFERROR(VLOOKUP(B3956,'Diciembre 2023'!$B$2:$G$5822,4,0),"")</f>
        <v>BM</v>
      </c>
    </row>
    <row r="3957" spans="1:7" x14ac:dyDescent="0.25">
      <c r="A3957" s="17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IFERROR(VLOOKUP(B3957,'Diciembre 2023'!$B$2:$G$5822,4,0),"")</f>
        <v>BM</v>
      </c>
    </row>
    <row r="3958" spans="1:7" x14ac:dyDescent="0.25">
      <c r="A3958" s="17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IFERROR(VLOOKUP(B3958,'Diciembre 2023'!$B$2:$G$5822,4,0),"")</f>
        <v>BM</v>
      </c>
    </row>
    <row r="3959" spans="1:7" x14ac:dyDescent="0.25">
      <c r="A3959" s="17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IFERROR(VLOOKUP(B3959,'Diciembre 2023'!$B$2:$G$5822,4,0),"")</f>
        <v>INACTBM</v>
      </c>
    </row>
    <row r="3960" spans="1:7" x14ac:dyDescent="0.25">
      <c r="A3960" s="17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IFERROR(VLOOKUP(B3960,'Diciembre 2023'!$B$2:$G$5822,4,0),"")</f>
        <v>BM</v>
      </c>
    </row>
    <row r="3961" spans="1:7" x14ac:dyDescent="0.25">
      <c r="A3961" s="17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IFERROR(VLOOKUP(B3961,'Diciembre 2023'!$B$2:$G$5822,4,0),"")</f>
        <v>BM</v>
      </c>
    </row>
    <row r="3962" spans="1:7" x14ac:dyDescent="0.25">
      <c r="A3962" s="17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IFERROR(VLOOKUP(B3962,'Diciembre 2023'!$B$2:$G$5822,4,0),"")</f>
        <v>INACTBM</v>
      </c>
    </row>
    <row r="3963" spans="1:7" x14ac:dyDescent="0.25">
      <c r="A3963" s="17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IFERROR(VLOOKUP(B3963,'Diciembre 2023'!$B$2:$G$5822,4,0),"")</f>
        <v>BM</v>
      </c>
    </row>
    <row r="3964" spans="1:7" x14ac:dyDescent="0.25">
      <c r="A3964" s="17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IFERROR(VLOOKUP(B3964,'Diciembre 2023'!$B$2:$G$5822,4,0),"")</f>
        <v>BM</v>
      </c>
    </row>
    <row r="3965" spans="1:7" x14ac:dyDescent="0.25">
      <c r="A3965" s="17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IFERROR(VLOOKUP(B3965,'Diciembre 2023'!$B$2:$G$5822,4,0),"")</f>
        <v>BM</v>
      </c>
    </row>
    <row r="3966" spans="1:7" x14ac:dyDescent="0.25">
      <c r="A3966" s="17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IFERROR(VLOOKUP(B3966,'Diciembre 2023'!$B$2:$G$5822,4,0),"")</f>
        <v>INACTBM</v>
      </c>
    </row>
    <row r="3967" spans="1:7" x14ac:dyDescent="0.25">
      <c r="A3967" s="17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IFERROR(VLOOKUP(B3967,'Diciembre 2023'!$B$2:$G$5822,4,0),"")</f>
        <v>BM</v>
      </c>
    </row>
    <row r="3968" spans="1:7" x14ac:dyDescent="0.25">
      <c r="A3968" s="17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IFERROR(VLOOKUP(B3968,'Diciembre 2023'!$B$2:$G$5822,4,0),"")</f>
        <v>BM</v>
      </c>
    </row>
    <row r="3969" spans="1:7" x14ac:dyDescent="0.25">
      <c r="A3969" s="17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IFERROR(VLOOKUP(B3969,'Diciembre 2023'!$B$2:$G$5822,4,0),"")</f>
        <v>BM</v>
      </c>
    </row>
    <row r="3970" spans="1:7" x14ac:dyDescent="0.25">
      <c r="A3970" s="17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IFERROR(VLOOKUP(B3970,'Diciembre 2023'!$B$2:$G$5822,4,0),"")</f>
        <v>BM</v>
      </c>
    </row>
    <row r="3971" spans="1:7" x14ac:dyDescent="0.25">
      <c r="A3971" s="17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IFERROR(VLOOKUP(B3971,'Diciembre 2023'!$B$2:$G$5822,4,0),"")</f>
        <v>BM</v>
      </c>
    </row>
    <row r="3972" spans="1:7" x14ac:dyDescent="0.25">
      <c r="A3972" s="17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IFERROR(VLOOKUP(B3972,'Diciembre 2023'!$B$2:$G$5822,4,0),"")</f>
        <v>INACTBM</v>
      </c>
    </row>
    <row r="3973" spans="1:7" x14ac:dyDescent="0.25">
      <c r="A3973" s="17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IFERROR(VLOOKUP(B3973,'Diciembre 2023'!$B$2:$G$5822,4,0),"")</f>
        <v>INACTBM</v>
      </c>
    </row>
    <row r="3974" spans="1:7" x14ac:dyDescent="0.25">
      <c r="A3974" s="17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IFERROR(VLOOKUP(B3974,'Diciembre 2023'!$B$2:$G$5822,4,0),"")</f>
        <v>BM</v>
      </c>
    </row>
    <row r="3975" spans="1:7" x14ac:dyDescent="0.25">
      <c r="A3975" s="17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IFERROR(VLOOKUP(B3975,'Diciembre 2023'!$B$2:$G$5822,4,0),"")</f>
        <v>BM</v>
      </c>
    </row>
    <row r="3976" spans="1:7" x14ac:dyDescent="0.25">
      <c r="A3976" s="17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IFERROR(VLOOKUP(B3976,'Diciembre 2023'!$B$2:$G$5822,4,0),"")</f>
        <v>BM</v>
      </c>
    </row>
    <row r="3977" spans="1:7" x14ac:dyDescent="0.25">
      <c r="A3977" s="17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IFERROR(VLOOKUP(B3977,'Diciembre 2023'!$B$2:$G$5822,4,0),"")</f>
        <v>BM</v>
      </c>
    </row>
    <row r="3978" spans="1:7" x14ac:dyDescent="0.25">
      <c r="A3978" s="17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IFERROR(VLOOKUP(B3978,'Diciembre 2023'!$B$2:$G$5822,4,0),"")</f>
        <v>BM</v>
      </c>
    </row>
    <row r="3979" spans="1:7" x14ac:dyDescent="0.25">
      <c r="A3979" s="17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IFERROR(VLOOKUP(B3979,'Diciembre 2023'!$B$2:$G$5822,4,0),"")</f>
        <v>BM</v>
      </c>
    </row>
    <row r="3980" spans="1:7" x14ac:dyDescent="0.25">
      <c r="A3980" s="17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IFERROR(VLOOKUP(B3980,'Diciembre 2023'!$B$2:$G$5822,4,0),"")</f>
        <v>BM</v>
      </c>
    </row>
    <row r="3981" spans="1:7" x14ac:dyDescent="0.25">
      <c r="A3981" s="17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IFERROR(VLOOKUP(B3981,'Diciembre 2023'!$B$2:$G$5822,4,0),"")</f>
        <v>BM</v>
      </c>
    </row>
    <row r="3982" spans="1:7" x14ac:dyDescent="0.25">
      <c r="A3982" s="17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IFERROR(VLOOKUP(B3982,'Diciembre 2023'!$B$2:$G$5822,4,0),"")</f>
        <v>BM</v>
      </c>
    </row>
    <row r="3983" spans="1:7" x14ac:dyDescent="0.25">
      <c r="A3983" s="17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IFERROR(VLOOKUP(B3983,'Diciembre 2023'!$B$2:$G$5822,4,0),"")</f>
        <v>BM</v>
      </c>
    </row>
    <row r="3984" spans="1:7" x14ac:dyDescent="0.25">
      <c r="A3984" s="17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IFERROR(VLOOKUP(B3984,'Diciembre 2023'!$B$2:$G$5822,4,0),"")</f>
        <v>BM</v>
      </c>
    </row>
    <row r="3985" spans="1:7" x14ac:dyDescent="0.25">
      <c r="A3985" s="17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IFERROR(VLOOKUP(B3985,'Diciembre 2023'!$B$2:$G$5822,4,0),"")</f>
        <v>INACTBM</v>
      </c>
    </row>
    <row r="3986" spans="1:7" x14ac:dyDescent="0.25">
      <c r="A3986" s="17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IFERROR(VLOOKUP(B3986,'Diciembre 2023'!$B$2:$G$5822,4,0),"")</f>
        <v>BM</v>
      </c>
    </row>
    <row r="3987" spans="1:7" x14ac:dyDescent="0.25">
      <c r="A3987" s="17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IFERROR(VLOOKUP(B3987,'Diciembre 2023'!$B$2:$G$5822,4,0),"")</f>
        <v>BM</v>
      </c>
    </row>
    <row r="3988" spans="1:7" x14ac:dyDescent="0.25">
      <c r="A3988" s="17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IFERROR(VLOOKUP(B3988,'Diciembre 2023'!$B$2:$G$5822,4,0),"")</f>
        <v>BM</v>
      </c>
    </row>
    <row r="3989" spans="1:7" x14ac:dyDescent="0.25">
      <c r="A3989" s="17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IFERROR(VLOOKUP(B3989,'Diciembre 2023'!$B$2:$G$5822,4,0),"")</f>
        <v>INACTBM</v>
      </c>
    </row>
    <row r="3990" spans="1:7" x14ac:dyDescent="0.25">
      <c r="A3990" s="17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IFERROR(VLOOKUP(B3990,'Diciembre 2023'!$B$2:$G$5822,4,0),"")</f>
        <v>BM</v>
      </c>
    </row>
    <row r="3991" spans="1:7" x14ac:dyDescent="0.25">
      <c r="A3991" s="17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IFERROR(VLOOKUP(B3991,'Diciembre 2023'!$B$2:$G$5822,4,0),"")</f>
        <v>BM</v>
      </c>
    </row>
    <row r="3992" spans="1:7" x14ac:dyDescent="0.25">
      <c r="A3992" s="17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IFERROR(VLOOKUP(B3992,'Diciembre 2023'!$B$2:$G$5822,4,0),"")</f>
        <v>BM</v>
      </c>
    </row>
    <row r="3993" spans="1:7" x14ac:dyDescent="0.25">
      <c r="A3993" s="17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IFERROR(VLOOKUP(B3993,'Diciembre 2023'!$B$2:$G$5822,4,0),"")</f>
        <v>BM</v>
      </c>
    </row>
    <row r="3994" spans="1:7" x14ac:dyDescent="0.25">
      <c r="A3994" s="17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IFERROR(VLOOKUP(B3994,'Diciembre 2023'!$B$2:$G$5822,4,0),"")</f>
        <v>BM</v>
      </c>
    </row>
    <row r="3995" spans="1:7" x14ac:dyDescent="0.25">
      <c r="A3995" s="17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IFERROR(VLOOKUP(B3995,'Diciembre 2023'!$B$2:$G$5822,4,0),"")</f>
        <v>BM</v>
      </c>
    </row>
    <row r="3996" spans="1:7" x14ac:dyDescent="0.25">
      <c r="A3996" s="17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IFERROR(VLOOKUP(B3996,'Diciembre 2023'!$B$2:$G$5822,4,0),"")</f>
        <v>BM</v>
      </c>
    </row>
    <row r="3997" spans="1:7" x14ac:dyDescent="0.25">
      <c r="A3997" s="17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IFERROR(VLOOKUP(B3997,'Diciembre 2023'!$B$2:$G$5822,4,0),"")</f>
        <v>BM</v>
      </c>
    </row>
    <row r="3998" spans="1:7" x14ac:dyDescent="0.25">
      <c r="A3998" s="17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IFERROR(VLOOKUP(B3998,'Diciembre 2023'!$B$2:$G$5822,4,0),"")</f>
        <v>BM</v>
      </c>
    </row>
    <row r="3999" spans="1:7" x14ac:dyDescent="0.25">
      <c r="A3999" s="17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IFERROR(VLOOKUP(B3999,'Diciembre 2023'!$B$2:$G$5822,4,0),"")</f>
        <v>INACTBM</v>
      </c>
    </row>
    <row r="4000" spans="1:7" x14ac:dyDescent="0.25">
      <c r="A4000" s="17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IFERROR(VLOOKUP(B4000,'Diciembre 2023'!$B$2:$G$5822,4,0),"")</f>
        <v>BM</v>
      </c>
    </row>
    <row r="4001" spans="1:7" x14ac:dyDescent="0.25">
      <c r="A4001" s="17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IFERROR(VLOOKUP(B4001,'Diciembre 2023'!$B$2:$G$5822,4,0),"")</f>
        <v>BM</v>
      </c>
    </row>
    <row r="4002" spans="1:7" x14ac:dyDescent="0.25">
      <c r="A4002" s="17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IFERROR(VLOOKUP(B4002,'Diciembre 2023'!$B$2:$G$5822,4,0),"")</f>
        <v>BM</v>
      </c>
    </row>
    <row r="4003" spans="1:7" x14ac:dyDescent="0.25">
      <c r="A4003" s="17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IFERROR(VLOOKUP(B4003,'Diciembre 2023'!$B$2:$G$5822,4,0),"")</f>
        <v>BM</v>
      </c>
    </row>
    <row r="4004" spans="1:7" x14ac:dyDescent="0.25">
      <c r="A4004" s="17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IFERROR(VLOOKUP(B4004,'Diciembre 2023'!$B$2:$G$5822,4,0),"")</f>
        <v>BM</v>
      </c>
    </row>
    <row r="4005" spans="1:7" x14ac:dyDescent="0.25">
      <c r="A4005" s="17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IFERROR(VLOOKUP(B4005,'Diciembre 2023'!$B$2:$G$5822,4,0),"")</f>
        <v>BM</v>
      </c>
    </row>
    <row r="4006" spans="1:7" x14ac:dyDescent="0.25">
      <c r="A4006" s="17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IFERROR(VLOOKUP(B4006,'Diciembre 2023'!$B$2:$G$5822,4,0),"")</f>
        <v>BM</v>
      </c>
    </row>
    <row r="4007" spans="1:7" x14ac:dyDescent="0.25">
      <c r="A4007" s="17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IFERROR(VLOOKUP(B4007,'Diciembre 2023'!$B$2:$G$5822,4,0),"")</f>
        <v>BM</v>
      </c>
    </row>
    <row r="4008" spans="1:7" x14ac:dyDescent="0.25">
      <c r="A4008" s="17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IFERROR(VLOOKUP(B4008,'Diciembre 2023'!$B$2:$G$5822,4,0),"")</f>
        <v>INACTBM</v>
      </c>
    </row>
    <row r="4009" spans="1:7" x14ac:dyDescent="0.25">
      <c r="A4009" s="17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IFERROR(VLOOKUP(B4009,'Diciembre 2023'!$B$2:$G$5822,4,0),"")</f>
        <v>INACTBM</v>
      </c>
    </row>
    <row r="4010" spans="1:7" x14ac:dyDescent="0.25">
      <c r="A4010" s="17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IFERROR(VLOOKUP(B4010,'Diciembre 2023'!$B$2:$G$5822,4,0),"")</f>
        <v>BM</v>
      </c>
    </row>
    <row r="4011" spans="1:7" x14ac:dyDescent="0.25">
      <c r="A4011" s="17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IFERROR(VLOOKUP(B4011,'Diciembre 2023'!$B$2:$G$5822,4,0),"")</f>
        <v>BM</v>
      </c>
    </row>
    <row r="4012" spans="1:7" x14ac:dyDescent="0.25">
      <c r="A4012" s="17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IFERROR(VLOOKUP(B4012,'Diciembre 2023'!$B$2:$G$5822,4,0),"")</f>
        <v>INACTBM</v>
      </c>
    </row>
    <row r="4013" spans="1:7" x14ac:dyDescent="0.25">
      <c r="A4013" s="17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IFERROR(VLOOKUP(B4013,'Diciembre 2023'!$B$2:$G$5822,4,0),"")</f>
        <v>BM</v>
      </c>
    </row>
    <row r="4014" spans="1:7" x14ac:dyDescent="0.25">
      <c r="A4014" s="17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IFERROR(VLOOKUP(B4014,'Diciembre 2023'!$B$2:$G$5822,4,0),"")</f>
        <v>BM</v>
      </c>
    </row>
    <row r="4015" spans="1:7" x14ac:dyDescent="0.25">
      <c r="A4015" s="17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IFERROR(VLOOKUP(B4015,'Diciembre 2023'!$B$2:$G$5822,4,0),"")</f>
        <v>BM</v>
      </c>
    </row>
    <row r="4016" spans="1:7" x14ac:dyDescent="0.25">
      <c r="A4016" s="17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IFERROR(VLOOKUP(B4016,'Diciembre 2023'!$B$2:$G$5822,4,0),"")</f>
        <v>BM</v>
      </c>
    </row>
    <row r="4017" spans="1:7" x14ac:dyDescent="0.25">
      <c r="A4017" s="17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IFERROR(VLOOKUP(B4017,'Diciembre 2023'!$B$2:$G$5822,4,0),"")</f>
        <v>BM</v>
      </c>
    </row>
    <row r="4018" spans="1:7" x14ac:dyDescent="0.25">
      <c r="A4018" s="17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IFERROR(VLOOKUP(B4018,'Diciembre 2023'!$B$2:$G$5822,4,0),"")</f>
        <v>BM</v>
      </c>
    </row>
    <row r="4019" spans="1:7" x14ac:dyDescent="0.25">
      <c r="A4019" s="17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IFERROR(VLOOKUP(B4019,'Diciembre 2023'!$B$2:$G$5822,4,0),"")</f>
        <v>BM</v>
      </c>
    </row>
    <row r="4020" spans="1:7" x14ac:dyDescent="0.25">
      <c r="A4020" s="17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IFERROR(VLOOKUP(B4020,'Diciembre 2023'!$B$2:$G$5822,4,0),"")</f>
        <v>BM</v>
      </c>
    </row>
    <row r="4021" spans="1:7" x14ac:dyDescent="0.25">
      <c r="A4021" s="17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IFERROR(VLOOKUP(B4021,'Diciembre 2023'!$B$2:$G$5822,4,0),"")</f>
        <v>BM</v>
      </c>
    </row>
    <row r="4022" spans="1:7" x14ac:dyDescent="0.25">
      <c r="A4022" s="17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IFERROR(VLOOKUP(B4022,'Diciembre 2023'!$B$2:$G$5822,4,0),"")</f>
        <v>BM</v>
      </c>
    </row>
    <row r="4023" spans="1:7" x14ac:dyDescent="0.25">
      <c r="A4023" s="17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IFERROR(VLOOKUP(B4023,'Diciembre 2023'!$B$2:$G$5822,4,0),"")</f>
        <v>BM</v>
      </c>
    </row>
    <row r="4024" spans="1:7" x14ac:dyDescent="0.25">
      <c r="A4024" s="17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IFERROR(VLOOKUP(B4024,'Diciembre 2023'!$B$2:$G$5822,4,0),"")</f>
        <v>BM</v>
      </c>
    </row>
    <row r="4025" spans="1:7" x14ac:dyDescent="0.25">
      <c r="A4025" s="17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IFERROR(VLOOKUP(B4025,'Diciembre 2023'!$B$2:$G$5822,4,0),"")</f>
        <v>BM</v>
      </c>
    </row>
    <row r="4026" spans="1:7" x14ac:dyDescent="0.25">
      <c r="A4026" s="17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IFERROR(VLOOKUP(B4026,'Diciembre 2023'!$B$2:$G$5822,4,0),"")</f>
        <v>BM</v>
      </c>
    </row>
    <row r="4027" spans="1:7" x14ac:dyDescent="0.25">
      <c r="A4027" s="17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IFERROR(VLOOKUP(B4027,'Diciembre 2023'!$B$2:$G$5822,4,0),"")</f>
        <v>BM</v>
      </c>
    </row>
    <row r="4028" spans="1:7" x14ac:dyDescent="0.25">
      <c r="A4028" s="17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IFERROR(VLOOKUP(B4028,'Diciembre 2023'!$B$2:$G$5822,4,0),"")</f>
        <v>BM</v>
      </c>
    </row>
    <row r="4029" spans="1:7" x14ac:dyDescent="0.25">
      <c r="A4029" s="17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IFERROR(VLOOKUP(B4029,'Diciembre 2023'!$B$2:$G$5822,4,0),"")</f>
        <v>INACTBM</v>
      </c>
    </row>
    <row r="4030" spans="1:7" x14ac:dyDescent="0.25">
      <c r="A4030" s="17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IFERROR(VLOOKUP(B4030,'Diciembre 2023'!$B$2:$G$5822,4,0),"")</f>
        <v>BM</v>
      </c>
    </row>
    <row r="4031" spans="1:7" x14ac:dyDescent="0.25">
      <c r="A4031" s="17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IFERROR(VLOOKUP(B4031,'Diciembre 2023'!$B$2:$G$5822,4,0),"")</f>
        <v>BM</v>
      </c>
    </row>
    <row r="4032" spans="1:7" x14ac:dyDescent="0.25">
      <c r="A4032" s="17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IFERROR(VLOOKUP(B4032,'Diciembre 2023'!$B$2:$G$5822,4,0),"")</f>
        <v>BM</v>
      </c>
    </row>
    <row r="4033" spans="1:7" x14ac:dyDescent="0.25">
      <c r="A4033" s="17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IFERROR(VLOOKUP(B4033,'Diciembre 2023'!$B$2:$G$5822,4,0),"")</f>
        <v>BM</v>
      </c>
    </row>
    <row r="4034" spans="1:7" x14ac:dyDescent="0.25">
      <c r="A4034" s="17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IFERROR(VLOOKUP(B4034,'Diciembre 2023'!$B$2:$G$5822,4,0),"")</f>
        <v>BM</v>
      </c>
    </row>
    <row r="4035" spans="1:7" x14ac:dyDescent="0.25">
      <c r="A4035" s="17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IFERROR(VLOOKUP(B4035,'Diciembre 2023'!$B$2:$G$5822,4,0),"")</f>
        <v>BM</v>
      </c>
    </row>
    <row r="4036" spans="1:7" x14ac:dyDescent="0.25">
      <c r="A4036" s="17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IFERROR(VLOOKUP(B4036,'Diciembre 2023'!$B$2:$G$5822,4,0),"")</f>
        <v>BM</v>
      </c>
    </row>
    <row r="4037" spans="1:7" x14ac:dyDescent="0.25">
      <c r="A4037" s="17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IFERROR(VLOOKUP(B4037,'Diciembre 2023'!$B$2:$G$5822,4,0),"")</f>
        <v>BM</v>
      </c>
    </row>
    <row r="4038" spans="1:7" x14ac:dyDescent="0.25">
      <c r="A4038" s="17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IFERROR(VLOOKUP(B4038,'Diciembre 2023'!$B$2:$G$5822,4,0),"")</f>
        <v>BM</v>
      </c>
    </row>
    <row r="4039" spans="1:7" x14ac:dyDescent="0.25">
      <c r="A4039" s="17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IFERROR(VLOOKUP(B4039,'Diciembre 2023'!$B$2:$G$5822,4,0),"")</f>
        <v>BM</v>
      </c>
    </row>
    <row r="4040" spans="1:7" x14ac:dyDescent="0.25">
      <c r="A4040" s="17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IFERROR(VLOOKUP(B4040,'Diciembre 2023'!$B$2:$G$5822,4,0),"")</f>
        <v>BM</v>
      </c>
    </row>
    <row r="4041" spans="1:7" x14ac:dyDescent="0.25">
      <c r="A4041" s="17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IFERROR(VLOOKUP(B4041,'Diciembre 2023'!$B$2:$G$5822,4,0),"")</f>
        <v>BM</v>
      </c>
    </row>
    <row r="4042" spans="1:7" x14ac:dyDescent="0.25">
      <c r="A4042" s="17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IFERROR(VLOOKUP(B4042,'Diciembre 2023'!$B$2:$G$5822,4,0),"")</f>
        <v>BM</v>
      </c>
    </row>
    <row r="4043" spans="1:7" x14ac:dyDescent="0.25">
      <c r="A4043" s="17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IFERROR(VLOOKUP(B4043,'Diciembre 2023'!$B$2:$G$5822,4,0),"")</f>
        <v>BM</v>
      </c>
    </row>
    <row r="4044" spans="1:7" x14ac:dyDescent="0.25">
      <c r="A4044" s="17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IFERROR(VLOOKUP(B4044,'Diciembre 2023'!$B$2:$G$5822,4,0),"")</f>
        <v>BM</v>
      </c>
    </row>
    <row r="4045" spans="1:7" x14ac:dyDescent="0.25">
      <c r="A4045" s="17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IFERROR(VLOOKUP(B4045,'Diciembre 2023'!$B$2:$G$5822,4,0),"")</f>
        <v>BM</v>
      </c>
    </row>
    <row r="4046" spans="1:7" x14ac:dyDescent="0.25">
      <c r="A4046" s="17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IFERROR(VLOOKUP(B4046,'Diciembre 2023'!$B$2:$G$5822,4,0),"")</f>
        <v>BM</v>
      </c>
    </row>
    <row r="4047" spans="1:7" x14ac:dyDescent="0.25">
      <c r="A4047" s="17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IFERROR(VLOOKUP(B4047,'Diciembre 2023'!$B$2:$G$5822,4,0),"")</f>
        <v>BM</v>
      </c>
    </row>
    <row r="4048" spans="1:7" x14ac:dyDescent="0.25">
      <c r="A4048" s="17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IFERROR(VLOOKUP(B4048,'Diciembre 2023'!$B$2:$G$5822,4,0),"")</f>
        <v>BM</v>
      </c>
    </row>
    <row r="4049" spans="1:7" x14ac:dyDescent="0.25">
      <c r="A4049" s="17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IFERROR(VLOOKUP(B4049,'Diciembre 2023'!$B$2:$G$5822,4,0),"")</f>
        <v>BM</v>
      </c>
    </row>
    <row r="4050" spans="1:7" x14ac:dyDescent="0.25">
      <c r="A4050" s="17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IFERROR(VLOOKUP(B4050,'Diciembre 2023'!$B$2:$G$5822,4,0),"")</f>
        <v>BM</v>
      </c>
    </row>
    <row r="4051" spans="1:7" x14ac:dyDescent="0.25">
      <c r="A4051" s="17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IFERROR(VLOOKUP(B4051,'Diciembre 2023'!$B$2:$G$5822,4,0),"")</f>
        <v>BM</v>
      </c>
    </row>
    <row r="4052" spans="1:7" x14ac:dyDescent="0.25">
      <c r="A4052" s="17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IFERROR(VLOOKUP(B4052,'Diciembre 2023'!$B$2:$G$5822,4,0),"")</f>
        <v>BM</v>
      </c>
    </row>
    <row r="4053" spans="1:7" x14ac:dyDescent="0.25">
      <c r="A4053" s="17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IFERROR(VLOOKUP(B4053,'Diciembre 2023'!$B$2:$G$5822,4,0),"")</f>
        <v>BM</v>
      </c>
    </row>
    <row r="4054" spans="1:7" x14ac:dyDescent="0.25">
      <c r="A4054" s="17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IFERROR(VLOOKUP(B4054,'Diciembre 2023'!$B$2:$G$5822,4,0),"")</f>
        <v>BM</v>
      </c>
    </row>
    <row r="4055" spans="1:7" x14ac:dyDescent="0.25">
      <c r="A4055" s="17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IFERROR(VLOOKUP(B4055,'Diciembre 2023'!$B$2:$G$5822,4,0),"")</f>
        <v>INACTBM</v>
      </c>
    </row>
    <row r="4056" spans="1:7" x14ac:dyDescent="0.25">
      <c r="A4056" s="17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IFERROR(VLOOKUP(B4056,'Diciembre 2023'!$B$2:$G$5822,4,0),"")</f>
        <v>BM</v>
      </c>
    </row>
    <row r="4057" spans="1:7" x14ac:dyDescent="0.25">
      <c r="A4057" s="17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IFERROR(VLOOKUP(B4057,'Diciembre 2023'!$B$2:$G$5822,4,0),"")</f>
        <v>BM</v>
      </c>
    </row>
    <row r="4058" spans="1:7" x14ac:dyDescent="0.25">
      <c r="A4058" s="17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IFERROR(VLOOKUP(B4058,'Diciembre 2023'!$B$2:$G$5822,4,0),"")</f>
        <v>INACTBM</v>
      </c>
    </row>
    <row r="4059" spans="1:7" x14ac:dyDescent="0.25">
      <c r="A4059" s="17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IFERROR(VLOOKUP(B4059,'Diciembre 2023'!$B$2:$G$5822,4,0),"")</f>
        <v>BM</v>
      </c>
    </row>
    <row r="4060" spans="1:7" x14ac:dyDescent="0.25">
      <c r="A4060" s="17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IFERROR(VLOOKUP(B4060,'Diciembre 2023'!$B$2:$G$5822,4,0),"")</f>
        <v>ATAPET</v>
      </c>
    </row>
    <row r="4061" spans="1:7" x14ac:dyDescent="0.25">
      <c r="A4061" s="17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tr">
        <f>IFERROR(VLOOKUP(B4061,'Diciembre 2023'!$B$2:$G$5822,4,0),"")</f>
        <v>BM</v>
      </c>
    </row>
    <row r="4062" spans="1:7" x14ac:dyDescent="0.25">
      <c r="A4062" s="17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IFERROR(VLOOKUP(B4062,'Diciembre 2023'!$B$2:$G$5822,4,0),"")</f>
        <v>BM</v>
      </c>
    </row>
    <row r="4063" spans="1:7" x14ac:dyDescent="0.25">
      <c r="A4063" s="17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IFERROR(VLOOKUP(B4063,'Diciembre 2023'!$B$2:$G$5822,4,0),"")</f>
        <v>BM</v>
      </c>
    </row>
    <row r="4064" spans="1:7" x14ac:dyDescent="0.25">
      <c r="A4064" s="17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IFERROR(VLOOKUP(B4064,'Diciembre 2023'!$B$2:$G$5822,4,0),"")</f>
        <v>BM</v>
      </c>
    </row>
    <row r="4065" spans="1:7" x14ac:dyDescent="0.25">
      <c r="A4065" s="17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IFERROR(VLOOKUP(B4065,'Diciembre 2023'!$B$2:$G$5822,4,0),"")</f>
        <v>BM</v>
      </c>
    </row>
    <row r="4066" spans="1:7" x14ac:dyDescent="0.25">
      <c r="A4066" s="17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IFERROR(VLOOKUP(B4066,'Diciembre 2023'!$B$2:$G$5822,4,0),"")</f>
        <v>BM</v>
      </c>
    </row>
    <row r="4067" spans="1:7" x14ac:dyDescent="0.25">
      <c r="A4067" s="17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IFERROR(VLOOKUP(B4067,'Diciembre 2023'!$B$2:$G$5822,4,0),"")</f>
        <v>BM</v>
      </c>
    </row>
    <row r="4068" spans="1:7" x14ac:dyDescent="0.25">
      <c r="A4068" s="17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IFERROR(VLOOKUP(B4068,'Diciembre 2023'!$B$2:$G$5822,4,0),"")</f>
        <v>BM</v>
      </c>
    </row>
    <row r="4069" spans="1:7" x14ac:dyDescent="0.25">
      <c r="A4069" s="17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IFERROR(VLOOKUP(B4069,'Diciembre 2023'!$B$2:$G$5822,4,0),"")</f>
        <v>BM</v>
      </c>
    </row>
    <row r="4070" spans="1:7" x14ac:dyDescent="0.25">
      <c r="A4070" s="17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IFERROR(VLOOKUP(B4070,'Diciembre 2023'!$B$2:$G$5822,4,0),"")</f>
        <v>BM</v>
      </c>
    </row>
    <row r="4071" spans="1:7" x14ac:dyDescent="0.25">
      <c r="A4071" s="17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IFERROR(VLOOKUP(B4071,'Diciembre 2023'!$B$2:$G$5822,4,0),"")</f>
        <v>BM</v>
      </c>
    </row>
    <row r="4072" spans="1:7" x14ac:dyDescent="0.25">
      <c r="A4072" s="17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IFERROR(VLOOKUP(B4072,'Diciembre 2023'!$B$2:$G$5822,4,0),"")</f>
        <v>BM</v>
      </c>
    </row>
    <row r="4073" spans="1:7" x14ac:dyDescent="0.25">
      <c r="A4073" s="17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IFERROR(VLOOKUP(B4073,'Diciembre 2023'!$B$2:$G$5822,4,0),"")</f>
        <v>BM</v>
      </c>
    </row>
    <row r="4074" spans="1:7" x14ac:dyDescent="0.25">
      <c r="A4074" s="17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IFERROR(VLOOKUP(B4074,'Diciembre 2023'!$B$2:$G$5822,4,0),"")</f>
        <v>BM</v>
      </c>
    </row>
    <row r="4075" spans="1:7" x14ac:dyDescent="0.25">
      <c r="A4075" s="17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IFERROR(VLOOKUP(B4075,'Diciembre 2023'!$B$2:$G$5822,4,0),"")</f>
        <v>BM</v>
      </c>
    </row>
    <row r="4076" spans="1:7" x14ac:dyDescent="0.25">
      <c r="A4076" s="17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IFERROR(VLOOKUP(B4076,'Diciembre 2023'!$B$2:$G$5822,4,0),"")</f>
        <v>BM</v>
      </c>
    </row>
    <row r="4077" spans="1:7" x14ac:dyDescent="0.25">
      <c r="A4077" s="17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IFERROR(VLOOKUP(B4077,'Diciembre 2023'!$B$2:$G$5822,4,0),"")</f>
        <v>BM</v>
      </c>
    </row>
    <row r="4078" spans="1:7" x14ac:dyDescent="0.25">
      <c r="A4078" s="17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IFERROR(VLOOKUP(B4078,'Diciembre 2023'!$B$2:$G$5822,4,0),"")</f>
        <v>BM</v>
      </c>
    </row>
    <row r="4079" spans="1:7" x14ac:dyDescent="0.25">
      <c r="A4079" s="17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IFERROR(VLOOKUP(B4079,'Diciembre 2023'!$B$2:$G$5822,4,0),"")</f>
        <v>BM</v>
      </c>
    </row>
    <row r="4080" spans="1:7" x14ac:dyDescent="0.25">
      <c r="A4080" s="17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IFERROR(VLOOKUP(B4080,'Diciembre 2023'!$B$2:$G$5822,4,0),"")</f>
        <v>BM</v>
      </c>
    </row>
    <row r="4081" spans="1:7" x14ac:dyDescent="0.25">
      <c r="A4081" s="17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IFERROR(VLOOKUP(B4081,'Diciembre 2023'!$B$2:$G$5822,4,0),"")</f>
        <v>BM</v>
      </c>
    </row>
    <row r="4082" spans="1:7" x14ac:dyDescent="0.25">
      <c r="A4082" s="17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IFERROR(VLOOKUP(B4082,'Diciembre 2023'!$B$2:$G$5822,4,0),"")</f>
        <v>BM</v>
      </c>
    </row>
    <row r="4083" spans="1:7" x14ac:dyDescent="0.25">
      <c r="A4083" s="17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IFERROR(VLOOKUP(B4083,'Diciembre 2023'!$B$2:$G$5822,4,0),"")</f>
        <v>BM</v>
      </c>
    </row>
    <row r="4084" spans="1:7" x14ac:dyDescent="0.25">
      <c r="A4084" s="17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IFERROR(VLOOKUP(B4084,'Diciembre 2023'!$B$2:$G$5822,4,0),"")</f>
        <v>BM</v>
      </c>
    </row>
    <row r="4085" spans="1:7" x14ac:dyDescent="0.25">
      <c r="A4085" s="17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IFERROR(VLOOKUP(B4085,'Diciembre 2023'!$B$2:$G$5822,4,0),"")</f>
        <v>BM</v>
      </c>
    </row>
    <row r="4086" spans="1:7" x14ac:dyDescent="0.25">
      <c r="A4086" s="17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IFERROR(VLOOKUP(B4086,'Diciembre 2023'!$B$2:$G$5822,4,0),"")</f>
        <v>BM</v>
      </c>
    </row>
    <row r="4087" spans="1:7" x14ac:dyDescent="0.25">
      <c r="A4087" s="17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IFERROR(VLOOKUP(B4087,'Diciembre 2023'!$B$2:$G$5822,4,0),"")</f>
        <v>BM</v>
      </c>
    </row>
    <row r="4088" spans="1:7" x14ac:dyDescent="0.25">
      <c r="A4088" s="17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IFERROR(VLOOKUP(B4088,'Diciembre 2023'!$B$2:$G$5822,4,0),"")</f>
        <v>BM</v>
      </c>
    </row>
    <row r="4089" spans="1:7" x14ac:dyDescent="0.25">
      <c r="A4089" s="17"/>
      <c r="B4089" s="4" t="s">
        <v>4001</v>
      </c>
      <c r="C4089" s="4" t="s">
        <v>11</v>
      </c>
      <c r="D4089" s="4" t="s">
        <v>11</v>
      </c>
      <c r="E4089" s="4" t="s">
        <v>11</v>
      </c>
      <c r="F4089" s="4" t="s">
        <v>956</v>
      </c>
      <c r="G4089" s="5" t="str">
        <f>IFERROR(VLOOKUP(B4089,'Diciembre 2023'!$B$2:$G$5822,4,0),"")</f>
        <v>BM</v>
      </c>
    </row>
    <row r="4090" spans="1:7" x14ac:dyDescent="0.25">
      <c r="A4090" s="17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IFERROR(VLOOKUP(B4090,'Diciembre 2023'!$B$2:$G$5822,4,0),"")</f>
        <v>BM</v>
      </c>
    </row>
    <row r="4091" spans="1:7" x14ac:dyDescent="0.25">
      <c r="A4091" s="17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IFERROR(VLOOKUP(B4091,'Diciembre 2023'!$B$2:$G$5822,4,0),"")</f>
        <v>BM</v>
      </c>
    </row>
    <row r="4092" spans="1:7" x14ac:dyDescent="0.25">
      <c r="A4092" s="17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IFERROR(VLOOKUP(B4092,'Diciembre 2023'!$B$2:$G$5822,4,0),"")</f>
        <v>BM</v>
      </c>
    </row>
    <row r="4093" spans="1:7" x14ac:dyDescent="0.25">
      <c r="A4093" s="17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IFERROR(VLOOKUP(B4093,'Diciembre 2023'!$B$2:$G$5822,4,0),"")</f>
        <v>BM</v>
      </c>
    </row>
    <row r="4094" spans="1:7" x14ac:dyDescent="0.25">
      <c r="A4094" s="17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IFERROR(VLOOKUP(B4094,'Diciembre 2023'!$B$2:$G$5822,4,0),"")</f>
        <v>BM</v>
      </c>
    </row>
    <row r="4095" spans="1:7" x14ac:dyDescent="0.25">
      <c r="A4095" s="17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IFERROR(VLOOKUP(B4095,'Diciembre 2023'!$B$2:$G$5822,4,0),"")</f>
        <v>BM</v>
      </c>
    </row>
    <row r="4096" spans="1:7" x14ac:dyDescent="0.25">
      <c r="A4096" s="17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IFERROR(VLOOKUP(B4096,'Diciembre 2023'!$B$2:$G$5822,4,0),"")</f>
        <v>BM</v>
      </c>
    </row>
    <row r="4097" spans="1:7" x14ac:dyDescent="0.25">
      <c r="A4097" s="17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IFERROR(VLOOKUP(B4097,'Diciembre 2023'!$B$2:$G$5822,4,0),"")</f>
        <v>BM</v>
      </c>
    </row>
    <row r="4098" spans="1:7" x14ac:dyDescent="0.25">
      <c r="A4098" s="17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IFERROR(VLOOKUP(B4098,'Diciembre 2023'!$B$2:$G$5822,4,0),"")</f>
        <v>BM</v>
      </c>
    </row>
    <row r="4099" spans="1:7" x14ac:dyDescent="0.25">
      <c r="A4099" s="17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IFERROR(VLOOKUP(B4099,'Diciembre 2023'!$B$2:$G$5822,4,0),"")</f>
        <v>BM</v>
      </c>
    </row>
    <row r="4100" spans="1:7" x14ac:dyDescent="0.25">
      <c r="A4100" s="17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IFERROR(VLOOKUP(B4100,'Diciembre 2023'!$B$2:$G$5822,4,0),"")</f>
        <v>BM</v>
      </c>
    </row>
    <row r="4101" spans="1:7" x14ac:dyDescent="0.25">
      <c r="A4101" s="17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IFERROR(VLOOKUP(B4101,'Diciembre 2023'!$B$2:$G$5822,4,0),"")</f>
        <v>BM</v>
      </c>
    </row>
    <row r="4102" spans="1:7" x14ac:dyDescent="0.25">
      <c r="A4102" s="17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IFERROR(VLOOKUP(B4102,'Diciembre 2023'!$B$2:$G$5822,4,0),"")</f>
        <v>BM</v>
      </c>
    </row>
    <row r="4103" spans="1:7" x14ac:dyDescent="0.25">
      <c r="A4103" s="17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IFERROR(VLOOKUP(B4103,'Diciembre 2023'!$B$2:$G$5822,4,0),"")</f>
        <v>BM</v>
      </c>
    </row>
    <row r="4104" spans="1:7" x14ac:dyDescent="0.25">
      <c r="A4104" s="17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IFERROR(VLOOKUP(B4104,'Diciembre 2023'!$B$2:$G$5822,4,0),"")</f>
        <v>BM</v>
      </c>
    </row>
    <row r="4105" spans="1:7" x14ac:dyDescent="0.25">
      <c r="A4105" s="17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IFERROR(VLOOKUP(B4105,'Diciembre 2023'!$B$2:$G$5822,4,0),"")</f>
        <v>BM</v>
      </c>
    </row>
    <row r="4106" spans="1:7" x14ac:dyDescent="0.25">
      <c r="A4106" s="17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IFERROR(VLOOKUP(B4106,'Diciembre 2023'!$B$2:$G$5822,4,0),"")</f>
        <v>BM</v>
      </c>
    </row>
    <row r="4107" spans="1:7" x14ac:dyDescent="0.25">
      <c r="A4107" s="17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IFERROR(VLOOKUP(B4107,'Diciembre 2023'!$B$2:$G$5822,4,0),"")</f>
        <v>BM</v>
      </c>
    </row>
    <row r="4108" spans="1:7" x14ac:dyDescent="0.25">
      <c r="A4108" s="17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IFERROR(VLOOKUP(B4108,'Diciembre 2023'!$B$2:$G$5822,4,0),"")</f>
        <v>BM</v>
      </c>
    </row>
    <row r="4109" spans="1:7" x14ac:dyDescent="0.25">
      <c r="A4109" s="17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IFERROR(VLOOKUP(B4109,'Diciembre 2023'!$B$2:$G$5822,4,0),"")</f>
        <v>BM</v>
      </c>
    </row>
    <row r="4110" spans="1:7" x14ac:dyDescent="0.25">
      <c r="A4110" s="17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IFERROR(VLOOKUP(B4110,'Diciembre 2023'!$B$2:$G$5822,4,0),"")</f>
        <v>BM</v>
      </c>
    </row>
    <row r="4111" spans="1:7" x14ac:dyDescent="0.25">
      <c r="A4111" s="17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IFERROR(VLOOKUP(B4111,'Diciembre 2023'!$B$2:$G$5822,4,0),"")</f>
        <v>BM</v>
      </c>
    </row>
    <row r="4112" spans="1:7" x14ac:dyDescent="0.25">
      <c r="A4112" s="17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IFERROR(VLOOKUP(B4112,'Diciembre 2023'!$B$2:$G$5822,4,0),"")</f>
        <v>BM</v>
      </c>
    </row>
    <row r="4113" spans="1:7" x14ac:dyDescent="0.25">
      <c r="A4113" s="17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IFERROR(VLOOKUP(B4113,'Diciembre 2023'!$B$2:$G$5822,4,0),"")</f>
        <v>BM</v>
      </c>
    </row>
    <row r="4114" spans="1:7" x14ac:dyDescent="0.25">
      <c r="A4114" s="17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IFERROR(VLOOKUP(B4114,'Diciembre 2023'!$B$2:$G$5822,4,0),"")</f>
        <v>BM</v>
      </c>
    </row>
    <row r="4115" spans="1:7" x14ac:dyDescent="0.25">
      <c r="A4115" s="17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IFERROR(VLOOKUP(B4115,'Diciembre 2023'!$B$2:$G$5822,4,0),"")</f>
        <v>BM</v>
      </c>
    </row>
    <row r="4116" spans="1:7" x14ac:dyDescent="0.25">
      <c r="A4116" s="17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IFERROR(VLOOKUP(B4116,'Diciembre 2023'!$B$2:$G$5822,4,0),"")</f>
        <v>BM</v>
      </c>
    </row>
    <row r="4117" spans="1:7" x14ac:dyDescent="0.25">
      <c r="A4117" s="17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IFERROR(VLOOKUP(B4117,'Diciembre 2023'!$B$2:$G$5822,4,0),"")</f>
        <v>BM</v>
      </c>
    </row>
    <row r="4118" spans="1:7" x14ac:dyDescent="0.25">
      <c r="A4118" s="17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IFERROR(VLOOKUP(B4118,'Diciembre 2023'!$B$2:$G$5822,4,0),"")</f>
        <v>INACTBM</v>
      </c>
    </row>
    <row r="4119" spans="1:7" x14ac:dyDescent="0.25">
      <c r="A4119" s="17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IFERROR(VLOOKUP(B4119,'Diciembre 2023'!$B$2:$G$5822,4,0),"")</f>
        <v>BM</v>
      </c>
    </row>
    <row r="4120" spans="1:7" x14ac:dyDescent="0.25">
      <c r="A4120" s="17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IFERROR(VLOOKUP(B4120,'Diciembre 2023'!$B$2:$G$5822,4,0),"")</f>
        <v>BM</v>
      </c>
    </row>
    <row r="4121" spans="1:7" x14ac:dyDescent="0.25">
      <c r="A4121" s="17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IFERROR(VLOOKUP(B4121,'Diciembre 2023'!$B$2:$G$5822,4,0),"")</f>
        <v>ACTPETS</v>
      </c>
    </row>
    <row r="4122" spans="1:7" x14ac:dyDescent="0.25">
      <c r="A4122" s="17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IFERROR(VLOOKUP(B4122,'Diciembre 2023'!$B$2:$G$5822,4,0),"")</f>
        <v>BM</v>
      </c>
    </row>
    <row r="4123" spans="1:7" x14ac:dyDescent="0.25">
      <c r="A4123" s="17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IFERROR(VLOOKUP(B4123,'Diciembre 2023'!$B$2:$G$5822,4,0),"")</f>
        <v>INACTBM</v>
      </c>
    </row>
    <row r="4124" spans="1:7" x14ac:dyDescent="0.25">
      <c r="A4124" s="17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IFERROR(VLOOKUP(B4124,'Diciembre 2023'!$B$2:$G$5822,4,0),"")</f>
        <v>INACTBM</v>
      </c>
    </row>
    <row r="4125" spans="1:7" x14ac:dyDescent="0.25">
      <c r="A4125" s="17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IFERROR(VLOOKUP(B4125,'Diciembre 2023'!$B$2:$G$5822,4,0),"")</f>
        <v>BM</v>
      </c>
    </row>
    <row r="4126" spans="1:7" x14ac:dyDescent="0.25">
      <c r="A4126" s="17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IFERROR(VLOOKUP(B4126,'Diciembre 2023'!$B$2:$G$5822,4,0),"")</f>
        <v>BM</v>
      </c>
    </row>
    <row r="4127" spans="1:7" x14ac:dyDescent="0.25">
      <c r="A4127" s="17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IFERROR(VLOOKUP(B4127,'Diciembre 2023'!$B$2:$G$5822,4,0),"")</f>
        <v>BM</v>
      </c>
    </row>
    <row r="4128" spans="1:7" x14ac:dyDescent="0.25">
      <c r="A4128" s="17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IFERROR(VLOOKUP(B4128,'Diciembre 2023'!$B$2:$G$5822,4,0),"")</f>
        <v>BM</v>
      </c>
    </row>
    <row r="4129" spans="1:7" x14ac:dyDescent="0.25">
      <c r="A4129" s="17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IFERROR(VLOOKUP(B4129,'Diciembre 2023'!$B$2:$G$5822,4,0),"")</f>
        <v>BM</v>
      </c>
    </row>
    <row r="4130" spans="1:7" x14ac:dyDescent="0.25">
      <c r="A4130" s="17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IFERROR(VLOOKUP(B4130,'Diciembre 2023'!$B$2:$G$5822,4,0),"")</f>
        <v>BM</v>
      </c>
    </row>
    <row r="4131" spans="1:7" x14ac:dyDescent="0.25">
      <c r="A4131" s="17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IFERROR(VLOOKUP(B4131,'Diciembre 2023'!$B$2:$G$5822,4,0),"")</f>
        <v>BM</v>
      </c>
    </row>
    <row r="4132" spans="1:7" x14ac:dyDescent="0.25">
      <c r="A4132" s="17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IFERROR(VLOOKUP(B4132,'Diciembre 2023'!$B$2:$G$5822,4,0),"")</f>
        <v>BM</v>
      </c>
    </row>
    <row r="4133" spans="1:7" x14ac:dyDescent="0.25">
      <c r="A4133" s="17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IFERROR(VLOOKUP(B4133,'Diciembre 2023'!$B$2:$G$5822,4,0),"")</f>
        <v>BM</v>
      </c>
    </row>
    <row r="4134" spans="1:7" x14ac:dyDescent="0.25">
      <c r="A4134" s="17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IFERROR(VLOOKUP(B4134,'Diciembre 2023'!$B$2:$G$5822,4,0),"")</f>
        <v>INACTBM</v>
      </c>
    </row>
    <row r="4135" spans="1:7" x14ac:dyDescent="0.25">
      <c r="A4135" s="17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IFERROR(VLOOKUP(B4135,'Diciembre 2023'!$B$2:$G$5822,4,0),"")</f>
        <v>BM</v>
      </c>
    </row>
    <row r="4136" spans="1:7" x14ac:dyDescent="0.25">
      <c r="A4136" s="17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IFERROR(VLOOKUP(B4136,'Diciembre 2023'!$B$2:$G$5822,4,0),"")</f>
        <v>BM</v>
      </c>
    </row>
    <row r="4137" spans="1:7" x14ac:dyDescent="0.25">
      <c r="A4137" s="17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IFERROR(VLOOKUP(B4137,'Diciembre 2023'!$B$2:$G$5822,4,0),"")</f>
        <v>BM</v>
      </c>
    </row>
    <row r="4138" spans="1:7" x14ac:dyDescent="0.25">
      <c r="A4138" s="17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IFERROR(VLOOKUP(B4138,'Diciembre 2023'!$B$2:$G$5822,4,0),"")</f>
        <v>BM</v>
      </c>
    </row>
    <row r="4139" spans="1:7" x14ac:dyDescent="0.25">
      <c r="A4139" s="17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IFERROR(VLOOKUP(B4139,'Diciembre 2023'!$B$2:$G$5822,4,0),"")</f>
        <v>BM</v>
      </c>
    </row>
    <row r="4140" spans="1:7" x14ac:dyDescent="0.25">
      <c r="A4140" s="17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IFERROR(VLOOKUP(B4140,'Diciembre 2023'!$B$2:$G$5822,4,0),"")</f>
        <v>BM</v>
      </c>
    </row>
    <row r="4141" spans="1:7" x14ac:dyDescent="0.25">
      <c r="A4141" s="17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IFERROR(VLOOKUP(B4141,'Diciembre 2023'!$B$2:$G$5822,4,0),"")</f>
        <v>INACTBM</v>
      </c>
    </row>
    <row r="4142" spans="1:7" x14ac:dyDescent="0.25">
      <c r="A4142" s="17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IFERROR(VLOOKUP(B4142,'Diciembre 2023'!$B$2:$G$5822,4,0),"")</f>
        <v>BM</v>
      </c>
    </row>
    <row r="4143" spans="1:7" x14ac:dyDescent="0.25">
      <c r="A4143" s="17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IFERROR(VLOOKUP(B4143,'Diciembre 2023'!$B$2:$G$5822,4,0),"")</f>
        <v>BM</v>
      </c>
    </row>
    <row r="4144" spans="1:7" x14ac:dyDescent="0.25">
      <c r="A4144" s="17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IFERROR(VLOOKUP(B4144,'Diciembre 2023'!$B$2:$G$5822,4,0),"")</f>
        <v>BM</v>
      </c>
    </row>
    <row r="4145" spans="1:7" x14ac:dyDescent="0.25">
      <c r="A4145" s="17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IFERROR(VLOOKUP(B4145,'Diciembre 2023'!$B$2:$G$5822,4,0),"")</f>
        <v>BM</v>
      </c>
    </row>
    <row r="4146" spans="1:7" x14ac:dyDescent="0.25">
      <c r="A4146" s="17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IFERROR(VLOOKUP(B4146,'Diciembre 2023'!$B$2:$G$5822,4,0),"")</f>
        <v>BM</v>
      </c>
    </row>
    <row r="4147" spans="1:7" x14ac:dyDescent="0.25">
      <c r="A4147" s="17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IFERROR(VLOOKUP(B4147,'Diciembre 2023'!$B$2:$G$5822,4,0),"")</f>
        <v>BM</v>
      </c>
    </row>
    <row r="4148" spans="1:7" x14ac:dyDescent="0.25">
      <c r="A4148" s="17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IFERROR(VLOOKUP(B4148,'Diciembre 2023'!$B$2:$G$5822,4,0),"")</f>
        <v>BM</v>
      </c>
    </row>
    <row r="4149" spans="1:7" x14ac:dyDescent="0.25">
      <c r="A4149" s="17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IFERROR(VLOOKUP(B4149,'Diciembre 2023'!$B$2:$G$5822,4,0),"")</f>
        <v>BM</v>
      </c>
    </row>
    <row r="4150" spans="1:7" x14ac:dyDescent="0.25">
      <c r="A4150" s="17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IFERROR(VLOOKUP(B4150,'Diciembre 2023'!$B$2:$G$5822,4,0),"")</f>
        <v>BM</v>
      </c>
    </row>
    <row r="4151" spans="1:7" x14ac:dyDescent="0.25">
      <c r="A4151" s="17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IFERROR(VLOOKUP(B4151,'Diciembre 2023'!$B$2:$G$5822,4,0),"")</f>
        <v>BM</v>
      </c>
    </row>
    <row r="4152" spans="1:7" x14ac:dyDescent="0.25">
      <c r="A4152" s="17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IFERROR(VLOOKUP(B4152,'Diciembre 2023'!$B$2:$G$5822,4,0),"")</f>
        <v>BM</v>
      </c>
    </row>
    <row r="4153" spans="1:7" x14ac:dyDescent="0.25">
      <c r="A4153" s="17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IFERROR(VLOOKUP(B4153,'Diciembre 2023'!$B$2:$G$5822,4,0),"")</f>
        <v>BM</v>
      </c>
    </row>
    <row r="4154" spans="1:7" x14ac:dyDescent="0.25">
      <c r="A4154" s="17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IFERROR(VLOOKUP(B4154,'Diciembre 2023'!$B$2:$G$5822,4,0),"")</f>
        <v>BM</v>
      </c>
    </row>
    <row r="4155" spans="1:7" x14ac:dyDescent="0.25">
      <c r="A4155" s="17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IFERROR(VLOOKUP(B4155,'Diciembre 2023'!$B$2:$G$5822,4,0),"")</f>
        <v>BM</v>
      </c>
    </row>
    <row r="4156" spans="1:7" x14ac:dyDescent="0.25">
      <c r="A4156" s="17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IFERROR(VLOOKUP(B4156,'Diciembre 2023'!$B$2:$G$5822,4,0),"")</f>
        <v>BM</v>
      </c>
    </row>
    <row r="4157" spans="1:7" x14ac:dyDescent="0.25">
      <c r="A4157" s="17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IFERROR(VLOOKUP(B4157,'Diciembre 2023'!$B$2:$G$5822,4,0),"")</f>
        <v>APA_CNPC</v>
      </c>
    </row>
    <row r="4158" spans="1:7" x14ac:dyDescent="0.25">
      <c r="A4158" s="17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IFERROR(VLOOKUP(B4158,'Diciembre 2023'!$B$2:$G$5822,4,0),"")</f>
        <v>APA_PC</v>
      </c>
    </row>
    <row r="4159" spans="1:7" x14ac:dyDescent="0.25">
      <c r="A4159" s="17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IFERROR(VLOOKUP(B4159,'Diciembre 2023'!$B$2:$G$5822,4,0),"")</f>
        <v>BM</v>
      </c>
    </row>
    <row r="4160" spans="1:7" x14ac:dyDescent="0.25">
      <c r="A4160" s="17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IFERROR(VLOOKUP(B4160,'Diciembre 2023'!$B$2:$G$5822,4,0),"")</f>
        <v>APA_PC</v>
      </c>
    </row>
    <row r="4161" spans="1:7" x14ac:dyDescent="0.25">
      <c r="A4161" s="17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IFERROR(VLOOKUP(B4161,'Diciembre 2023'!$B$2:$G$5822,4,0),"")</f>
        <v>INACTPETF</v>
      </c>
    </row>
    <row r="4162" spans="1:7" x14ac:dyDescent="0.25">
      <c r="A4162" s="17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IFERROR(VLOOKUP(B4162,'Diciembre 2023'!$B$2:$G$5822,4,0),"")</f>
        <v>ATAPET</v>
      </c>
    </row>
    <row r="4163" spans="1:7" x14ac:dyDescent="0.25">
      <c r="A4163" s="17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IFERROR(VLOOKUP(B4163,'Diciembre 2023'!$B$2:$G$5822,4,0),"")</f>
        <v>APA_CNPC</v>
      </c>
    </row>
    <row r="4164" spans="1:7" x14ac:dyDescent="0.25">
      <c r="A4164" s="17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IFERROR(VLOOKUP(B4164,'Diciembre 2023'!$B$2:$G$5822,4,0),"")</f>
        <v>BO</v>
      </c>
    </row>
    <row r="4165" spans="1:7" x14ac:dyDescent="0.25">
      <c r="A4165" s="17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IFERROR(VLOOKUP(B4165,'Diciembre 2023'!$B$2:$G$5822,4,0),"")</f>
        <v>ACTINYA</v>
      </c>
    </row>
    <row r="4166" spans="1:7" x14ac:dyDescent="0.25">
      <c r="A4166" s="17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IFERROR(VLOOKUP(B4166,'Diciembre 2023'!$B$2:$G$5822,4,0),"")</f>
        <v>BM</v>
      </c>
    </row>
    <row r="4167" spans="1:7" x14ac:dyDescent="0.25">
      <c r="A4167" s="17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IFERROR(VLOOKUP(B4167,'Diciembre 2023'!$B$2:$G$5822,4,0),"")</f>
        <v>BM</v>
      </c>
    </row>
    <row r="4168" spans="1:7" x14ac:dyDescent="0.25">
      <c r="A4168" s="17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IFERROR(VLOOKUP(B4168,'Diciembre 2023'!$B$2:$G$5822,4,0),"")</f>
        <v>ACTPETS</v>
      </c>
    </row>
    <row r="4169" spans="1:7" x14ac:dyDescent="0.25">
      <c r="A4169" s="17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IFERROR(VLOOKUP(B4169,'Diciembre 2023'!$B$2:$G$5822,4,0),"")</f>
        <v>APA_PC</v>
      </c>
    </row>
    <row r="4170" spans="1:7" x14ac:dyDescent="0.25">
      <c r="A4170" s="17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IFERROR(VLOOKUP(B4170,'Diciembre 2023'!$B$2:$G$5822,4,0),"")</f>
        <v>INACTBM</v>
      </c>
    </row>
    <row r="4171" spans="1:7" x14ac:dyDescent="0.25">
      <c r="A4171" s="17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IFERROR(VLOOKUP(B4171,'Diciembre 2023'!$B$2:$G$5822,4,0),"")</f>
        <v>ACTPETS</v>
      </c>
    </row>
    <row r="4172" spans="1:7" x14ac:dyDescent="0.25">
      <c r="A4172" s="17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IFERROR(VLOOKUP(B4172,'Diciembre 2023'!$B$2:$G$5822,4,0),"")</f>
        <v>APA_PC</v>
      </c>
    </row>
    <row r="4173" spans="1:7" x14ac:dyDescent="0.25">
      <c r="A4173" s="17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IFERROR(VLOOKUP(B4173,'Diciembre 2023'!$B$2:$G$5822,4,0),"")</f>
        <v>BM</v>
      </c>
    </row>
    <row r="4174" spans="1:7" x14ac:dyDescent="0.25">
      <c r="A4174" s="17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IFERROR(VLOOKUP(B4174,'Diciembre 2023'!$B$2:$G$5822,4,0),"")</f>
        <v>BM</v>
      </c>
    </row>
    <row r="4175" spans="1:7" x14ac:dyDescent="0.25">
      <c r="A4175" s="17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IFERROR(VLOOKUP(B4175,'Diciembre 2023'!$B$2:$G$5822,4,0),"")</f>
        <v>APA_PC</v>
      </c>
    </row>
    <row r="4176" spans="1:7" x14ac:dyDescent="0.25">
      <c r="A4176" s="17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IFERROR(VLOOKUP(B4176,'Diciembre 2023'!$B$2:$G$5822,4,0),"")</f>
        <v>APA_PC</v>
      </c>
    </row>
    <row r="4177" spans="1:7" x14ac:dyDescent="0.25">
      <c r="A4177" s="17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IFERROR(VLOOKUP(B4177,'Diciembre 2023'!$B$2:$G$5822,4,0),"")</f>
        <v>PL</v>
      </c>
    </row>
    <row r="4178" spans="1:7" x14ac:dyDescent="0.25">
      <c r="A4178" s="17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IFERROR(VLOOKUP(B4178,'Diciembre 2023'!$B$2:$G$5822,4,0),"")</f>
        <v>INACTINYA</v>
      </c>
    </row>
    <row r="4179" spans="1:7" x14ac:dyDescent="0.25">
      <c r="A4179" s="17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IFERROR(VLOOKUP(B4179,'Diciembre 2023'!$B$2:$G$5822,4,0),"")</f>
        <v>APA_PC</v>
      </c>
    </row>
    <row r="4180" spans="1:7" x14ac:dyDescent="0.25">
      <c r="A4180" s="17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IFERROR(VLOOKUP(B4180,'Diciembre 2023'!$B$2:$G$5822,4,0),"")</f>
        <v>BM</v>
      </c>
    </row>
    <row r="4181" spans="1:7" x14ac:dyDescent="0.25">
      <c r="A4181" s="17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IFERROR(VLOOKUP(B4181,'Diciembre 2023'!$B$2:$G$5822,4,0),"")</f>
        <v>BM</v>
      </c>
    </row>
    <row r="4182" spans="1:7" x14ac:dyDescent="0.25">
      <c r="A4182" s="17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IFERROR(VLOOKUP(B4182,'Diciembre 2023'!$B$2:$G$5822,4,0),"")</f>
        <v>BM</v>
      </c>
    </row>
    <row r="4183" spans="1:7" x14ac:dyDescent="0.25">
      <c r="A4183" s="17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IFERROR(VLOOKUP(B4183,'Diciembre 2023'!$B$2:$G$5822,4,0),"")</f>
        <v>INACTBCP</v>
      </c>
    </row>
    <row r="4184" spans="1:7" x14ac:dyDescent="0.25">
      <c r="A4184" s="17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IFERROR(VLOOKUP(B4184,'Diciembre 2023'!$B$2:$G$5822,4,0),"")</f>
        <v>ATAINY</v>
      </c>
    </row>
    <row r="4185" spans="1:7" x14ac:dyDescent="0.25">
      <c r="A4185" s="17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IFERROR(VLOOKUP(B4185,'Diciembre 2023'!$B$2:$G$5822,4,0),"")</f>
        <v>BM</v>
      </c>
    </row>
    <row r="4186" spans="1:7" x14ac:dyDescent="0.25">
      <c r="A4186" s="17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IFERROR(VLOOKUP(B4186,'Diciembre 2023'!$B$2:$G$5822,4,0),"")</f>
        <v>ACTPETS</v>
      </c>
    </row>
    <row r="4187" spans="1:7" x14ac:dyDescent="0.25">
      <c r="A4187" s="17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IFERROR(VLOOKUP(B4187,'Diciembre 2023'!$B$2:$G$5822,4,0),"")</f>
        <v>BM</v>
      </c>
    </row>
    <row r="4188" spans="1:7" x14ac:dyDescent="0.25">
      <c r="A4188" s="17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IFERROR(VLOOKUP(B4188,'Diciembre 2023'!$B$2:$G$5822,4,0),"")</f>
        <v>APA_PC</v>
      </c>
    </row>
    <row r="4189" spans="1:7" x14ac:dyDescent="0.25">
      <c r="A4189" s="17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IFERROR(VLOOKUP(B4189,'Diciembre 2023'!$B$2:$G$5822,4,0),"")</f>
        <v>APA_PC</v>
      </c>
    </row>
    <row r="4190" spans="1:7" x14ac:dyDescent="0.25">
      <c r="A4190" s="17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IFERROR(VLOOKUP(B4190,'Diciembre 2023'!$B$2:$G$5822,4,0),"")</f>
        <v>BM</v>
      </c>
    </row>
    <row r="4191" spans="1:7" x14ac:dyDescent="0.25">
      <c r="A4191" s="17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IFERROR(VLOOKUP(B4191,'Diciembre 2023'!$B$2:$G$5822,4,0),"")</f>
        <v>ACTPETF</v>
      </c>
    </row>
    <row r="4192" spans="1:7" x14ac:dyDescent="0.25">
      <c r="A4192" s="17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IFERROR(VLOOKUP(B4192,'Diciembre 2023'!$B$2:$G$5822,4,0),"")</f>
        <v>ACTPETF</v>
      </c>
    </row>
    <row r="4193" spans="1:7" x14ac:dyDescent="0.25">
      <c r="A4193" s="17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IFERROR(VLOOKUP(B4193,'Diciembre 2023'!$B$2:$G$5822,4,0),"")</f>
        <v>ACTPETS</v>
      </c>
    </row>
    <row r="4194" spans="1:7" x14ac:dyDescent="0.25">
      <c r="A4194" s="17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IFERROR(VLOOKUP(B4194,'Diciembre 2023'!$B$2:$G$5822,4,0),"")</f>
        <v>BM</v>
      </c>
    </row>
    <row r="4195" spans="1:7" x14ac:dyDescent="0.25">
      <c r="A4195" s="17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IFERROR(VLOOKUP(B4195,'Diciembre 2023'!$B$2:$G$5822,4,0),"")</f>
        <v>APA_PC</v>
      </c>
    </row>
    <row r="4196" spans="1:7" x14ac:dyDescent="0.25">
      <c r="A4196" s="17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IFERROR(VLOOKUP(B4196,'Diciembre 2023'!$B$2:$G$5822,4,0),"")</f>
        <v>APA_PC</v>
      </c>
    </row>
    <row r="4197" spans="1:7" x14ac:dyDescent="0.25">
      <c r="A4197" s="17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IFERROR(VLOOKUP(B4197,'Diciembre 2023'!$B$2:$G$5822,4,0),"")</f>
        <v>BM</v>
      </c>
    </row>
    <row r="4198" spans="1:7" x14ac:dyDescent="0.25">
      <c r="A4198" s="17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IFERROR(VLOOKUP(B4198,'Diciembre 2023'!$B$2:$G$5822,4,0),"")</f>
        <v>APA_PC</v>
      </c>
    </row>
    <row r="4199" spans="1:7" x14ac:dyDescent="0.25">
      <c r="A4199" s="17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IFERROR(VLOOKUP(B4199,'Diciembre 2023'!$B$2:$G$5822,4,0),"")</f>
        <v>ACTPETS</v>
      </c>
    </row>
    <row r="4200" spans="1:7" x14ac:dyDescent="0.25">
      <c r="A4200" s="17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IFERROR(VLOOKUP(B4200,'Diciembre 2023'!$B$2:$G$5822,4,0),"")</f>
        <v>INACTINYA</v>
      </c>
    </row>
    <row r="4201" spans="1:7" x14ac:dyDescent="0.25">
      <c r="A4201" s="17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IFERROR(VLOOKUP(B4201,'Diciembre 2023'!$B$2:$G$5822,4,0),"")</f>
        <v>ACTPETF</v>
      </c>
    </row>
    <row r="4202" spans="1:7" x14ac:dyDescent="0.25">
      <c r="A4202" s="17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IFERROR(VLOOKUP(B4202,'Diciembre 2023'!$B$2:$G$5822,4,0),"")</f>
        <v>ACTPETS</v>
      </c>
    </row>
    <row r="4203" spans="1:7" x14ac:dyDescent="0.25">
      <c r="A4203" s="17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IFERROR(VLOOKUP(B4203,'Diciembre 2023'!$B$2:$G$5822,4,0),"")</f>
        <v>ACTPETF</v>
      </c>
    </row>
    <row r="4204" spans="1:7" x14ac:dyDescent="0.25">
      <c r="A4204" s="17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IFERROR(VLOOKUP(B4204,'Diciembre 2023'!$B$2:$G$5822,4,0),"")</f>
        <v>ACTPETS</v>
      </c>
    </row>
    <row r="4205" spans="1:7" x14ac:dyDescent="0.25">
      <c r="A4205" s="17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IFERROR(VLOOKUP(B4205,'Diciembre 2023'!$B$2:$G$5822,4,0),"")</f>
        <v>APA_PC</v>
      </c>
    </row>
    <row r="4206" spans="1:7" x14ac:dyDescent="0.25">
      <c r="A4206" s="17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IFERROR(VLOOKUP(B4206,'Diciembre 2023'!$B$2:$G$5822,4,0),"")</f>
        <v>ACTPETS</v>
      </c>
    </row>
    <row r="4207" spans="1:7" x14ac:dyDescent="0.25">
      <c r="A4207" s="17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IFERROR(VLOOKUP(B4207,'Diciembre 2023'!$B$2:$G$5822,4,0),"")</f>
        <v>ACTPETS</v>
      </c>
    </row>
    <row r="4208" spans="1:7" x14ac:dyDescent="0.25">
      <c r="A4208" s="17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IFERROR(VLOOKUP(B4208,'Diciembre 2023'!$B$2:$G$5822,4,0),"")</f>
        <v>ATAPET</v>
      </c>
    </row>
    <row r="4209" spans="1:7" x14ac:dyDescent="0.25">
      <c r="A4209" s="17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IFERROR(VLOOKUP(B4209,'Diciembre 2023'!$B$2:$G$5822,4,0),"")</f>
        <v>INACTPETF</v>
      </c>
    </row>
    <row r="4210" spans="1:7" x14ac:dyDescent="0.25">
      <c r="A4210" s="17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IFERROR(VLOOKUP(B4210,'Diciembre 2023'!$B$2:$G$5822,4,0),"")</f>
        <v>BM</v>
      </c>
    </row>
    <row r="4211" spans="1:7" x14ac:dyDescent="0.25">
      <c r="A4211" s="17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IFERROR(VLOOKUP(B4211,'Diciembre 2023'!$B$2:$G$5822,4,0),"")</f>
        <v>APA_PC</v>
      </c>
    </row>
    <row r="4212" spans="1:7" x14ac:dyDescent="0.25">
      <c r="A4212" s="17"/>
      <c r="B4212" s="4" t="s">
        <v>4123</v>
      </c>
      <c r="C4212" s="4" t="s">
        <v>14</v>
      </c>
      <c r="D4212" s="4" t="s">
        <v>15</v>
      </c>
      <c r="E4212" s="4" t="s">
        <v>16</v>
      </c>
      <c r="F4212" s="4" t="s">
        <v>14</v>
      </c>
      <c r="G4212" s="5" t="str">
        <f>IFERROR(VLOOKUP(B4212,'Diciembre 2023'!$B$2:$G$5822,4,0),"")</f>
        <v>ATAPET</v>
      </c>
    </row>
    <row r="4213" spans="1:7" x14ac:dyDescent="0.25">
      <c r="A4213" s="17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IFERROR(VLOOKUP(B4213,'Diciembre 2023'!$B$2:$G$5822,4,0),"")</f>
        <v>APA_PC</v>
      </c>
    </row>
    <row r="4214" spans="1:7" x14ac:dyDescent="0.25">
      <c r="A4214" s="17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IFERROR(VLOOKUP(B4214,'Diciembre 2023'!$B$2:$G$5822,4,0),"")</f>
        <v>APA_PC</v>
      </c>
    </row>
    <row r="4215" spans="1:7" x14ac:dyDescent="0.25">
      <c r="A4215" s="17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IFERROR(VLOOKUP(B4215,'Diciembre 2023'!$B$2:$G$5822,4,0),"")</f>
        <v>BM</v>
      </c>
    </row>
    <row r="4216" spans="1:7" x14ac:dyDescent="0.25">
      <c r="A4216" s="17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IFERROR(VLOOKUP(B4216,'Diciembre 2023'!$B$2:$G$5822,4,0),"")</f>
        <v>APA_CNPC</v>
      </c>
    </row>
    <row r="4217" spans="1:7" x14ac:dyDescent="0.25">
      <c r="A4217" s="17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IFERROR(VLOOKUP(B4217,'Diciembre 2023'!$B$2:$G$5822,4,0),"")</f>
        <v>ACTPETS</v>
      </c>
    </row>
    <row r="4218" spans="1:7" x14ac:dyDescent="0.25">
      <c r="A4218" s="17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IFERROR(VLOOKUP(B4218,'Diciembre 2023'!$B$2:$G$5822,4,0),"")</f>
        <v>ACTPETS</v>
      </c>
    </row>
    <row r="4219" spans="1:7" x14ac:dyDescent="0.25">
      <c r="A4219" s="17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IFERROR(VLOOKUP(B4219,'Diciembre 2023'!$B$2:$G$5822,4,0),"")</f>
        <v>ATAPET</v>
      </c>
    </row>
    <row r="4220" spans="1:7" x14ac:dyDescent="0.25">
      <c r="A4220" s="17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IFERROR(VLOOKUP(B4220,'Diciembre 2023'!$B$2:$G$5822,4,0),"")</f>
        <v>APA_PC</v>
      </c>
    </row>
    <row r="4221" spans="1:7" x14ac:dyDescent="0.25">
      <c r="A4221" s="17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IFERROR(VLOOKUP(B4221,'Diciembre 2023'!$B$2:$G$5822,4,0),"")</f>
        <v>APA_PC</v>
      </c>
    </row>
    <row r="4222" spans="1:7" x14ac:dyDescent="0.25">
      <c r="A4222" s="17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tr">
        <f>IFERROR(VLOOKUP(B4222,'Diciembre 2023'!$B$2:$G$5822,4,0),"")</f>
        <v>INACTPETF</v>
      </c>
    </row>
    <row r="4223" spans="1:7" x14ac:dyDescent="0.25">
      <c r="A4223" s="17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IFERROR(VLOOKUP(B4223,'Diciembre 2023'!$B$2:$G$5822,4,0),"")</f>
        <v>APA_PC</v>
      </c>
    </row>
    <row r="4224" spans="1:7" x14ac:dyDescent="0.25">
      <c r="A4224" s="17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IFERROR(VLOOKUP(B4224,'Diciembre 2023'!$B$2:$G$5822,4,0),"")</f>
        <v>APA_PC</v>
      </c>
    </row>
    <row r="4225" spans="1:7" x14ac:dyDescent="0.25">
      <c r="A4225" s="17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IFERROR(VLOOKUP(B4225,'Diciembre 2023'!$B$2:$G$5822,4,0),"")</f>
        <v>BM</v>
      </c>
    </row>
    <row r="4226" spans="1:7" x14ac:dyDescent="0.25">
      <c r="A4226" s="17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IFERROR(VLOOKUP(B4226,'Diciembre 2023'!$B$2:$G$5822,4,0),"")</f>
        <v>ACTPETS</v>
      </c>
    </row>
    <row r="4227" spans="1:7" x14ac:dyDescent="0.25">
      <c r="A4227" s="17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IFERROR(VLOOKUP(B4227,'Diciembre 2023'!$B$2:$G$5822,4,0),"")</f>
        <v>APA_PC</v>
      </c>
    </row>
    <row r="4228" spans="1:7" x14ac:dyDescent="0.25">
      <c r="A4228" s="17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IFERROR(VLOOKUP(B4228,'Diciembre 2023'!$B$2:$G$5822,4,0),"")</f>
        <v>APA_PC</v>
      </c>
    </row>
    <row r="4229" spans="1:7" x14ac:dyDescent="0.25">
      <c r="A4229" s="17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IFERROR(VLOOKUP(B4229,'Diciembre 2023'!$B$2:$G$5822,4,0),"")</f>
        <v>ACTPETF</v>
      </c>
    </row>
    <row r="4230" spans="1:7" x14ac:dyDescent="0.25">
      <c r="A4230" s="17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IFERROR(VLOOKUP(B4230,'Diciembre 2023'!$B$2:$G$5822,4,0),"")</f>
        <v>ACTPETS</v>
      </c>
    </row>
    <row r="4231" spans="1:7" x14ac:dyDescent="0.25">
      <c r="A4231" s="17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IFERROR(VLOOKUP(B4231,'Diciembre 2023'!$B$2:$G$5822,4,0),"")</f>
        <v>INACTBM</v>
      </c>
    </row>
    <row r="4232" spans="1:7" x14ac:dyDescent="0.25">
      <c r="A4232" s="17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IFERROR(VLOOKUP(B4232,'Diciembre 2023'!$B$2:$G$5822,4,0),"")</f>
        <v>ATAPET</v>
      </c>
    </row>
    <row r="4233" spans="1:7" x14ac:dyDescent="0.25">
      <c r="A4233" s="17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IFERROR(VLOOKUP(B4233,'Diciembre 2023'!$B$2:$G$5822,4,0),"")</f>
        <v>APA_PC</v>
      </c>
    </row>
    <row r="4234" spans="1:7" x14ac:dyDescent="0.25">
      <c r="A4234" s="17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IFERROR(VLOOKUP(B4234,'Diciembre 2023'!$B$2:$G$5822,4,0),"")</f>
        <v>APA_PC</v>
      </c>
    </row>
    <row r="4235" spans="1:7" x14ac:dyDescent="0.25">
      <c r="A4235" s="17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IFERROR(VLOOKUP(B4235,'Diciembre 2023'!$B$2:$G$5822,4,0),"")</f>
        <v>APA_PC</v>
      </c>
    </row>
    <row r="4236" spans="1:7" x14ac:dyDescent="0.25">
      <c r="A4236" s="17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IFERROR(VLOOKUP(B4236,'Diciembre 2023'!$B$2:$G$5822,4,0),"")</f>
        <v>ATAPET</v>
      </c>
    </row>
    <row r="4237" spans="1:7" x14ac:dyDescent="0.25">
      <c r="A4237" s="17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IFERROR(VLOOKUP(B4237,'Diciembre 2023'!$B$2:$G$5822,4,0),"")</f>
        <v>BM</v>
      </c>
    </row>
    <row r="4238" spans="1:7" x14ac:dyDescent="0.25">
      <c r="A4238" s="17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IFERROR(VLOOKUP(B4238,'Diciembre 2023'!$B$2:$G$5822,4,0),"")</f>
        <v>APA_PC</v>
      </c>
    </row>
    <row r="4239" spans="1:7" x14ac:dyDescent="0.25">
      <c r="A4239" s="17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IFERROR(VLOOKUP(B4239,'Diciembre 2023'!$B$2:$G$5822,4,0),"")</f>
        <v>APA_PC</v>
      </c>
    </row>
    <row r="4240" spans="1:7" x14ac:dyDescent="0.25">
      <c r="A4240" s="17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IFERROR(VLOOKUP(B4240,'Diciembre 2023'!$B$2:$G$5822,4,0),"")</f>
        <v>ATAPET</v>
      </c>
    </row>
    <row r="4241" spans="1:7" x14ac:dyDescent="0.25">
      <c r="A4241" s="17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IFERROR(VLOOKUP(B4241,'Diciembre 2023'!$B$2:$G$5822,4,0),"")</f>
        <v>APA_PC</v>
      </c>
    </row>
    <row r="4242" spans="1:7" x14ac:dyDescent="0.25">
      <c r="A4242" s="17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IFERROR(VLOOKUP(B4242,'Diciembre 2023'!$B$2:$G$5822,4,0),"")</f>
        <v>APA_CNPC</v>
      </c>
    </row>
    <row r="4243" spans="1:7" x14ac:dyDescent="0.25">
      <c r="A4243" s="17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IFERROR(VLOOKUP(B4243,'Diciembre 2023'!$B$2:$G$5822,4,0),"")</f>
        <v>ATAPET</v>
      </c>
    </row>
    <row r="4244" spans="1:7" x14ac:dyDescent="0.25">
      <c r="A4244" s="17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IFERROR(VLOOKUP(B4244,'Diciembre 2023'!$B$2:$G$5822,4,0),"")</f>
        <v>APA_PC</v>
      </c>
    </row>
    <row r="4245" spans="1:7" x14ac:dyDescent="0.25">
      <c r="A4245" s="17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IFERROR(VLOOKUP(B4245,'Diciembre 2023'!$B$2:$G$5822,4,0),"")</f>
        <v>APA_PC</v>
      </c>
    </row>
    <row r="4246" spans="1:7" x14ac:dyDescent="0.25">
      <c r="A4246" s="17"/>
      <c r="B4246" s="4" t="s">
        <v>4157</v>
      </c>
      <c r="C4246" s="4" t="s">
        <v>14</v>
      </c>
      <c r="D4246" s="4" t="s">
        <v>15</v>
      </c>
      <c r="E4246" s="4" t="s">
        <v>16</v>
      </c>
      <c r="F4246" s="4" t="s">
        <v>14</v>
      </c>
      <c r="G4246" s="5" t="str">
        <f>IFERROR(VLOOKUP(B4246,'Diciembre 2023'!$B$2:$G$5822,4,0),"")</f>
        <v>ATAPET</v>
      </c>
    </row>
    <row r="4247" spans="1:7" x14ac:dyDescent="0.25">
      <c r="A4247" s="17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IFERROR(VLOOKUP(B4247,'Diciembre 2023'!$B$2:$G$5822,4,0),"")</f>
        <v>ACTPETS</v>
      </c>
    </row>
    <row r="4248" spans="1:7" x14ac:dyDescent="0.25">
      <c r="A4248" s="17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IFERROR(VLOOKUP(B4248,'Diciembre 2023'!$B$2:$G$5822,4,0),"")</f>
        <v>ACTPETS</v>
      </c>
    </row>
    <row r="4249" spans="1:7" x14ac:dyDescent="0.25">
      <c r="A4249" s="17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IFERROR(VLOOKUP(B4249,'Diciembre 2023'!$B$2:$G$5822,4,0),"")</f>
        <v>ACTPETS</v>
      </c>
    </row>
    <row r="4250" spans="1:7" x14ac:dyDescent="0.25">
      <c r="A4250" s="17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IFERROR(VLOOKUP(B4250,'Diciembre 2023'!$B$2:$G$5822,4,0),"")</f>
        <v>ACTPETS</v>
      </c>
    </row>
    <row r="4251" spans="1:7" x14ac:dyDescent="0.25">
      <c r="A4251" s="17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IFERROR(VLOOKUP(B4251,'Diciembre 2023'!$B$2:$G$5822,4,0),"")</f>
        <v>INACTINYG</v>
      </c>
    </row>
    <row r="4252" spans="1:7" x14ac:dyDescent="0.25">
      <c r="A4252" s="17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IFERROR(VLOOKUP(B4252,'Diciembre 2023'!$B$2:$G$5822,4,0),"")</f>
        <v>ATAPET</v>
      </c>
    </row>
    <row r="4253" spans="1:7" x14ac:dyDescent="0.25">
      <c r="A4253" s="17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IFERROR(VLOOKUP(B4253,'Diciembre 2023'!$B$2:$G$5822,4,0),"")</f>
        <v>ACTPETS</v>
      </c>
    </row>
    <row r="4254" spans="1:7" x14ac:dyDescent="0.25">
      <c r="A4254" s="17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IFERROR(VLOOKUP(B4254,'Diciembre 2023'!$B$2:$G$5822,4,0),"")</f>
        <v>BM</v>
      </c>
    </row>
    <row r="4255" spans="1:7" x14ac:dyDescent="0.25">
      <c r="A4255" s="17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IFERROR(VLOOKUP(B4255,'Diciembre 2023'!$B$2:$G$5822,4,0),"")</f>
        <v>BM</v>
      </c>
    </row>
    <row r="4256" spans="1:7" x14ac:dyDescent="0.25">
      <c r="A4256" s="17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IFERROR(VLOOKUP(B4256,'Diciembre 2023'!$B$2:$G$5822,4,0),"")</f>
        <v>BM</v>
      </c>
    </row>
    <row r="4257" spans="1:7" x14ac:dyDescent="0.25">
      <c r="A4257" s="17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IFERROR(VLOOKUP(B4257,'Diciembre 2023'!$B$2:$G$5822,4,0),"")</f>
        <v>BM</v>
      </c>
    </row>
    <row r="4258" spans="1:7" x14ac:dyDescent="0.25">
      <c r="A4258" s="17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IFERROR(VLOOKUP(B4258,'Diciembre 2023'!$B$2:$G$5822,4,0),"")</f>
        <v>BM</v>
      </c>
    </row>
    <row r="4259" spans="1:7" x14ac:dyDescent="0.25">
      <c r="A4259" s="17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IFERROR(VLOOKUP(B4259,'Diciembre 2023'!$B$2:$G$5822,4,0),"")</f>
        <v>BM</v>
      </c>
    </row>
    <row r="4260" spans="1:7" x14ac:dyDescent="0.25">
      <c r="A4260" s="17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IFERROR(VLOOKUP(B4260,'Diciembre 2023'!$B$2:$G$5822,4,0),"")</f>
        <v>ATAPET</v>
      </c>
    </row>
    <row r="4261" spans="1:7" x14ac:dyDescent="0.25">
      <c r="A4261" s="17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IFERROR(VLOOKUP(B4261,'Diciembre 2023'!$B$2:$G$5822,4,0),"")</f>
        <v>ACTPETS</v>
      </c>
    </row>
    <row r="4262" spans="1:7" x14ac:dyDescent="0.25">
      <c r="A4262" s="17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IFERROR(VLOOKUP(B4262,'Diciembre 2023'!$B$2:$G$5822,4,0),"")</f>
        <v>ACTPETF</v>
      </c>
    </row>
    <row r="4263" spans="1:7" x14ac:dyDescent="0.25">
      <c r="A4263" s="17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IFERROR(VLOOKUP(B4263,'Diciembre 2023'!$B$2:$G$5822,4,0),"")</f>
        <v>BM</v>
      </c>
    </row>
    <row r="4264" spans="1:7" x14ac:dyDescent="0.25">
      <c r="A4264" s="17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IFERROR(VLOOKUP(B4264,'Diciembre 2023'!$B$2:$G$5822,4,0),"")</f>
        <v>APA_PC</v>
      </c>
    </row>
    <row r="4265" spans="1:7" x14ac:dyDescent="0.25">
      <c r="A4265" s="17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IFERROR(VLOOKUP(B4265,'Diciembre 2023'!$B$2:$G$5822,4,0),"")</f>
        <v>BM</v>
      </c>
    </row>
    <row r="4266" spans="1:7" x14ac:dyDescent="0.25">
      <c r="A4266" s="17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IFERROR(VLOOKUP(B4266,'Diciembre 2023'!$B$2:$G$5822,4,0),"")</f>
        <v>ACTPETS</v>
      </c>
    </row>
    <row r="4267" spans="1:7" x14ac:dyDescent="0.25">
      <c r="A4267" s="17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IFERROR(VLOOKUP(B4267,'Diciembre 2023'!$B$2:$G$5822,4,0),"")</f>
        <v>ACTPETS</v>
      </c>
    </row>
    <row r="4268" spans="1:7" x14ac:dyDescent="0.25">
      <c r="A4268" s="17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IFERROR(VLOOKUP(B4268,'Diciembre 2023'!$B$2:$G$5822,4,0),"")</f>
        <v>INACTINYA</v>
      </c>
    </row>
    <row r="4269" spans="1:7" x14ac:dyDescent="0.25">
      <c r="A4269" s="17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IFERROR(VLOOKUP(B4269,'Diciembre 2023'!$B$2:$G$5822,4,0),"")</f>
        <v>APA_PC</v>
      </c>
    </row>
    <row r="4270" spans="1:7" x14ac:dyDescent="0.25">
      <c r="A4270" s="17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IFERROR(VLOOKUP(B4270,'Diciembre 2023'!$B$2:$G$5822,4,0),"")</f>
        <v>BM</v>
      </c>
    </row>
    <row r="4271" spans="1:7" x14ac:dyDescent="0.25">
      <c r="A4271" s="17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IFERROR(VLOOKUP(B4271,'Diciembre 2023'!$B$2:$G$5822,4,0),"")</f>
        <v>APA_CNPC</v>
      </c>
    </row>
    <row r="4272" spans="1:7" x14ac:dyDescent="0.25">
      <c r="A4272" s="17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IFERROR(VLOOKUP(B4272,'Diciembre 2023'!$B$2:$G$5822,4,0),"")</f>
        <v>APA_PC</v>
      </c>
    </row>
    <row r="4273" spans="1:7" x14ac:dyDescent="0.25">
      <c r="A4273" s="17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IFERROR(VLOOKUP(B4273,'Diciembre 2023'!$B$2:$G$5822,4,0),"")</f>
        <v>ACTPETS</v>
      </c>
    </row>
    <row r="4274" spans="1:7" x14ac:dyDescent="0.25">
      <c r="A4274" s="17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IFERROR(VLOOKUP(B4274,'Diciembre 2023'!$B$2:$G$5822,4,0),"")</f>
        <v>ACTPETS</v>
      </c>
    </row>
    <row r="4275" spans="1:7" x14ac:dyDescent="0.25">
      <c r="A4275" s="17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IFERROR(VLOOKUP(B4275,'Diciembre 2023'!$B$2:$G$5822,4,0),"")</f>
        <v>ACTPETF</v>
      </c>
    </row>
    <row r="4276" spans="1:7" x14ac:dyDescent="0.25">
      <c r="A4276" s="17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tr">
        <f>IFERROR(VLOOKUP(B4276,'Diciembre 2023'!$B$2:$G$5822,4,0),"")</f>
        <v>BO</v>
      </c>
    </row>
    <row r="4277" spans="1:7" x14ac:dyDescent="0.25">
      <c r="A4277" s="17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IFERROR(VLOOKUP(B4277,'Diciembre 2023'!$B$2:$G$5822,4,0),"")</f>
        <v>INACTPETF</v>
      </c>
    </row>
    <row r="4278" spans="1:7" x14ac:dyDescent="0.25">
      <c r="A4278" s="17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IFERROR(VLOOKUP(B4278,'Diciembre 2023'!$B$2:$G$5822,4,0),"")</f>
        <v>ACTPETS</v>
      </c>
    </row>
    <row r="4279" spans="1:7" x14ac:dyDescent="0.25">
      <c r="A4279" s="17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IFERROR(VLOOKUP(B4279,'Diciembre 2023'!$B$2:$G$5822,4,0),"")</f>
        <v>APA_PC</v>
      </c>
    </row>
    <row r="4280" spans="1:7" x14ac:dyDescent="0.25">
      <c r="A4280" s="17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IFERROR(VLOOKUP(B4280,'Diciembre 2023'!$B$2:$G$5822,4,0),"")</f>
        <v>APA_PC</v>
      </c>
    </row>
    <row r="4281" spans="1:7" x14ac:dyDescent="0.25">
      <c r="A4281" s="17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IFERROR(VLOOKUP(B4281,'Diciembre 2023'!$B$2:$G$5822,4,0),"")</f>
        <v>APA_PC</v>
      </c>
    </row>
    <row r="4282" spans="1:7" x14ac:dyDescent="0.25">
      <c r="A4282" s="17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IFERROR(VLOOKUP(B4282,'Diciembre 2023'!$B$2:$G$5822,4,0),"")</f>
        <v>ACTPETF</v>
      </c>
    </row>
    <row r="4283" spans="1:7" x14ac:dyDescent="0.25">
      <c r="A4283" s="17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IFERROR(VLOOKUP(B4283,'Diciembre 2023'!$B$2:$G$5822,4,0),"")</f>
        <v>APA_PC</v>
      </c>
    </row>
    <row r="4284" spans="1:7" x14ac:dyDescent="0.25">
      <c r="A4284" s="17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IFERROR(VLOOKUP(B4284,'Diciembre 2023'!$B$2:$G$5822,4,0),"")</f>
        <v>INACTPETS</v>
      </c>
    </row>
    <row r="4285" spans="1:7" x14ac:dyDescent="0.25">
      <c r="A4285" s="17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IFERROR(VLOOKUP(B4285,'Diciembre 2023'!$B$2:$G$5822,4,0),"")</f>
        <v>ACTPETF</v>
      </c>
    </row>
    <row r="4286" spans="1:7" x14ac:dyDescent="0.25">
      <c r="A4286" s="17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IFERROR(VLOOKUP(B4286,'Diciembre 2023'!$B$2:$G$5822,4,0),"")</f>
        <v>APA_PC</v>
      </c>
    </row>
    <row r="4287" spans="1:7" x14ac:dyDescent="0.25">
      <c r="A4287" s="17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IFERROR(VLOOKUP(B4287,'Diciembre 2023'!$B$2:$G$5822,4,0),"")</f>
        <v>BM</v>
      </c>
    </row>
    <row r="4288" spans="1:7" x14ac:dyDescent="0.25">
      <c r="A4288" s="17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IFERROR(VLOOKUP(B4288,'Diciembre 2023'!$B$2:$G$5822,4,0),"")</f>
        <v>APA_PC</v>
      </c>
    </row>
    <row r="4289" spans="1:7" x14ac:dyDescent="0.25">
      <c r="A4289" s="17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IFERROR(VLOOKUP(B4289,'Diciembre 2023'!$B$2:$G$5822,4,0),"")</f>
        <v>APA_PC</v>
      </c>
    </row>
    <row r="4290" spans="1:7" x14ac:dyDescent="0.25">
      <c r="A4290" s="17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IFERROR(VLOOKUP(B4290,'Diciembre 2023'!$B$2:$G$5822,4,0),"")</f>
        <v>APA_PC</v>
      </c>
    </row>
    <row r="4291" spans="1:7" x14ac:dyDescent="0.25">
      <c r="A4291" s="17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IFERROR(VLOOKUP(B4291,'Diciembre 2023'!$B$2:$G$5822,4,0),"")</f>
        <v>ACTPETF</v>
      </c>
    </row>
    <row r="4292" spans="1:7" x14ac:dyDescent="0.25">
      <c r="A4292" s="17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IFERROR(VLOOKUP(B4292,'Diciembre 2023'!$B$2:$G$5822,4,0),"")</f>
        <v>ACTPETS</v>
      </c>
    </row>
    <row r="4293" spans="1:7" x14ac:dyDescent="0.25">
      <c r="A4293" s="17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IFERROR(VLOOKUP(B4293,'Diciembre 2023'!$B$2:$G$5822,4,0),"")</f>
        <v>ACTPETS</v>
      </c>
    </row>
    <row r="4294" spans="1:7" x14ac:dyDescent="0.25">
      <c r="A4294" s="17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IFERROR(VLOOKUP(B4294,'Diciembre 2023'!$B$2:$G$5822,4,0),"")</f>
        <v>APA_PC</v>
      </c>
    </row>
    <row r="4295" spans="1:7" x14ac:dyDescent="0.25">
      <c r="A4295" s="17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IFERROR(VLOOKUP(B4295,'Diciembre 2023'!$B$2:$G$5822,4,0),"")</f>
        <v>APA_PC</v>
      </c>
    </row>
    <row r="4296" spans="1:7" x14ac:dyDescent="0.25">
      <c r="A4296" s="17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IFERROR(VLOOKUP(B4296,'Diciembre 2023'!$B$2:$G$5822,4,0),"")</f>
        <v>ACTPETS</v>
      </c>
    </row>
    <row r="4297" spans="1:7" x14ac:dyDescent="0.25">
      <c r="A4297" s="17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IFERROR(VLOOKUP(B4297,'Diciembre 2023'!$B$2:$G$5822,4,0),"")</f>
        <v>ACTPETS</v>
      </c>
    </row>
    <row r="4298" spans="1:7" x14ac:dyDescent="0.25">
      <c r="A4298" s="17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IFERROR(VLOOKUP(B4298,'Diciembre 2023'!$B$2:$G$5822,4,0),"")</f>
        <v>ACTPETS</v>
      </c>
    </row>
    <row r="4299" spans="1:7" x14ac:dyDescent="0.25">
      <c r="A4299" s="17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IFERROR(VLOOKUP(B4299,'Diciembre 2023'!$B$2:$G$5822,4,0),"")</f>
        <v>BO</v>
      </c>
    </row>
    <row r="4300" spans="1:7" x14ac:dyDescent="0.25">
      <c r="A4300" s="17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IFERROR(VLOOKUP(B4300,'Diciembre 2023'!$B$2:$G$5822,4,0),"")</f>
        <v>ACTPETS</v>
      </c>
    </row>
    <row r="4301" spans="1:7" x14ac:dyDescent="0.25">
      <c r="A4301" s="17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IFERROR(VLOOKUP(B4301,'Diciembre 2023'!$B$2:$G$5822,4,0),"")</f>
        <v>APA_PC</v>
      </c>
    </row>
    <row r="4302" spans="1:7" x14ac:dyDescent="0.25">
      <c r="A4302" s="17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IFERROR(VLOOKUP(B4302,'Diciembre 2023'!$B$2:$G$5822,4,0),"")</f>
        <v>APA_PC</v>
      </c>
    </row>
    <row r="4303" spans="1:7" x14ac:dyDescent="0.25">
      <c r="A4303" s="17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IFERROR(VLOOKUP(B4303,'Diciembre 2023'!$B$2:$G$5822,4,0),"")</f>
        <v>BM</v>
      </c>
    </row>
    <row r="4304" spans="1:7" x14ac:dyDescent="0.25">
      <c r="A4304" s="17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IFERROR(VLOOKUP(B4304,'Diciembre 2023'!$B$2:$G$5822,4,0),"")</f>
        <v>INACTBM</v>
      </c>
    </row>
    <row r="4305" spans="1:7" x14ac:dyDescent="0.25">
      <c r="A4305" s="17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IFERROR(VLOOKUP(B4305,'Diciembre 2023'!$B$2:$G$5822,4,0),"")</f>
        <v>APA_CNPC</v>
      </c>
    </row>
    <row r="4306" spans="1:7" x14ac:dyDescent="0.25">
      <c r="A4306" s="17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IFERROR(VLOOKUP(B4306,'Diciembre 2023'!$B$2:$G$5822,4,0),"")</f>
        <v>APA_PC</v>
      </c>
    </row>
    <row r="4307" spans="1:7" x14ac:dyDescent="0.25">
      <c r="A4307" s="17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IFERROR(VLOOKUP(B4307,'Diciembre 2023'!$B$2:$G$5822,4,0),"")</f>
        <v>ACTPETF</v>
      </c>
    </row>
    <row r="4308" spans="1:7" x14ac:dyDescent="0.25">
      <c r="A4308" s="17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IFERROR(VLOOKUP(B4308,'Diciembre 2023'!$B$2:$G$5822,4,0),"")</f>
        <v>APA_PC</v>
      </c>
    </row>
    <row r="4309" spans="1:7" x14ac:dyDescent="0.25">
      <c r="A4309" s="17"/>
      <c r="B4309" s="4" t="s">
        <v>4220</v>
      </c>
      <c r="C4309" s="4" t="s">
        <v>14</v>
      </c>
      <c r="D4309" s="4" t="s">
        <v>15</v>
      </c>
      <c r="E4309" s="4" t="s">
        <v>16</v>
      </c>
      <c r="F4309" s="4" t="s">
        <v>14</v>
      </c>
      <c r="G4309" s="5" t="str">
        <f>IFERROR(VLOOKUP(B4309,'Diciembre 2023'!$B$2:$G$5822,4,0),"")</f>
        <v>ATAPET</v>
      </c>
    </row>
    <row r="4310" spans="1:7" x14ac:dyDescent="0.25">
      <c r="A4310" s="17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IFERROR(VLOOKUP(B4310,'Diciembre 2023'!$B$2:$G$5822,4,0),"")</f>
        <v>BM</v>
      </c>
    </row>
    <row r="4311" spans="1:7" x14ac:dyDescent="0.25">
      <c r="A4311" s="17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IFERROR(VLOOKUP(B4311,'Diciembre 2023'!$B$2:$G$5822,4,0),"")</f>
        <v>APA_CNPC</v>
      </c>
    </row>
    <row r="4312" spans="1:7" x14ac:dyDescent="0.25">
      <c r="A4312" s="17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IFERROR(VLOOKUP(B4312,'Diciembre 2023'!$B$2:$G$5822,4,0),"")</f>
        <v>INACTPETS</v>
      </c>
    </row>
    <row r="4313" spans="1:7" x14ac:dyDescent="0.25">
      <c r="A4313" s="17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IFERROR(VLOOKUP(B4313,'Diciembre 2023'!$B$2:$G$5822,4,0),"")</f>
        <v>BM</v>
      </c>
    </row>
    <row r="4314" spans="1:7" x14ac:dyDescent="0.25">
      <c r="A4314" s="17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IFERROR(VLOOKUP(B4314,'Diciembre 2023'!$B$2:$G$5822,4,0),"")</f>
        <v>APA_PC</v>
      </c>
    </row>
    <row r="4315" spans="1:7" x14ac:dyDescent="0.25">
      <c r="A4315" s="17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IFERROR(VLOOKUP(B4315,'Diciembre 2023'!$B$2:$G$5822,4,0),"")</f>
        <v>ATAPET</v>
      </c>
    </row>
    <row r="4316" spans="1:7" x14ac:dyDescent="0.25">
      <c r="A4316" s="17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IFERROR(VLOOKUP(B4316,'Diciembre 2023'!$B$2:$G$5822,4,0),"")</f>
        <v>ACTPETS</v>
      </c>
    </row>
    <row r="4317" spans="1:7" x14ac:dyDescent="0.25">
      <c r="A4317" s="17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IFERROR(VLOOKUP(B4317,'Diciembre 2023'!$B$2:$G$5822,4,0),"")</f>
        <v>BM</v>
      </c>
    </row>
    <row r="4318" spans="1:7" x14ac:dyDescent="0.25">
      <c r="A4318" s="17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IFERROR(VLOOKUP(B4318,'Diciembre 2023'!$B$2:$G$5822,4,0),"")</f>
        <v>ACTPETS</v>
      </c>
    </row>
    <row r="4319" spans="1:7" x14ac:dyDescent="0.25">
      <c r="A4319" s="17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IFERROR(VLOOKUP(B4319,'Diciembre 2023'!$B$2:$G$5822,4,0),"")</f>
        <v>APA_PC</v>
      </c>
    </row>
    <row r="4320" spans="1:7" x14ac:dyDescent="0.25">
      <c r="A4320" s="17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IFERROR(VLOOKUP(B4320,'Diciembre 2023'!$B$2:$G$5822,4,0),"")</f>
        <v>ACTPETS</v>
      </c>
    </row>
    <row r="4321" spans="1:7" x14ac:dyDescent="0.25">
      <c r="A4321" s="17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IFERROR(VLOOKUP(B4321,'Diciembre 2023'!$B$2:$G$5822,4,0),"")</f>
        <v>ACTPETS</v>
      </c>
    </row>
    <row r="4322" spans="1:7" x14ac:dyDescent="0.25">
      <c r="A4322" s="17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IFERROR(VLOOKUP(B4322,'Diciembre 2023'!$B$2:$G$5822,4,0),"")</f>
        <v>ATAPET</v>
      </c>
    </row>
    <row r="4323" spans="1:7" x14ac:dyDescent="0.25">
      <c r="A4323" s="17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IFERROR(VLOOKUP(B4323,'Diciembre 2023'!$B$2:$G$5822,4,0),"")</f>
        <v>BM</v>
      </c>
    </row>
    <row r="4324" spans="1:7" x14ac:dyDescent="0.25">
      <c r="A4324" s="17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IFERROR(VLOOKUP(B4324,'Diciembre 2023'!$B$2:$G$5822,4,0),"")</f>
        <v>ACTPETF</v>
      </c>
    </row>
    <row r="4325" spans="1:7" x14ac:dyDescent="0.25">
      <c r="A4325" s="17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IFERROR(VLOOKUP(B4325,'Diciembre 2023'!$B$2:$G$5822,4,0),"")</f>
        <v>ACTPETS</v>
      </c>
    </row>
    <row r="4326" spans="1:7" x14ac:dyDescent="0.25">
      <c r="A4326" s="17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IFERROR(VLOOKUP(B4326,'Diciembre 2023'!$B$2:$G$5822,4,0),"")</f>
        <v>ACTPETS</v>
      </c>
    </row>
    <row r="4327" spans="1:7" x14ac:dyDescent="0.25">
      <c r="A4327" s="17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IFERROR(VLOOKUP(B4327,'Diciembre 2023'!$B$2:$G$5822,4,0),"")</f>
        <v>APA_PC</v>
      </c>
    </row>
    <row r="4328" spans="1:7" x14ac:dyDescent="0.25">
      <c r="A4328" s="17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IFERROR(VLOOKUP(B4328,'Diciembre 2023'!$B$2:$G$5822,4,0),"")</f>
        <v>APA_PC</v>
      </c>
    </row>
    <row r="4329" spans="1:7" x14ac:dyDescent="0.25">
      <c r="A4329" s="17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IFERROR(VLOOKUP(B4329,'Diciembre 2023'!$B$2:$G$5822,4,0),"")</f>
        <v>ACTPETF</v>
      </c>
    </row>
    <row r="4330" spans="1:7" x14ac:dyDescent="0.25">
      <c r="A4330" s="17"/>
      <c r="B4330" s="4" t="s">
        <v>4241</v>
      </c>
      <c r="C4330" s="4" t="s">
        <v>14</v>
      </c>
      <c r="D4330" s="4" t="s">
        <v>15</v>
      </c>
      <c r="E4330" s="4" t="s">
        <v>16</v>
      </c>
      <c r="F4330" s="4" t="s">
        <v>14</v>
      </c>
      <c r="G4330" s="5" t="str">
        <f>IFERROR(VLOOKUP(B4330,'Diciembre 2023'!$B$2:$G$5822,4,0),"")</f>
        <v>ATAPET</v>
      </c>
    </row>
    <row r="4331" spans="1:7" x14ac:dyDescent="0.25">
      <c r="A4331" s="17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IFERROR(VLOOKUP(B4331,'Diciembre 2023'!$B$2:$G$5822,4,0),"")</f>
        <v>ACTPETF</v>
      </c>
    </row>
    <row r="4332" spans="1:7" x14ac:dyDescent="0.25">
      <c r="A4332" s="17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IFERROR(VLOOKUP(B4332,'Diciembre 2023'!$B$2:$G$5822,4,0),"")</f>
        <v>BM</v>
      </c>
    </row>
    <row r="4333" spans="1:7" x14ac:dyDescent="0.25">
      <c r="A4333" s="17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IFERROR(VLOOKUP(B4333,'Diciembre 2023'!$B$2:$G$5822,4,0),"")</f>
        <v>APA_PC</v>
      </c>
    </row>
    <row r="4334" spans="1:7" x14ac:dyDescent="0.25">
      <c r="A4334" s="17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IFERROR(VLOOKUP(B4334,'Diciembre 2023'!$B$2:$G$5822,4,0),"")</f>
        <v>ATAPET</v>
      </c>
    </row>
    <row r="4335" spans="1:7" x14ac:dyDescent="0.25">
      <c r="A4335" s="17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IFERROR(VLOOKUP(B4335,'Diciembre 2023'!$B$2:$G$5822,4,0),"")</f>
        <v>ACTPETS</v>
      </c>
    </row>
    <row r="4336" spans="1:7" x14ac:dyDescent="0.25">
      <c r="A4336" s="17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IFERROR(VLOOKUP(B4336,'Diciembre 2023'!$B$2:$G$5822,4,0),"")</f>
        <v>ACTPETF</v>
      </c>
    </row>
    <row r="4337" spans="1:7" x14ac:dyDescent="0.25">
      <c r="A4337" s="17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IFERROR(VLOOKUP(B4337,'Diciembre 2023'!$B$2:$G$5822,4,0),"")</f>
        <v>ACTPETS</v>
      </c>
    </row>
    <row r="4338" spans="1:7" x14ac:dyDescent="0.25">
      <c r="A4338" s="17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IFERROR(VLOOKUP(B4338,'Diciembre 2023'!$B$2:$G$5822,4,0),"")</f>
        <v>BM</v>
      </c>
    </row>
    <row r="4339" spans="1:7" x14ac:dyDescent="0.25">
      <c r="A4339" s="17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IFERROR(VLOOKUP(B4339,'Diciembre 2023'!$B$2:$G$5822,4,0),"")</f>
        <v>APA_PC</v>
      </c>
    </row>
    <row r="4340" spans="1:7" x14ac:dyDescent="0.25">
      <c r="A4340" s="17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IFERROR(VLOOKUP(B4340,'Diciembre 2023'!$B$2:$G$5822,4,0),"")</f>
        <v>ATAPET</v>
      </c>
    </row>
    <row r="4341" spans="1:7" x14ac:dyDescent="0.25">
      <c r="A4341" s="17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IFERROR(VLOOKUP(B4341,'Diciembre 2023'!$B$2:$G$5822,4,0),"")</f>
        <v>ATAPET</v>
      </c>
    </row>
    <row r="4342" spans="1:7" x14ac:dyDescent="0.25">
      <c r="A4342" s="17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IFERROR(VLOOKUP(B4342,'Diciembre 2023'!$B$2:$G$5822,4,0),"")</f>
        <v>ATAPET</v>
      </c>
    </row>
    <row r="4343" spans="1:7" x14ac:dyDescent="0.25">
      <c r="A4343" s="17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IFERROR(VLOOKUP(B4343,'Diciembre 2023'!$B$2:$G$5822,4,0),"")</f>
        <v>BM</v>
      </c>
    </row>
    <row r="4344" spans="1:7" x14ac:dyDescent="0.25">
      <c r="A4344" s="17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IFERROR(VLOOKUP(B4344,'Diciembre 2023'!$B$2:$G$5822,4,0),"")</f>
        <v>BM</v>
      </c>
    </row>
    <row r="4345" spans="1:7" x14ac:dyDescent="0.25">
      <c r="A4345" s="17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IFERROR(VLOOKUP(B4345,'Diciembre 2023'!$B$2:$G$5822,4,0),"")</f>
        <v>BM</v>
      </c>
    </row>
    <row r="4346" spans="1:7" x14ac:dyDescent="0.25">
      <c r="A4346" s="17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IFERROR(VLOOKUP(B4346,'Diciembre 2023'!$B$2:$G$5822,4,0),"")</f>
        <v>ATAPET</v>
      </c>
    </row>
    <row r="4347" spans="1:7" x14ac:dyDescent="0.25">
      <c r="A4347" s="17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IFERROR(VLOOKUP(B4347,'Diciembre 2023'!$B$2:$G$5822,4,0),"")</f>
        <v>APA_CNPC</v>
      </c>
    </row>
    <row r="4348" spans="1:7" x14ac:dyDescent="0.25">
      <c r="A4348" s="17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IFERROR(VLOOKUP(B4348,'Diciembre 2023'!$B$2:$G$5822,4,0),"")</f>
        <v>ACTINYA</v>
      </c>
    </row>
    <row r="4349" spans="1:7" x14ac:dyDescent="0.25">
      <c r="A4349" s="17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IFERROR(VLOOKUP(B4349,'Diciembre 2023'!$B$2:$G$5822,4,0),"")</f>
        <v>INACTPETS</v>
      </c>
    </row>
    <row r="4350" spans="1:7" x14ac:dyDescent="0.25">
      <c r="A4350" s="17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IFERROR(VLOOKUP(B4350,'Diciembre 2023'!$B$2:$G$5822,4,0),"")</f>
        <v>APA_PC</v>
      </c>
    </row>
    <row r="4351" spans="1:7" x14ac:dyDescent="0.25">
      <c r="A4351" s="17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IFERROR(VLOOKUP(B4351,'Diciembre 2023'!$B$2:$G$5822,4,0),"")</f>
        <v>ATAPET</v>
      </c>
    </row>
    <row r="4352" spans="1:7" x14ac:dyDescent="0.25">
      <c r="A4352" s="17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IFERROR(VLOOKUP(B4352,'Diciembre 2023'!$B$2:$G$5822,4,0),"")</f>
        <v>INACTBM</v>
      </c>
    </row>
    <row r="4353" spans="1:7" x14ac:dyDescent="0.25">
      <c r="A4353" s="17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IFERROR(VLOOKUP(B4353,'Diciembre 2023'!$B$2:$G$5822,4,0),"")</f>
        <v>APA_PC</v>
      </c>
    </row>
    <row r="4354" spans="1:7" x14ac:dyDescent="0.25">
      <c r="A4354" s="17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IFERROR(VLOOKUP(B4354,'Diciembre 2023'!$B$2:$G$5822,4,0),"")</f>
        <v>BM</v>
      </c>
    </row>
    <row r="4355" spans="1:7" x14ac:dyDescent="0.25">
      <c r="A4355" s="17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IFERROR(VLOOKUP(B4355,'Diciembre 2023'!$B$2:$G$5822,4,0),"")</f>
        <v>INACTPETS</v>
      </c>
    </row>
    <row r="4356" spans="1:7" x14ac:dyDescent="0.25">
      <c r="A4356" s="17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IFERROR(VLOOKUP(B4356,'Diciembre 2023'!$B$2:$G$5822,4,0),"")</f>
        <v>ATAPET</v>
      </c>
    </row>
    <row r="4357" spans="1:7" x14ac:dyDescent="0.25">
      <c r="A4357" s="17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IFERROR(VLOOKUP(B4357,'Diciembre 2023'!$B$2:$G$5822,4,0),"")</f>
        <v>APA_PC</v>
      </c>
    </row>
    <row r="4358" spans="1:7" x14ac:dyDescent="0.25">
      <c r="A4358" s="17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IFERROR(VLOOKUP(B4358,'Diciembre 2023'!$B$2:$G$5822,4,0),"")</f>
        <v>ACTINYA</v>
      </c>
    </row>
    <row r="4359" spans="1:7" x14ac:dyDescent="0.25">
      <c r="A4359" s="17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IFERROR(VLOOKUP(B4359,'Diciembre 2023'!$B$2:$G$5822,4,0),"")</f>
        <v>APA_PC</v>
      </c>
    </row>
    <row r="4360" spans="1:7" x14ac:dyDescent="0.25">
      <c r="A4360" s="17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IFERROR(VLOOKUP(B4360,'Diciembre 2023'!$B$2:$G$5822,4,0),"")</f>
        <v>BM</v>
      </c>
    </row>
    <row r="4361" spans="1:7" x14ac:dyDescent="0.25">
      <c r="A4361" s="17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IFERROR(VLOOKUP(B4361,'Diciembre 2023'!$B$2:$G$5822,4,0),"")</f>
        <v>ATAPET</v>
      </c>
    </row>
    <row r="4362" spans="1:7" x14ac:dyDescent="0.25">
      <c r="A4362" s="17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IFERROR(VLOOKUP(B4362,'Diciembre 2023'!$B$2:$G$5822,4,0),"")</f>
        <v>APA_PC</v>
      </c>
    </row>
    <row r="4363" spans="1:7" x14ac:dyDescent="0.25">
      <c r="A4363" s="17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IFERROR(VLOOKUP(B4363,'Diciembre 2023'!$B$2:$G$5822,4,0),"")</f>
        <v>ATAPET</v>
      </c>
    </row>
    <row r="4364" spans="1:7" x14ac:dyDescent="0.25">
      <c r="A4364" s="17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IFERROR(VLOOKUP(B4364,'Diciembre 2023'!$B$2:$G$5822,4,0),"")</f>
        <v>APA_PC</v>
      </c>
    </row>
    <row r="4365" spans="1:7" x14ac:dyDescent="0.25">
      <c r="A4365" s="17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IFERROR(VLOOKUP(B4365,'Diciembre 2023'!$B$2:$G$5822,4,0),"")</f>
        <v>APA_PC</v>
      </c>
    </row>
    <row r="4366" spans="1:7" x14ac:dyDescent="0.25">
      <c r="A4366" s="17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IFERROR(VLOOKUP(B4366,'Diciembre 2023'!$B$2:$G$5822,4,0),"")</f>
        <v>APA_PC</v>
      </c>
    </row>
    <row r="4367" spans="1:7" x14ac:dyDescent="0.25">
      <c r="A4367" s="17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IFERROR(VLOOKUP(B4367,'Diciembre 2023'!$B$2:$G$5822,4,0),"")</f>
        <v>APA_PC</v>
      </c>
    </row>
    <row r="4368" spans="1:7" x14ac:dyDescent="0.25">
      <c r="A4368" s="17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IFERROR(VLOOKUP(B4368,'Diciembre 2023'!$B$2:$G$5822,4,0),"")</f>
        <v>APA_PC</v>
      </c>
    </row>
    <row r="4369" spans="1:7" x14ac:dyDescent="0.25">
      <c r="A4369" s="17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IFERROR(VLOOKUP(B4369,'Diciembre 2023'!$B$2:$G$5822,4,0),"")</f>
        <v>ATAPET</v>
      </c>
    </row>
    <row r="4370" spans="1:7" x14ac:dyDescent="0.25">
      <c r="A4370" s="17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IFERROR(VLOOKUP(B4370,'Diciembre 2023'!$B$2:$G$5822,4,0),"")</f>
        <v>APA_PC</v>
      </c>
    </row>
    <row r="4371" spans="1:7" x14ac:dyDescent="0.25">
      <c r="A4371" s="17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IFERROR(VLOOKUP(B4371,'Diciembre 2023'!$B$2:$G$5822,4,0),"")</f>
        <v>BM</v>
      </c>
    </row>
    <row r="4372" spans="1:7" x14ac:dyDescent="0.25">
      <c r="A4372" s="17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IFERROR(VLOOKUP(B4372,'Diciembre 2023'!$B$2:$G$5822,4,0),"")</f>
        <v>ATAPET</v>
      </c>
    </row>
    <row r="4373" spans="1:7" x14ac:dyDescent="0.25">
      <c r="A4373" s="17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IFERROR(VLOOKUP(B4373,'Diciembre 2023'!$B$2:$G$5822,4,0),"")</f>
        <v>BM</v>
      </c>
    </row>
    <row r="4374" spans="1:7" x14ac:dyDescent="0.25">
      <c r="A4374" s="17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IFERROR(VLOOKUP(B4374,'Diciembre 2023'!$B$2:$G$5822,4,0),"")</f>
        <v>ATAPET</v>
      </c>
    </row>
    <row r="4375" spans="1:7" x14ac:dyDescent="0.25">
      <c r="A4375" s="17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IFERROR(VLOOKUP(B4375,'Diciembre 2023'!$B$2:$G$5822,4,0),"")</f>
        <v>ATAPET</v>
      </c>
    </row>
    <row r="4376" spans="1:7" x14ac:dyDescent="0.25">
      <c r="A4376" s="17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IFERROR(VLOOKUP(B4376,'Diciembre 2023'!$B$2:$G$5822,4,0),"")</f>
        <v>ACTPETF</v>
      </c>
    </row>
    <row r="4377" spans="1:7" x14ac:dyDescent="0.25">
      <c r="A4377" s="17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IFERROR(VLOOKUP(B4377,'Diciembre 2023'!$B$2:$G$5822,4,0),"")</f>
        <v>ATAPET</v>
      </c>
    </row>
    <row r="4378" spans="1:7" x14ac:dyDescent="0.25">
      <c r="A4378" s="17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IFERROR(VLOOKUP(B4378,'Diciembre 2023'!$B$2:$G$5822,4,0),"")</f>
        <v>ATAPET</v>
      </c>
    </row>
    <row r="4379" spans="1:7" x14ac:dyDescent="0.25">
      <c r="A4379" s="17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IFERROR(VLOOKUP(B4379,'Diciembre 2023'!$B$2:$G$5822,4,0),"")</f>
        <v>APA_CNPC</v>
      </c>
    </row>
    <row r="4380" spans="1:7" x14ac:dyDescent="0.25">
      <c r="A4380" s="17"/>
      <c r="B4380" s="4" t="s">
        <v>4291</v>
      </c>
      <c r="C4380" s="4" t="s">
        <v>14</v>
      </c>
      <c r="D4380" s="4" t="s">
        <v>15</v>
      </c>
      <c r="E4380" s="4" t="s">
        <v>16</v>
      </c>
      <c r="F4380" s="4" t="s">
        <v>14</v>
      </c>
      <c r="G4380" s="5" t="str">
        <f>IFERROR(VLOOKUP(B4380,'Diciembre 2023'!$B$2:$G$5822,4,0),"")</f>
        <v>ATAPET</v>
      </c>
    </row>
    <row r="4381" spans="1:7" x14ac:dyDescent="0.25">
      <c r="A4381" s="17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IFERROR(VLOOKUP(B4381,'Diciembre 2023'!$B$2:$G$5822,4,0),"")</f>
        <v>APA_PC</v>
      </c>
    </row>
    <row r="4382" spans="1:7" x14ac:dyDescent="0.25">
      <c r="A4382" s="17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IFERROR(VLOOKUP(B4382,'Diciembre 2023'!$B$2:$G$5822,4,0),"")</f>
        <v>ATAPET</v>
      </c>
    </row>
    <row r="4383" spans="1:7" x14ac:dyDescent="0.25">
      <c r="A4383" s="17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IFERROR(VLOOKUP(B4383,'Diciembre 2023'!$B$2:$G$5822,4,0),"")</f>
        <v>BM</v>
      </c>
    </row>
    <row r="4384" spans="1:7" x14ac:dyDescent="0.25">
      <c r="A4384" s="17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IFERROR(VLOOKUP(B4384,'Diciembre 2023'!$B$2:$G$5822,4,0),"")</f>
        <v>ATAPET</v>
      </c>
    </row>
    <row r="4385" spans="1:7" x14ac:dyDescent="0.25">
      <c r="A4385" s="17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IFERROR(VLOOKUP(B4385,'Diciembre 2023'!$B$2:$G$5822,4,0),"")</f>
        <v>APA_PB</v>
      </c>
    </row>
    <row r="4386" spans="1:7" x14ac:dyDescent="0.25">
      <c r="A4386" s="17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IFERROR(VLOOKUP(B4386,'Diciembre 2023'!$B$2:$G$5822,4,0),"")</f>
        <v>BM</v>
      </c>
    </row>
    <row r="4387" spans="1:7" x14ac:dyDescent="0.25">
      <c r="A4387" s="17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IFERROR(VLOOKUP(B4387,'Diciembre 2023'!$B$2:$G$5822,4,0),"")</f>
        <v>ATAPET</v>
      </c>
    </row>
    <row r="4388" spans="1:7" x14ac:dyDescent="0.25">
      <c r="A4388" s="17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IFERROR(VLOOKUP(B4388,'Diciembre 2023'!$B$2:$G$5822,4,0),"")</f>
        <v>APA_PC</v>
      </c>
    </row>
    <row r="4389" spans="1:7" x14ac:dyDescent="0.25">
      <c r="A4389" s="17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IFERROR(VLOOKUP(B4389,'Diciembre 2023'!$B$2:$G$5822,4,0),"")</f>
        <v>APA_CNPC</v>
      </c>
    </row>
    <row r="4390" spans="1:7" x14ac:dyDescent="0.25">
      <c r="A4390" s="17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IFERROR(VLOOKUP(B4390,'Diciembre 2023'!$B$2:$G$5822,4,0),"")</f>
        <v>ATAPET</v>
      </c>
    </row>
    <row r="4391" spans="1:7" x14ac:dyDescent="0.25">
      <c r="A4391" s="17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IFERROR(VLOOKUP(B4391,'Diciembre 2023'!$B$2:$G$5822,4,0),"")</f>
        <v>ATAPET</v>
      </c>
    </row>
    <row r="4392" spans="1:7" x14ac:dyDescent="0.25">
      <c r="A4392" s="17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IFERROR(VLOOKUP(B4392,'Diciembre 2023'!$B$2:$G$5822,4,0),"")</f>
        <v>APA_PC</v>
      </c>
    </row>
    <row r="4393" spans="1:7" x14ac:dyDescent="0.25">
      <c r="A4393" s="17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IFERROR(VLOOKUP(B4393,'Diciembre 2023'!$B$2:$G$5822,4,0),"")</f>
        <v>APA_PC</v>
      </c>
    </row>
    <row r="4394" spans="1:7" x14ac:dyDescent="0.25">
      <c r="A4394" s="17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IFERROR(VLOOKUP(B4394,'Diciembre 2023'!$B$2:$G$5822,4,0),"")</f>
        <v>ATAPET</v>
      </c>
    </row>
    <row r="4395" spans="1:7" x14ac:dyDescent="0.25">
      <c r="A4395" s="17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IFERROR(VLOOKUP(B4395,'Diciembre 2023'!$B$2:$G$5822,4,0),"")</f>
        <v>APA_PC</v>
      </c>
    </row>
    <row r="4396" spans="1:7" x14ac:dyDescent="0.25">
      <c r="A4396" s="17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IFERROR(VLOOKUP(B4396,'Diciembre 2023'!$B$2:$G$5822,4,0),"")</f>
        <v>ACTPETS</v>
      </c>
    </row>
    <row r="4397" spans="1:7" x14ac:dyDescent="0.25">
      <c r="A4397" s="17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IFERROR(VLOOKUP(B4397,'Diciembre 2023'!$B$2:$G$5822,4,0),"")</f>
        <v>INACTBM</v>
      </c>
    </row>
    <row r="4398" spans="1:7" x14ac:dyDescent="0.25">
      <c r="A4398" s="17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IFERROR(VLOOKUP(B4398,'Diciembre 2023'!$B$2:$G$5822,4,0),"")</f>
        <v>ATAPET</v>
      </c>
    </row>
    <row r="4399" spans="1:7" x14ac:dyDescent="0.25">
      <c r="A4399" s="17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IFERROR(VLOOKUP(B4399,'Diciembre 2023'!$B$2:$G$5822,4,0),"")</f>
        <v>APA_PC</v>
      </c>
    </row>
    <row r="4400" spans="1:7" x14ac:dyDescent="0.25">
      <c r="A4400" s="17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IFERROR(VLOOKUP(B4400,'Diciembre 2023'!$B$2:$G$5822,4,0),"")</f>
        <v>APA_PC</v>
      </c>
    </row>
    <row r="4401" spans="1:7" x14ac:dyDescent="0.25">
      <c r="A4401" s="17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IFERROR(VLOOKUP(B4401,'Diciembre 2023'!$B$2:$G$5822,4,0),"")</f>
        <v>BM</v>
      </c>
    </row>
    <row r="4402" spans="1:7" x14ac:dyDescent="0.25">
      <c r="A4402" s="17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IFERROR(VLOOKUP(B4402,'Diciembre 2023'!$B$2:$G$5822,4,0),"")</f>
        <v>ATAPET</v>
      </c>
    </row>
    <row r="4403" spans="1:7" x14ac:dyDescent="0.25">
      <c r="A4403" s="17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IFERROR(VLOOKUP(B4403,'Diciembre 2023'!$B$2:$G$5822,4,0),"")</f>
        <v>ACTPETF</v>
      </c>
    </row>
    <row r="4404" spans="1:7" x14ac:dyDescent="0.25">
      <c r="A4404" s="17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IFERROR(VLOOKUP(B4404,'Diciembre 2023'!$B$2:$G$5822,4,0),"")</f>
        <v>APA_CNPC</v>
      </c>
    </row>
    <row r="4405" spans="1:7" x14ac:dyDescent="0.25">
      <c r="A4405" s="17"/>
      <c r="B4405" s="4" t="s">
        <v>4316</v>
      </c>
      <c r="C4405" s="4" t="s">
        <v>14</v>
      </c>
      <c r="D4405" s="4" t="s">
        <v>15</v>
      </c>
      <c r="E4405" s="4" t="s">
        <v>16</v>
      </c>
      <c r="F4405" s="4" t="s">
        <v>14</v>
      </c>
      <c r="G4405" s="5" t="str">
        <f>IFERROR(VLOOKUP(B4405,'Diciembre 2023'!$B$2:$G$5822,4,0),"")</f>
        <v>ATAPET</v>
      </c>
    </row>
    <row r="4406" spans="1:7" x14ac:dyDescent="0.25">
      <c r="A4406" s="17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tr">
        <f>IFERROR(VLOOKUP(B4406,'Diciembre 2023'!$B$2:$G$5822,4,0),"")</f>
        <v>ACTPETS</v>
      </c>
    </row>
    <row r="4407" spans="1:7" x14ac:dyDescent="0.25">
      <c r="A4407" s="17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IFERROR(VLOOKUP(B4407,'Diciembre 2023'!$B$2:$G$5822,4,0),"")</f>
        <v>INACTBM</v>
      </c>
    </row>
    <row r="4408" spans="1:7" x14ac:dyDescent="0.25">
      <c r="A4408" s="17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IFERROR(VLOOKUP(B4408,'Diciembre 2023'!$B$2:$G$5822,4,0),"")</f>
        <v>APA_PC</v>
      </c>
    </row>
    <row r="4409" spans="1:7" x14ac:dyDescent="0.25">
      <c r="A4409" s="17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IFERROR(VLOOKUP(B4409,'Diciembre 2023'!$B$2:$G$5822,4,0),"")</f>
        <v>APA_PB</v>
      </c>
    </row>
    <row r="4410" spans="1:7" x14ac:dyDescent="0.25">
      <c r="A4410" s="17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IFERROR(VLOOKUP(B4410,'Diciembre 2023'!$B$2:$G$5822,4,0),"")</f>
        <v>APA_CNPC</v>
      </c>
    </row>
    <row r="4411" spans="1:7" x14ac:dyDescent="0.25">
      <c r="A4411" s="17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IFERROR(VLOOKUP(B4411,'Diciembre 2023'!$B$2:$G$5822,4,0),"")</f>
        <v>APA_PC</v>
      </c>
    </row>
    <row r="4412" spans="1:7" x14ac:dyDescent="0.25">
      <c r="A4412" s="17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IFERROR(VLOOKUP(B4412,'Diciembre 2023'!$B$2:$G$5822,4,0),"")</f>
        <v>INACTPETS</v>
      </c>
    </row>
    <row r="4413" spans="1:7" x14ac:dyDescent="0.25">
      <c r="A4413" s="17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IFERROR(VLOOKUP(B4413,'Diciembre 2023'!$B$2:$G$5822,4,0),"")</f>
        <v>ACTINYA</v>
      </c>
    </row>
    <row r="4414" spans="1:7" x14ac:dyDescent="0.25">
      <c r="A4414" s="17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IFERROR(VLOOKUP(B4414,'Diciembre 2023'!$B$2:$G$5822,4,0),"")</f>
        <v>BM</v>
      </c>
    </row>
    <row r="4415" spans="1:7" x14ac:dyDescent="0.25">
      <c r="A4415" s="17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IFERROR(VLOOKUP(B4415,'Diciembre 2023'!$B$2:$G$5822,4,0),"")</f>
        <v>ACTPETF</v>
      </c>
    </row>
    <row r="4416" spans="1:7" x14ac:dyDescent="0.25">
      <c r="A4416" s="17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IFERROR(VLOOKUP(B4416,'Diciembre 2023'!$B$2:$G$5822,4,0),"")</f>
        <v>APA_PC</v>
      </c>
    </row>
    <row r="4417" spans="1:7" x14ac:dyDescent="0.25">
      <c r="A4417" s="17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IFERROR(VLOOKUP(B4417,'Diciembre 2023'!$B$2:$G$5822,4,0),"")</f>
        <v>ACTPETF</v>
      </c>
    </row>
    <row r="4418" spans="1:7" x14ac:dyDescent="0.25">
      <c r="A4418" s="17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IFERROR(VLOOKUP(B4418,'Diciembre 2023'!$B$2:$G$5822,4,0),"")</f>
        <v>ATAPET</v>
      </c>
    </row>
    <row r="4419" spans="1:7" x14ac:dyDescent="0.25">
      <c r="A4419" s="17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IFERROR(VLOOKUP(B4419,'Diciembre 2023'!$B$2:$G$5822,4,0),"")</f>
        <v>APA_PB</v>
      </c>
    </row>
    <row r="4420" spans="1:7" x14ac:dyDescent="0.25">
      <c r="A4420" s="17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IFERROR(VLOOKUP(B4420,'Diciembre 2023'!$B$2:$G$5822,4,0),"")</f>
        <v>APA_PC</v>
      </c>
    </row>
    <row r="4421" spans="1:7" x14ac:dyDescent="0.25">
      <c r="A4421" s="17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IFERROR(VLOOKUP(B4421,'Diciembre 2023'!$B$2:$G$5822,4,0),"")</f>
        <v>APA_PC</v>
      </c>
    </row>
    <row r="4422" spans="1:7" x14ac:dyDescent="0.25">
      <c r="A4422" s="17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IFERROR(VLOOKUP(B4422,'Diciembre 2023'!$B$2:$G$5822,4,0),"")</f>
        <v>APA_PC</v>
      </c>
    </row>
    <row r="4423" spans="1:7" x14ac:dyDescent="0.25">
      <c r="A4423" s="17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IFERROR(VLOOKUP(B4423,'Diciembre 2023'!$B$2:$G$5822,4,0),"")</f>
        <v>APA_PC</v>
      </c>
    </row>
    <row r="4424" spans="1:7" x14ac:dyDescent="0.25">
      <c r="A4424" s="17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IFERROR(VLOOKUP(B4424,'Diciembre 2023'!$B$2:$G$5822,4,0),"")</f>
        <v>APA_PC</v>
      </c>
    </row>
    <row r="4425" spans="1:7" x14ac:dyDescent="0.25">
      <c r="A4425" s="17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IFERROR(VLOOKUP(B4425,'Diciembre 2023'!$B$2:$G$5822,4,0),"")</f>
        <v>ACTPETS</v>
      </c>
    </row>
    <row r="4426" spans="1:7" x14ac:dyDescent="0.25">
      <c r="A4426" s="17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IFERROR(VLOOKUP(B4426,'Diciembre 2023'!$B$2:$G$5822,4,0),"")</f>
        <v>BM</v>
      </c>
    </row>
    <row r="4427" spans="1:7" x14ac:dyDescent="0.25">
      <c r="A4427" s="17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IFERROR(VLOOKUP(B4427,'Diciembre 2023'!$B$2:$G$5822,4,0),"")</f>
        <v>APA_PB</v>
      </c>
    </row>
    <row r="4428" spans="1:7" x14ac:dyDescent="0.25">
      <c r="A4428" s="17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IFERROR(VLOOKUP(B4428,'Diciembre 2023'!$B$2:$G$5822,4,0),"")</f>
        <v>APA_PC</v>
      </c>
    </row>
    <row r="4429" spans="1:7" x14ac:dyDescent="0.25">
      <c r="A4429" s="17"/>
      <c r="B4429" s="4" t="s">
        <v>4340</v>
      </c>
      <c r="C4429" s="4" t="s">
        <v>14</v>
      </c>
      <c r="D4429" s="4" t="s">
        <v>15</v>
      </c>
      <c r="E4429" s="4" t="s">
        <v>16</v>
      </c>
      <c r="F4429" s="4" t="s">
        <v>14</v>
      </c>
      <c r="G4429" s="5" t="str">
        <f>IFERROR(VLOOKUP(B4429,'Diciembre 2023'!$B$2:$G$5822,4,0),"")</f>
        <v>ATAPET</v>
      </c>
    </row>
    <row r="4430" spans="1:7" x14ac:dyDescent="0.25">
      <c r="A4430" s="17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IFERROR(VLOOKUP(B4430,'Diciembre 2023'!$B$2:$G$5822,4,0),"")</f>
        <v>APA_PC</v>
      </c>
    </row>
    <row r="4431" spans="1:7" x14ac:dyDescent="0.25">
      <c r="A4431" s="17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IFERROR(VLOOKUP(B4431,'Diciembre 2023'!$B$2:$G$5822,4,0),"")</f>
        <v>APA_PC</v>
      </c>
    </row>
    <row r="4432" spans="1:7" x14ac:dyDescent="0.25">
      <c r="A4432" s="17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IFERROR(VLOOKUP(B4432,'Diciembre 2023'!$B$2:$G$5822,4,0),"")</f>
        <v>BM</v>
      </c>
    </row>
    <row r="4433" spans="1:7" x14ac:dyDescent="0.25">
      <c r="A4433" s="17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IFERROR(VLOOKUP(B4433,'Diciembre 2023'!$B$2:$G$5822,4,0),"")</f>
        <v>APA_PC</v>
      </c>
    </row>
    <row r="4434" spans="1:7" x14ac:dyDescent="0.25">
      <c r="A4434" s="17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IFERROR(VLOOKUP(B4434,'Diciembre 2023'!$B$2:$G$5822,4,0),"")</f>
        <v>APA_PC</v>
      </c>
    </row>
    <row r="4435" spans="1:7" x14ac:dyDescent="0.25">
      <c r="A4435" s="17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IFERROR(VLOOKUP(B4435,'Diciembre 2023'!$B$2:$G$5822,4,0),"")</f>
        <v>ACTPETS</v>
      </c>
    </row>
    <row r="4436" spans="1:7" x14ac:dyDescent="0.25">
      <c r="A4436" s="17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IFERROR(VLOOKUP(B4436,'Diciembre 2023'!$B$2:$G$5822,4,0),"")</f>
        <v>ACTPETS</v>
      </c>
    </row>
    <row r="4437" spans="1:7" x14ac:dyDescent="0.25">
      <c r="A4437" s="17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IFERROR(VLOOKUP(B4437,'Diciembre 2023'!$B$2:$G$5822,4,0),"")</f>
        <v>APA_PC</v>
      </c>
    </row>
    <row r="4438" spans="1:7" x14ac:dyDescent="0.25">
      <c r="A4438" s="17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IFERROR(VLOOKUP(B4438,'Diciembre 2023'!$B$2:$G$5822,4,0),"")</f>
        <v>APA_PC</v>
      </c>
    </row>
    <row r="4439" spans="1:7" x14ac:dyDescent="0.25">
      <c r="A4439" s="17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IFERROR(VLOOKUP(B4439,'Diciembre 2023'!$B$2:$G$5822,4,0),"")</f>
        <v>APA_PC</v>
      </c>
    </row>
    <row r="4440" spans="1:7" x14ac:dyDescent="0.25">
      <c r="A4440" s="17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IFERROR(VLOOKUP(B4440,'Diciembre 2023'!$B$2:$G$5822,4,0),"")</f>
        <v>ACTPETF</v>
      </c>
    </row>
    <row r="4441" spans="1:7" x14ac:dyDescent="0.25">
      <c r="A4441" s="17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IFERROR(VLOOKUP(B4441,'Diciembre 2023'!$B$2:$G$5822,4,0),"")</f>
        <v>BM</v>
      </c>
    </row>
    <row r="4442" spans="1:7" x14ac:dyDescent="0.25">
      <c r="A4442" s="17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IFERROR(VLOOKUP(B4442,'Diciembre 2023'!$B$2:$G$5822,4,0),"")</f>
        <v>ACTPETF</v>
      </c>
    </row>
    <row r="4443" spans="1:7" x14ac:dyDescent="0.25">
      <c r="A4443" s="17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IFERROR(VLOOKUP(B4443,'Diciembre 2023'!$B$2:$G$5822,4,0),"")</f>
        <v>ACTPETS</v>
      </c>
    </row>
    <row r="4444" spans="1:7" x14ac:dyDescent="0.25">
      <c r="A4444" s="17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IFERROR(VLOOKUP(B4444,'Diciembre 2023'!$B$2:$G$5822,4,0),"")</f>
        <v>ACTPETS</v>
      </c>
    </row>
    <row r="4445" spans="1:7" x14ac:dyDescent="0.25">
      <c r="A4445" s="17"/>
      <c r="B4445" s="4" t="s">
        <v>4356</v>
      </c>
      <c r="C4445" s="4" t="s">
        <v>11</v>
      </c>
      <c r="D4445" s="4" t="s">
        <v>11</v>
      </c>
      <c r="E4445" s="4" t="s">
        <v>11</v>
      </c>
      <c r="F4445" s="4" t="s">
        <v>1385</v>
      </c>
      <c r="G4445" s="5" t="str">
        <f>IFERROR(VLOOKUP(B4445,'Diciembre 2023'!$B$2:$G$5822,4,0),"")</f>
        <v>BM</v>
      </c>
    </row>
    <row r="4446" spans="1:7" x14ac:dyDescent="0.25">
      <c r="A4446" s="17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IFERROR(VLOOKUP(B4446,'Diciembre 2023'!$B$2:$G$5822,4,0),"")</f>
        <v>ATAPET</v>
      </c>
    </row>
    <row r="4447" spans="1:7" x14ac:dyDescent="0.25">
      <c r="A4447" s="17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IFERROR(VLOOKUP(B4447,'Diciembre 2023'!$B$2:$G$5822,4,0),"")</f>
        <v>BM</v>
      </c>
    </row>
    <row r="4448" spans="1:7" x14ac:dyDescent="0.25">
      <c r="A4448" s="17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IFERROR(VLOOKUP(B4448,'Diciembre 2023'!$B$2:$G$5822,4,0),"")</f>
        <v>ACTPETS</v>
      </c>
    </row>
    <row r="4449" spans="1:7" x14ac:dyDescent="0.25">
      <c r="A4449" s="17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IFERROR(VLOOKUP(B4449,'Diciembre 2023'!$B$2:$G$5822,4,0),"")</f>
        <v>ACTPETS</v>
      </c>
    </row>
    <row r="4450" spans="1:7" x14ac:dyDescent="0.25">
      <c r="A4450" s="17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IFERROR(VLOOKUP(B4450,'Diciembre 2023'!$B$2:$G$5822,4,0),"")</f>
        <v>BM</v>
      </c>
    </row>
    <row r="4451" spans="1:7" x14ac:dyDescent="0.25">
      <c r="A4451" s="17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IFERROR(VLOOKUP(B4451,'Diciembre 2023'!$B$2:$G$5822,4,0),"")</f>
        <v>ATAPET</v>
      </c>
    </row>
    <row r="4452" spans="1:7" x14ac:dyDescent="0.25">
      <c r="A4452" s="17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IFERROR(VLOOKUP(B4452,'Diciembre 2023'!$B$2:$G$5822,4,0),"")</f>
        <v>ACTPETS</v>
      </c>
    </row>
    <row r="4453" spans="1:7" x14ac:dyDescent="0.25">
      <c r="A4453" s="17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IFERROR(VLOOKUP(B4453,'Diciembre 2023'!$B$2:$G$5822,4,0),"")</f>
        <v>APA_CNPC</v>
      </c>
    </row>
    <row r="4454" spans="1:7" x14ac:dyDescent="0.25">
      <c r="A4454" s="17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IFERROR(VLOOKUP(B4454,'Diciembre 2023'!$B$2:$G$5822,4,0),"")</f>
        <v>BM</v>
      </c>
    </row>
    <row r="4455" spans="1:7" x14ac:dyDescent="0.25">
      <c r="A4455" s="17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IFERROR(VLOOKUP(B4455,'Diciembre 2023'!$B$2:$G$5822,4,0),"")</f>
        <v>APA_PC</v>
      </c>
    </row>
    <row r="4456" spans="1:7" x14ac:dyDescent="0.25">
      <c r="A4456" s="17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IFERROR(VLOOKUP(B4456,'Diciembre 2023'!$B$2:$G$5822,4,0),"")</f>
        <v>APA_PC</v>
      </c>
    </row>
    <row r="4457" spans="1:7" x14ac:dyDescent="0.25">
      <c r="A4457" s="17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IFERROR(VLOOKUP(B4457,'Diciembre 2023'!$B$2:$G$5822,4,0),"")</f>
        <v>BM</v>
      </c>
    </row>
    <row r="4458" spans="1:7" x14ac:dyDescent="0.25">
      <c r="A4458" s="17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IFERROR(VLOOKUP(B4458,'Diciembre 2023'!$B$2:$G$5822,4,0),"")</f>
        <v>APA_PC</v>
      </c>
    </row>
    <row r="4459" spans="1:7" x14ac:dyDescent="0.25">
      <c r="A4459" s="17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IFERROR(VLOOKUP(B4459,'Diciembre 2023'!$B$2:$G$5822,4,0),"")</f>
        <v>BM</v>
      </c>
    </row>
    <row r="4460" spans="1:7" x14ac:dyDescent="0.25">
      <c r="A4460" s="17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IFERROR(VLOOKUP(B4460,'Diciembre 2023'!$B$2:$G$5822,4,0),"")</f>
        <v>BM</v>
      </c>
    </row>
    <row r="4461" spans="1:7" x14ac:dyDescent="0.25">
      <c r="A4461" s="17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IFERROR(VLOOKUP(B4461,'Diciembre 2023'!$B$2:$G$5822,4,0),"")</f>
        <v>APA_CNPC</v>
      </c>
    </row>
    <row r="4462" spans="1:7" x14ac:dyDescent="0.25">
      <c r="A4462" s="17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IFERROR(VLOOKUP(B4462,'Diciembre 2023'!$B$2:$G$5822,4,0),"")</f>
        <v>DPAPET</v>
      </c>
    </row>
    <row r="4463" spans="1:7" x14ac:dyDescent="0.25">
      <c r="A4463" s="17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IFERROR(VLOOKUP(B4463,'Diciembre 2023'!$B$2:$G$5822,4,0),"")</f>
        <v>APA_PC</v>
      </c>
    </row>
    <row r="4464" spans="1:7" x14ac:dyDescent="0.25">
      <c r="A4464" s="17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IFERROR(VLOOKUP(B4464,'Diciembre 2023'!$B$2:$G$5822,4,0),"")</f>
        <v>INACTINYA</v>
      </c>
    </row>
    <row r="4465" spans="1:7" x14ac:dyDescent="0.25">
      <c r="A4465" s="17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IFERROR(VLOOKUP(B4465,'Diciembre 2023'!$B$2:$G$5822,4,0),"")</f>
        <v>APA_PC</v>
      </c>
    </row>
    <row r="4466" spans="1:7" x14ac:dyDescent="0.25">
      <c r="A4466" s="17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IFERROR(VLOOKUP(B4466,'Diciembre 2023'!$B$2:$G$5822,4,0),"")</f>
        <v>APA_PC</v>
      </c>
    </row>
    <row r="4467" spans="1:7" x14ac:dyDescent="0.25">
      <c r="A4467" s="17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IFERROR(VLOOKUP(B4467,'Diciembre 2023'!$B$2:$G$5822,4,0),"")</f>
        <v>APA_PC</v>
      </c>
    </row>
    <row r="4468" spans="1:7" x14ac:dyDescent="0.25">
      <c r="A4468" s="17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IFERROR(VLOOKUP(B4468,'Diciembre 2023'!$B$2:$G$5822,4,0),"")</f>
        <v>ACTPETS</v>
      </c>
    </row>
    <row r="4469" spans="1:7" x14ac:dyDescent="0.25">
      <c r="A4469" s="17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IFERROR(VLOOKUP(B4469,'Diciembre 2023'!$B$2:$G$5822,4,0),"")</f>
        <v>ACTPETS</v>
      </c>
    </row>
    <row r="4470" spans="1:7" x14ac:dyDescent="0.25">
      <c r="A4470" s="17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IFERROR(VLOOKUP(B4470,'Diciembre 2023'!$B$2:$G$5822,4,0),"")</f>
        <v>BM</v>
      </c>
    </row>
    <row r="4471" spans="1:7" x14ac:dyDescent="0.25">
      <c r="A4471" s="17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IFERROR(VLOOKUP(B4471,'Diciembre 2023'!$B$2:$G$5822,4,0),"")</f>
        <v>INACTBM</v>
      </c>
    </row>
    <row r="4472" spans="1:7" x14ac:dyDescent="0.25">
      <c r="A4472" s="17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IFERROR(VLOOKUP(B4472,'Diciembre 2023'!$B$2:$G$5822,4,0),"")</f>
        <v>APA_CNPC</v>
      </c>
    </row>
    <row r="4473" spans="1:7" x14ac:dyDescent="0.25">
      <c r="A4473" s="17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IFERROR(VLOOKUP(B4473,'Diciembre 2023'!$B$2:$G$5822,4,0),"")</f>
        <v>ACTPETS</v>
      </c>
    </row>
    <row r="4474" spans="1:7" x14ac:dyDescent="0.25">
      <c r="A4474" s="17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IFERROR(VLOOKUP(B4474,'Diciembre 2023'!$B$2:$G$5822,4,0),"")</f>
        <v>ATAPET</v>
      </c>
    </row>
    <row r="4475" spans="1:7" x14ac:dyDescent="0.25">
      <c r="A4475" s="17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IFERROR(VLOOKUP(B4475,'Diciembre 2023'!$B$2:$G$5822,4,0),"")</f>
        <v>ATAPET</v>
      </c>
    </row>
    <row r="4476" spans="1:7" x14ac:dyDescent="0.25">
      <c r="A4476" s="17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IFERROR(VLOOKUP(B4476,'Diciembre 2023'!$B$2:$G$5822,4,0),"")</f>
        <v>APA_PC</v>
      </c>
    </row>
    <row r="4477" spans="1:7" x14ac:dyDescent="0.25">
      <c r="A4477" s="17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IFERROR(VLOOKUP(B4477,'Diciembre 2023'!$B$2:$G$5822,4,0),"")</f>
        <v>ACTPETS</v>
      </c>
    </row>
    <row r="4478" spans="1:7" x14ac:dyDescent="0.25">
      <c r="A4478" s="17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IFERROR(VLOOKUP(B4478,'Diciembre 2023'!$B$2:$G$5822,4,0),"")</f>
        <v>ACTPETS</v>
      </c>
    </row>
    <row r="4479" spans="1:7" x14ac:dyDescent="0.25">
      <c r="A4479" s="17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IFERROR(VLOOKUP(B4479,'Diciembre 2023'!$B$2:$G$5822,4,0),"")</f>
        <v>BM</v>
      </c>
    </row>
    <row r="4480" spans="1:7" x14ac:dyDescent="0.25">
      <c r="A4480" s="17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IFERROR(VLOOKUP(B4480,'Diciembre 2023'!$B$2:$G$5822,4,0),"")</f>
        <v>BM</v>
      </c>
    </row>
    <row r="4481" spans="1:7" x14ac:dyDescent="0.25">
      <c r="A4481" s="17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IFERROR(VLOOKUP(B4481,'Diciembre 2023'!$B$2:$G$5822,4,0),"")</f>
        <v>APA_PC</v>
      </c>
    </row>
    <row r="4482" spans="1:7" x14ac:dyDescent="0.25">
      <c r="A4482" s="17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IFERROR(VLOOKUP(B4482,'Diciembre 2023'!$B$2:$G$5822,4,0),"")</f>
        <v>APA_PC</v>
      </c>
    </row>
    <row r="4483" spans="1:7" x14ac:dyDescent="0.25">
      <c r="A4483" s="17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IFERROR(VLOOKUP(B4483,'Diciembre 2023'!$B$2:$G$5822,4,0),"")</f>
        <v>APA_PC</v>
      </c>
    </row>
    <row r="4484" spans="1:7" x14ac:dyDescent="0.25">
      <c r="A4484" s="17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IFERROR(VLOOKUP(B4484,'Diciembre 2023'!$B$2:$G$5822,4,0),"")</f>
        <v>APA_PC</v>
      </c>
    </row>
    <row r="4485" spans="1:7" x14ac:dyDescent="0.25">
      <c r="A4485" s="17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IFERROR(VLOOKUP(B4485,'Diciembre 2023'!$B$2:$G$5822,4,0),"")</f>
        <v>APA_PC</v>
      </c>
    </row>
    <row r="4486" spans="1:7" x14ac:dyDescent="0.25">
      <c r="A4486" s="17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IFERROR(VLOOKUP(B4486,'Diciembre 2023'!$B$2:$G$5822,4,0),"")</f>
        <v>APA_PC</v>
      </c>
    </row>
    <row r="4487" spans="1:7" x14ac:dyDescent="0.25">
      <c r="A4487" s="17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IFERROR(VLOOKUP(B4487,'Diciembre 2023'!$B$2:$G$5822,4,0),"")</f>
        <v>ATAPET</v>
      </c>
    </row>
    <row r="4488" spans="1:7" x14ac:dyDescent="0.25">
      <c r="A4488" s="17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IFERROR(VLOOKUP(B4488,'Diciembre 2023'!$B$2:$G$5822,4,0),"")</f>
        <v>APA_PC</v>
      </c>
    </row>
    <row r="4489" spans="1:7" x14ac:dyDescent="0.25">
      <c r="A4489" s="17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IFERROR(VLOOKUP(B4489,'Diciembre 2023'!$B$2:$G$5822,4,0),"")</f>
        <v>ATAPET</v>
      </c>
    </row>
    <row r="4490" spans="1:7" x14ac:dyDescent="0.25">
      <c r="A4490" s="17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IFERROR(VLOOKUP(B4490,'Diciembre 2023'!$B$2:$G$5822,4,0),"")</f>
        <v>BM</v>
      </c>
    </row>
    <row r="4491" spans="1:7" x14ac:dyDescent="0.25">
      <c r="A4491" s="17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IFERROR(VLOOKUP(B4491,'Diciembre 2023'!$B$2:$G$5822,4,0),"")</f>
        <v>APA_PC</v>
      </c>
    </row>
    <row r="4492" spans="1:7" x14ac:dyDescent="0.25">
      <c r="A4492" s="17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IFERROR(VLOOKUP(B4492,'Diciembre 2023'!$B$2:$G$5822,4,0),"")</f>
        <v>INACTPETS</v>
      </c>
    </row>
    <row r="4493" spans="1:7" x14ac:dyDescent="0.25">
      <c r="A4493" s="17"/>
      <c r="B4493" s="4" t="s">
        <v>4404</v>
      </c>
      <c r="C4493" s="4" t="s">
        <v>14</v>
      </c>
      <c r="D4493" s="4" t="s">
        <v>15</v>
      </c>
      <c r="E4493" s="4" t="s">
        <v>16</v>
      </c>
      <c r="F4493" s="4" t="s">
        <v>14</v>
      </c>
      <c r="G4493" s="5" t="str">
        <f>IFERROR(VLOOKUP(B4493,'Diciembre 2023'!$B$2:$G$5822,4,0),"")</f>
        <v>ATAPET</v>
      </c>
    </row>
    <row r="4494" spans="1:7" x14ac:dyDescent="0.25">
      <c r="A4494" s="17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IFERROR(VLOOKUP(B4494,'Diciembre 2023'!$B$2:$G$5822,4,0),"")</f>
        <v>BM</v>
      </c>
    </row>
    <row r="4495" spans="1:7" x14ac:dyDescent="0.25">
      <c r="A4495" s="17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IFERROR(VLOOKUP(B4495,'Diciembre 2023'!$B$2:$G$5822,4,0),"")</f>
        <v>BM</v>
      </c>
    </row>
    <row r="4496" spans="1:7" x14ac:dyDescent="0.25">
      <c r="A4496" s="17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IFERROR(VLOOKUP(B4496,'Diciembre 2023'!$B$2:$G$5822,4,0),"")</f>
        <v>APA_CNPC</v>
      </c>
    </row>
    <row r="4497" spans="1:7" x14ac:dyDescent="0.25">
      <c r="A4497" s="17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IFERROR(VLOOKUP(B4497,'Diciembre 2023'!$B$2:$G$5822,4,0),"")</f>
        <v>APA_PC</v>
      </c>
    </row>
    <row r="4498" spans="1:7" x14ac:dyDescent="0.25">
      <c r="A4498" s="17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IFERROR(VLOOKUP(B4498,'Diciembre 2023'!$B$2:$G$5822,4,0),"")</f>
        <v>APA_PC</v>
      </c>
    </row>
    <row r="4499" spans="1:7" x14ac:dyDescent="0.25">
      <c r="A4499" s="17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IFERROR(VLOOKUP(B4499,'Diciembre 2023'!$B$2:$G$5822,4,0),"")</f>
        <v>ATAPET</v>
      </c>
    </row>
    <row r="4500" spans="1:7" x14ac:dyDescent="0.25">
      <c r="A4500" s="17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IFERROR(VLOOKUP(B4500,'Diciembre 2023'!$B$2:$G$5822,4,0),"")</f>
        <v>BM</v>
      </c>
    </row>
    <row r="4501" spans="1:7" x14ac:dyDescent="0.25">
      <c r="A4501" s="17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IFERROR(VLOOKUP(B4501,'Diciembre 2023'!$B$2:$G$5822,4,0),"")</f>
        <v>INACTPETF</v>
      </c>
    </row>
    <row r="4502" spans="1:7" x14ac:dyDescent="0.25">
      <c r="A4502" s="17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IFERROR(VLOOKUP(B4502,'Diciembre 2023'!$B$2:$G$5822,4,0),"")</f>
        <v>APA_CNPC</v>
      </c>
    </row>
    <row r="4503" spans="1:7" x14ac:dyDescent="0.25">
      <c r="A4503" s="17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IFERROR(VLOOKUP(B4503,'Diciembre 2023'!$B$2:$G$5822,4,0),"")</f>
        <v>BM</v>
      </c>
    </row>
    <row r="4504" spans="1:7" x14ac:dyDescent="0.25">
      <c r="A4504" s="17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IFERROR(VLOOKUP(B4504,'Diciembre 2023'!$B$2:$G$5822,4,0),"")</f>
        <v>APA_PC</v>
      </c>
    </row>
    <row r="4505" spans="1:7" x14ac:dyDescent="0.25">
      <c r="A4505" s="17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IFERROR(VLOOKUP(B4505,'Diciembre 2023'!$B$2:$G$5822,4,0),"")</f>
        <v>INACTBM</v>
      </c>
    </row>
    <row r="4506" spans="1:7" x14ac:dyDescent="0.25">
      <c r="A4506" s="17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IFERROR(VLOOKUP(B4506,'Diciembre 2023'!$B$2:$G$5822,4,0),"")</f>
        <v>ACTPETF</v>
      </c>
    </row>
    <row r="4507" spans="1:7" x14ac:dyDescent="0.25">
      <c r="A4507" s="17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IFERROR(VLOOKUP(B4507,'Diciembre 2023'!$B$2:$G$5822,4,0),"")</f>
        <v>ATAPET</v>
      </c>
    </row>
    <row r="4508" spans="1:7" x14ac:dyDescent="0.25">
      <c r="A4508" s="17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IFERROR(VLOOKUP(B4508,'Diciembre 2023'!$B$2:$G$5822,4,0),"")</f>
        <v>ATAPET</v>
      </c>
    </row>
    <row r="4509" spans="1:7" x14ac:dyDescent="0.25">
      <c r="A4509" s="17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IFERROR(VLOOKUP(B4509,'Diciembre 2023'!$B$2:$G$5822,4,0),"")</f>
        <v>APA_PC</v>
      </c>
    </row>
    <row r="4510" spans="1:7" x14ac:dyDescent="0.25">
      <c r="A4510" s="17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IFERROR(VLOOKUP(B4510,'Diciembre 2023'!$B$2:$G$5822,4,0),"")</f>
        <v>ACTPETS</v>
      </c>
    </row>
    <row r="4511" spans="1:7" x14ac:dyDescent="0.25">
      <c r="A4511" s="17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IFERROR(VLOOKUP(B4511,'Diciembre 2023'!$B$2:$G$5822,4,0),"")</f>
        <v>APA_PC</v>
      </c>
    </row>
    <row r="4512" spans="1:7" x14ac:dyDescent="0.25">
      <c r="A4512" s="17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IFERROR(VLOOKUP(B4512,'Diciembre 2023'!$B$2:$G$5822,4,0),"")</f>
        <v>APA_PC</v>
      </c>
    </row>
    <row r="4513" spans="1:7" x14ac:dyDescent="0.25">
      <c r="A4513" s="17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IFERROR(VLOOKUP(B4513,'Diciembre 2023'!$B$2:$G$5822,4,0),"")</f>
        <v>APA_PC</v>
      </c>
    </row>
    <row r="4514" spans="1:7" x14ac:dyDescent="0.25">
      <c r="A4514" s="17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IFERROR(VLOOKUP(B4514,'Diciembre 2023'!$B$2:$G$5822,4,0),"")</f>
        <v>APA_PC</v>
      </c>
    </row>
    <row r="4515" spans="1:7" x14ac:dyDescent="0.25">
      <c r="A4515" s="17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IFERROR(VLOOKUP(B4515,'Diciembre 2023'!$B$2:$G$5822,4,0),"")</f>
        <v>APA_PC</v>
      </c>
    </row>
    <row r="4516" spans="1:7" x14ac:dyDescent="0.25">
      <c r="A4516" s="17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IFERROR(VLOOKUP(B4516,'Diciembre 2023'!$B$2:$G$5822,4,0),"")</f>
        <v>APA_PC</v>
      </c>
    </row>
    <row r="4517" spans="1:7" x14ac:dyDescent="0.25">
      <c r="A4517" s="17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IFERROR(VLOOKUP(B4517,'Diciembre 2023'!$B$2:$G$5822,4,0),"")</f>
        <v>BM</v>
      </c>
    </row>
    <row r="4518" spans="1:7" x14ac:dyDescent="0.25">
      <c r="A4518" s="17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IFERROR(VLOOKUP(B4518,'Diciembre 2023'!$B$2:$G$5822,4,0),"")</f>
        <v>APA_PC</v>
      </c>
    </row>
    <row r="4519" spans="1:7" x14ac:dyDescent="0.25">
      <c r="A4519" s="17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IFERROR(VLOOKUP(B4519,'Diciembre 2023'!$B$2:$G$5822,4,0),"")</f>
        <v>DPAPET</v>
      </c>
    </row>
    <row r="4520" spans="1:7" x14ac:dyDescent="0.25">
      <c r="A4520" s="17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IFERROR(VLOOKUP(B4520,'Diciembre 2023'!$B$2:$G$5822,4,0),"")</f>
        <v>APA_PC</v>
      </c>
    </row>
    <row r="4521" spans="1:7" x14ac:dyDescent="0.25">
      <c r="A4521" s="17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IFERROR(VLOOKUP(B4521,'Diciembre 2023'!$B$2:$G$5822,4,0),"")</f>
        <v>ACTPETF</v>
      </c>
    </row>
    <row r="4522" spans="1:7" x14ac:dyDescent="0.25">
      <c r="A4522" s="17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IFERROR(VLOOKUP(B4522,'Diciembre 2023'!$B$2:$G$5822,4,0),"")</f>
        <v>APA_PC</v>
      </c>
    </row>
    <row r="4523" spans="1:7" x14ac:dyDescent="0.25">
      <c r="A4523" s="17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IFERROR(VLOOKUP(B4523,'Diciembre 2023'!$B$2:$G$5822,4,0),"")</f>
        <v>APA_PC</v>
      </c>
    </row>
    <row r="4524" spans="1:7" x14ac:dyDescent="0.25">
      <c r="A4524" s="17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IFERROR(VLOOKUP(B4524,'Diciembre 2023'!$B$2:$G$5822,4,0),"")</f>
        <v>APA_PC</v>
      </c>
    </row>
    <row r="4525" spans="1:7" x14ac:dyDescent="0.25">
      <c r="A4525" s="17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IFERROR(VLOOKUP(B4525,'Diciembre 2023'!$B$2:$G$5822,4,0),"")</f>
        <v>ATAPET</v>
      </c>
    </row>
    <row r="4526" spans="1:7" x14ac:dyDescent="0.25">
      <c r="A4526" s="17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IFERROR(VLOOKUP(B4526,'Diciembre 2023'!$B$2:$G$5822,4,0),"")</f>
        <v>APA_PC</v>
      </c>
    </row>
    <row r="4527" spans="1:7" x14ac:dyDescent="0.25">
      <c r="A4527" s="17"/>
      <c r="B4527" s="4" t="s">
        <v>4438</v>
      </c>
      <c r="C4527" s="4" t="s">
        <v>11</v>
      </c>
      <c r="D4527" s="4" t="s">
        <v>11</v>
      </c>
      <c r="E4527" s="4" t="s">
        <v>11</v>
      </c>
      <c r="F4527" s="4" t="s">
        <v>1822</v>
      </c>
      <c r="G4527" s="5" t="str">
        <f>IFERROR(VLOOKUP(B4527,'Diciembre 2023'!$B$2:$G$5822,4,0),"")</f>
        <v>BM</v>
      </c>
    </row>
    <row r="4528" spans="1:7" x14ac:dyDescent="0.25">
      <c r="A4528" s="17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IFERROR(VLOOKUP(B4528,'Diciembre 2023'!$B$2:$G$5822,4,0),"")</f>
        <v>BM</v>
      </c>
    </row>
    <row r="4529" spans="1:7" x14ac:dyDescent="0.25">
      <c r="A4529" s="17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IFERROR(VLOOKUP(B4529,'Diciembre 2023'!$B$2:$G$5822,4,0),"")</f>
        <v>ACTPETS</v>
      </c>
    </row>
    <row r="4530" spans="1:7" x14ac:dyDescent="0.25">
      <c r="A4530" s="17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IFERROR(VLOOKUP(B4530,'Diciembre 2023'!$B$2:$G$5822,4,0),"")</f>
        <v>APA_PC</v>
      </c>
    </row>
    <row r="4531" spans="1:7" x14ac:dyDescent="0.25">
      <c r="A4531" s="17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IFERROR(VLOOKUP(B4531,'Diciembre 2023'!$B$2:$G$5822,4,0),"")</f>
        <v>INACTBM</v>
      </c>
    </row>
    <row r="4532" spans="1:7" x14ac:dyDescent="0.25">
      <c r="A4532" s="17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IFERROR(VLOOKUP(B4532,'Diciembre 2023'!$B$2:$G$5822,4,0),"")</f>
        <v>APA_PC</v>
      </c>
    </row>
    <row r="4533" spans="1:7" x14ac:dyDescent="0.25">
      <c r="A4533" s="17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IFERROR(VLOOKUP(B4533,'Diciembre 2023'!$B$2:$G$5822,4,0),"")</f>
        <v>APA_PC</v>
      </c>
    </row>
    <row r="4534" spans="1:7" x14ac:dyDescent="0.25">
      <c r="A4534" s="17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IFERROR(VLOOKUP(B4534,'Diciembre 2023'!$B$2:$G$5822,4,0),"")</f>
        <v>APA_PC</v>
      </c>
    </row>
    <row r="4535" spans="1:7" x14ac:dyDescent="0.25">
      <c r="A4535" s="17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IFERROR(VLOOKUP(B4535,'Diciembre 2023'!$B$2:$G$5822,4,0),"")</f>
        <v>INACTPETS</v>
      </c>
    </row>
    <row r="4536" spans="1:7" x14ac:dyDescent="0.25">
      <c r="A4536" s="17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IFERROR(VLOOKUP(B4536,'Diciembre 2023'!$B$2:$G$5822,4,0),"")</f>
        <v>BM</v>
      </c>
    </row>
    <row r="4537" spans="1:7" x14ac:dyDescent="0.25">
      <c r="A4537" s="17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IFERROR(VLOOKUP(B4537,'Diciembre 2023'!$B$2:$G$5822,4,0),"")</f>
        <v>ACTPETF</v>
      </c>
    </row>
    <row r="4538" spans="1:7" x14ac:dyDescent="0.25">
      <c r="A4538" s="17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IFERROR(VLOOKUP(B4538,'Diciembre 2023'!$B$2:$G$5822,4,0),"")</f>
        <v>ATAPET</v>
      </c>
    </row>
    <row r="4539" spans="1:7" x14ac:dyDescent="0.25">
      <c r="A4539" s="17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IFERROR(VLOOKUP(B4539,'Diciembre 2023'!$B$2:$G$5822,4,0),"")</f>
        <v>ATAPET</v>
      </c>
    </row>
    <row r="4540" spans="1:7" x14ac:dyDescent="0.25">
      <c r="A4540" s="17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IFERROR(VLOOKUP(B4540,'Diciembre 2023'!$B$2:$G$5822,4,0),"")</f>
        <v>DPAPET</v>
      </c>
    </row>
    <row r="4541" spans="1:7" x14ac:dyDescent="0.25">
      <c r="A4541" s="17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IFERROR(VLOOKUP(B4541,'Diciembre 2023'!$B$2:$G$5822,4,0),"")</f>
        <v>ATAPET</v>
      </c>
    </row>
    <row r="4542" spans="1:7" x14ac:dyDescent="0.25">
      <c r="A4542" s="17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IFERROR(VLOOKUP(B4542,'Diciembre 2023'!$B$2:$G$5822,4,0),"")</f>
        <v>APA_PC</v>
      </c>
    </row>
    <row r="4543" spans="1:7" x14ac:dyDescent="0.25">
      <c r="A4543" s="17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IFERROR(VLOOKUP(B4543,'Diciembre 2023'!$B$2:$G$5822,4,0),"")</f>
        <v>APA_PC</v>
      </c>
    </row>
    <row r="4544" spans="1:7" x14ac:dyDescent="0.25">
      <c r="A4544" s="17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IFERROR(VLOOKUP(B4544,'Diciembre 2023'!$B$2:$G$5822,4,0),"")</f>
        <v>APA_PC</v>
      </c>
    </row>
    <row r="4545" spans="1:7" x14ac:dyDescent="0.25">
      <c r="A4545" s="17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IFERROR(VLOOKUP(B4545,'Diciembre 2023'!$B$2:$G$5822,4,0),"")</f>
        <v>APA_PC</v>
      </c>
    </row>
    <row r="4546" spans="1:7" x14ac:dyDescent="0.25">
      <c r="A4546" s="17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IFERROR(VLOOKUP(B4546,'Diciembre 2023'!$B$2:$G$5822,4,0),"")</f>
        <v>ATAPET</v>
      </c>
    </row>
    <row r="4547" spans="1:7" x14ac:dyDescent="0.25">
      <c r="A4547" s="17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IFERROR(VLOOKUP(B4547,'Diciembre 2023'!$B$2:$G$5822,4,0),"")</f>
        <v>APA_PC</v>
      </c>
    </row>
    <row r="4548" spans="1:7" x14ac:dyDescent="0.25">
      <c r="A4548" s="17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IFERROR(VLOOKUP(B4548,'Diciembre 2023'!$B$2:$G$5822,4,0),"")</f>
        <v>ACTPETS</v>
      </c>
    </row>
    <row r="4549" spans="1:7" x14ac:dyDescent="0.25">
      <c r="A4549" s="17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IFERROR(VLOOKUP(B4549,'Diciembre 2023'!$B$2:$G$5822,4,0),"")</f>
        <v>APA_PC</v>
      </c>
    </row>
    <row r="4550" spans="1:7" x14ac:dyDescent="0.25">
      <c r="A4550" s="17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IFERROR(VLOOKUP(B4550,'Diciembre 2023'!$B$2:$G$5822,4,0),"")</f>
        <v>APA_CNPC</v>
      </c>
    </row>
    <row r="4551" spans="1:7" x14ac:dyDescent="0.25">
      <c r="A4551" s="17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IFERROR(VLOOKUP(B4551,'Diciembre 2023'!$B$2:$G$5822,4,0),"")</f>
        <v>INACTPETS</v>
      </c>
    </row>
    <row r="4552" spans="1:7" x14ac:dyDescent="0.25">
      <c r="A4552" s="17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IFERROR(VLOOKUP(B4552,'Diciembre 2023'!$B$2:$G$5822,4,0),"")</f>
        <v>BM</v>
      </c>
    </row>
    <row r="4553" spans="1:7" x14ac:dyDescent="0.25">
      <c r="A4553" s="17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IFERROR(VLOOKUP(B4553,'Diciembre 2023'!$B$2:$G$5822,4,0),"")</f>
        <v>BM</v>
      </c>
    </row>
    <row r="4554" spans="1:7" x14ac:dyDescent="0.25">
      <c r="A4554" s="17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IFERROR(VLOOKUP(B4554,'Diciembre 2023'!$B$2:$G$5822,4,0),"")</f>
        <v>APA_PC</v>
      </c>
    </row>
    <row r="4555" spans="1:7" x14ac:dyDescent="0.25">
      <c r="A4555" s="17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IFERROR(VLOOKUP(B4555,'Diciembre 2023'!$B$2:$G$5822,4,0),"")</f>
        <v>APA_PC</v>
      </c>
    </row>
    <row r="4556" spans="1:7" x14ac:dyDescent="0.25">
      <c r="A4556" s="17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IFERROR(VLOOKUP(B4556,'Diciembre 2023'!$B$2:$G$5822,4,0),"")</f>
        <v>BM</v>
      </c>
    </row>
    <row r="4557" spans="1:7" x14ac:dyDescent="0.25">
      <c r="A4557" s="17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IFERROR(VLOOKUP(B4557,'Diciembre 2023'!$B$2:$G$5822,4,0),"")</f>
        <v>BM</v>
      </c>
    </row>
    <row r="4558" spans="1:7" x14ac:dyDescent="0.25">
      <c r="A4558" s="17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IFERROR(VLOOKUP(B4558,'Diciembre 2023'!$B$2:$G$5822,4,0),"")</f>
        <v>APA_PC</v>
      </c>
    </row>
    <row r="4559" spans="1:7" x14ac:dyDescent="0.25">
      <c r="A4559" s="17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IFERROR(VLOOKUP(B4559,'Diciembre 2023'!$B$2:$G$5822,4,0),"")</f>
        <v>BM</v>
      </c>
    </row>
    <row r="4560" spans="1:7" x14ac:dyDescent="0.25">
      <c r="A4560" s="17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IFERROR(VLOOKUP(B4560,'Diciembre 2023'!$B$2:$G$5822,4,0),"")</f>
        <v>ACTPETF</v>
      </c>
    </row>
    <row r="4561" spans="1:7" x14ac:dyDescent="0.25">
      <c r="A4561" s="17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IFERROR(VLOOKUP(B4561,'Diciembre 2023'!$B$2:$G$5822,4,0),"")</f>
        <v>ACTPETF</v>
      </c>
    </row>
    <row r="4562" spans="1:7" x14ac:dyDescent="0.25">
      <c r="A4562" s="17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IFERROR(VLOOKUP(B4562,'Diciembre 2023'!$B$2:$G$5822,4,0),"")</f>
        <v>ATAPET</v>
      </c>
    </row>
    <row r="4563" spans="1:7" x14ac:dyDescent="0.25">
      <c r="A4563" s="17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IFERROR(VLOOKUP(B4563,'Diciembre 2023'!$B$2:$G$5822,4,0),"")</f>
        <v>BM</v>
      </c>
    </row>
    <row r="4564" spans="1:7" x14ac:dyDescent="0.25">
      <c r="A4564" s="17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IFERROR(VLOOKUP(B4564,'Diciembre 2023'!$B$2:$G$5822,4,0),"")</f>
        <v>APA_PC</v>
      </c>
    </row>
    <row r="4565" spans="1:7" x14ac:dyDescent="0.25">
      <c r="A4565" s="17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IFERROR(VLOOKUP(B4565,'Diciembre 2023'!$B$2:$G$5822,4,0),"")</f>
        <v>BM</v>
      </c>
    </row>
    <row r="4566" spans="1:7" x14ac:dyDescent="0.25">
      <c r="A4566" s="17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IFERROR(VLOOKUP(B4566,'Diciembre 2023'!$B$2:$G$5822,4,0),"")</f>
        <v>APA_PC</v>
      </c>
    </row>
    <row r="4567" spans="1:7" x14ac:dyDescent="0.25">
      <c r="A4567" s="17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IFERROR(VLOOKUP(B4567,'Diciembre 2023'!$B$2:$G$5822,4,0),"")</f>
        <v>APA_PC</v>
      </c>
    </row>
    <row r="4568" spans="1:7" x14ac:dyDescent="0.25">
      <c r="A4568" s="17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IFERROR(VLOOKUP(B4568,'Diciembre 2023'!$B$2:$G$5822,4,0),"")</f>
        <v>APA_PC</v>
      </c>
    </row>
    <row r="4569" spans="1:7" x14ac:dyDescent="0.25">
      <c r="A4569" s="17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IFERROR(VLOOKUP(B4569,'Diciembre 2023'!$B$2:$G$5822,4,0),"")</f>
        <v>BM</v>
      </c>
    </row>
    <row r="4570" spans="1:7" x14ac:dyDescent="0.25">
      <c r="A4570" s="17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IFERROR(VLOOKUP(B4570,'Diciembre 2023'!$B$2:$G$5822,4,0),"")</f>
        <v>APA_PC</v>
      </c>
    </row>
    <row r="4571" spans="1:7" x14ac:dyDescent="0.25">
      <c r="A4571" s="17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IFERROR(VLOOKUP(B4571,'Diciembre 2023'!$B$2:$G$5822,4,0),"")</f>
        <v>APA_PC</v>
      </c>
    </row>
    <row r="4572" spans="1:7" x14ac:dyDescent="0.25">
      <c r="A4572" s="17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IFERROR(VLOOKUP(B4572,'Diciembre 2023'!$B$2:$G$5822,4,0),"")</f>
        <v>ACTPETF</v>
      </c>
    </row>
    <row r="4573" spans="1:7" x14ac:dyDescent="0.25">
      <c r="A4573" s="17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IFERROR(VLOOKUP(B4573,'Diciembre 2023'!$B$2:$G$5822,4,0),"")</f>
        <v>ACTPETF</v>
      </c>
    </row>
    <row r="4574" spans="1:7" x14ac:dyDescent="0.25">
      <c r="A4574" s="17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IFERROR(VLOOKUP(B4574,'Diciembre 2023'!$B$2:$G$5822,4,0),"")</f>
        <v>ACTPETS</v>
      </c>
    </row>
    <row r="4575" spans="1:7" x14ac:dyDescent="0.25">
      <c r="A4575" s="17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IFERROR(VLOOKUP(B4575,'Diciembre 2023'!$B$2:$G$5822,4,0),"")</f>
        <v>ACTPETS</v>
      </c>
    </row>
    <row r="4576" spans="1:7" x14ac:dyDescent="0.25">
      <c r="A4576" s="17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IFERROR(VLOOKUP(B4576,'Diciembre 2023'!$B$2:$G$5822,4,0),"")</f>
        <v>APA_PC</v>
      </c>
    </row>
    <row r="4577" spans="1:7" x14ac:dyDescent="0.25">
      <c r="A4577" s="17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IFERROR(VLOOKUP(B4577,'Diciembre 2023'!$B$2:$G$5822,4,0),"")</f>
        <v>APA_PC</v>
      </c>
    </row>
    <row r="4578" spans="1:7" x14ac:dyDescent="0.25">
      <c r="A4578" s="17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IFERROR(VLOOKUP(B4578,'Diciembre 2023'!$B$2:$G$5822,4,0),"")</f>
        <v>BM</v>
      </c>
    </row>
    <row r="4579" spans="1:7" x14ac:dyDescent="0.25">
      <c r="A4579" s="17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IFERROR(VLOOKUP(B4579,'Diciembre 2023'!$B$2:$G$5822,4,0),"")</f>
        <v>APA_CNPC</v>
      </c>
    </row>
    <row r="4580" spans="1:7" x14ac:dyDescent="0.25">
      <c r="A4580" s="17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IFERROR(VLOOKUP(B4580,'Diciembre 2023'!$B$2:$G$5822,4,0),"")</f>
        <v>ATAPET</v>
      </c>
    </row>
    <row r="4581" spans="1:7" x14ac:dyDescent="0.25">
      <c r="A4581" s="17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IFERROR(VLOOKUP(B4581,'Diciembre 2023'!$B$2:$G$5822,4,0),"")</f>
        <v>BM</v>
      </c>
    </row>
    <row r="4582" spans="1:7" x14ac:dyDescent="0.25">
      <c r="A4582" s="17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IFERROR(VLOOKUP(B4582,'Diciembre 2023'!$B$2:$G$5822,4,0),"")</f>
        <v>ACTPETF</v>
      </c>
    </row>
    <row r="4583" spans="1:7" x14ac:dyDescent="0.25">
      <c r="A4583" s="17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IFERROR(VLOOKUP(B4583,'Diciembre 2023'!$B$2:$G$5822,4,0),"")</f>
        <v>BM</v>
      </c>
    </row>
    <row r="4584" spans="1:7" x14ac:dyDescent="0.25">
      <c r="A4584" s="17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IFERROR(VLOOKUP(B4584,'Diciembre 2023'!$B$2:$G$5822,4,0),"")</f>
        <v>ACTPETF</v>
      </c>
    </row>
    <row r="4585" spans="1:7" x14ac:dyDescent="0.25">
      <c r="A4585" s="17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IFERROR(VLOOKUP(B4585,'Diciembre 2023'!$B$2:$G$5822,4,0),"")</f>
        <v>BM</v>
      </c>
    </row>
    <row r="4586" spans="1:7" x14ac:dyDescent="0.25">
      <c r="A4586" s="17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IFERROR(VLOOKUP(B4586,'Diciembre 2023'!$B$2:$G$5822,4,0),"")</f>
        <v>BM</v>
      </c>
    </row>
    <row r="4587" spans="1:7" x14ac:dyDescent="0.25">
      <c r="A4587" s="17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IFERROR(VLOOKUP(B4587,'Diciembre 2023'!$B$2:$G$5822,4,0),"")</f>
        <v>ATAPET</v>
      </c>
    </row>
    <row r="4588" spans="1:7" x14ac:dyDescent="0.25">
      <c r="A4588" s="17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IFERROR(VLOOKUP(B4588,'Diciembre 2023'!$B$2:$G$5822,4,0),"")</f>
        <v>APA_PC</v>
      </c>
    </row>
    <row r="4589" spans="1:7" x14ac:dyDescent="0.25">
      <c r="A4589" s="17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IFERROR(VLOOKUP(B4589,'Diciembre 2023'!$B$2:$G$5822,4,0),"")</f>
        <v>ACTPETS</v>
      </c>
    </row>
    <row r="4590" spans="1:7" x14ac:dyDescent="0.25">
      <c r="A4590" s="17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IFERROR(VLOOKUP(B4590,'Diciembre 2023'!$B$2:$G$5822,4,0),"")</f>
        <v>APA_PC</v>
      </c>
    </row>
    <row r="4591" spans="1:7" x14ac:dyDescent="0.25">
      <c r="A4591" s="17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IFERROR(VLOOKUP(B4591,'Diciembre 2023'!$B$2:$G$5822,4,0),"")</f>
        <v>ATAPET</v>
      </c>
    </row>
    <row r="4592" spans="1:7" x14ac:dyDescent="0.25">
      <c r="A4592" s="17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IFERROR(VLOOKUP(B4592,'Diciembre 2023'!$B$2:$G$5822,4,0),"")</f>
        <v>APA_PC</v>
      </c>
    </row>
    <row r="4593" spans="1:7" x14ac:dyDescent="0.25">
      <c r="A4593" s="17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IFERROR(VLOOKUP(B4593,'Diciembre 2023'!$B$2:$G$5822,4,0),"")</f>
        <v>ACTPETF</v>
      </c>
    </row>
    <row r="4594" spans="1:7" x14ac:dyDescent="0.25">
      <c r="A4594" s="17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IFERROR(VLOOKUP(B4594,'Diciembre 2023'!$B$2:$G$5822,4,0),"")</f>
        <v>ATAPET</v>
      </c>
    </row>
    <row r="4595" spans="1:7" x14ac:dyDescent="0.25">
      <c r="A4595" s="17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IFERROR(VLOOKUP(B4595,'Diciembre 2023'!$B$2:$G$5822,4,0),"")</f>
        <v>ACTPETS</v>
      </c>
    </row>
    <row r="4596" spans="1:7" x14ac:dyDescent="0.25">
      <c r="A4596" s="17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IFERROR(VLOOKUP(B4596,'Diciembre 2023'!$B$2:$G$5822,4,0),"")</f>
        <v>ACTPETS</v>
      </c>
    </row>
    <row r="4597" spans="1:7" x14ac:dyDescent="0.25">
      <c r="A4597" s="17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IFERROR(VLOOKUP(B4597,'Diciembre 2023'!$B$2:$G$5822,4,0),"")</f>
        <v>APA_PC</v>
      </c>
    </row>
    <row r="4598" spans="1:7" x14ac:dyDescent="0.25">
      <c r="A4598" s="17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IFERROR(VLOOKUP(B4598,'Diciembre 2023'!$B$2:$G$5822,4,0),"")</f>
        <v>APA_PC</v>
      </c>
    </row>
    <row r="4599" spans="1:7" x14ac:dyDescent="0.25">
      <c r="A4599" s="17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IFERROR(VLOOKUP(B4599,'Diciembre 2023'!$B$2:$G$5822,4,0),"")</f>
        <v>APA_PC</v>
      </c>
    </row>
    <row r="4600" spans="1:7" x14ac:dyDescent="0.25">
      <c r="A4600" s="17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IFERROR(VLOOKUP(B4600,'Diciembre 2023'!$B$2:$G$5822,4,0),"")</f>
        <v>INACTPETS</v>
      </c>
    </row>
    <row r="4601" spans="1:7" x14ac:dyDescent="0.25">
      <c r="A4601" s="17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IFERROR(VLOOKUP(B4601,'Diciembre 2023'!$B$2:$G$5822,4,0),"")</f>
        <v>DPAPET</v>
      </c>
    </row>
    <row r="4602" spans="1:7" x14ac:dyDescent="0.25">
      <c r="A4602" s="17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IFERROR(VLOOKUP(B4602,'Diciembre 2023'!$B$2:$G$5822,4,0),"")</f>
        <v>ATAPET</v>
      </c>
    </row>
    <row r="4603" spans="1:7" x14ac:dyDescent="0.25">
      <c r="A4603" s="17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IFERROR(VLOOKUP(B4603,'Diciembre 2023'!$B$2:$G$5822,4,0),"")</f>
        <v>APA_PC</v>
      </c>
    </row>
    <row r="4604" spans="1:7" x14ac:dyDescent="0.25">
      <c r="A4604" s="17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IFERROR(VLOOKUP(B4604,'Diciembre 2023'!$B$2:$G$5822,4,0),"")</f>
        <v>APA_PC</v>
      </c>
    </row>
    <row r="4605" spans="1:7" x14ac:dyDescent="0.25">
      <c r="A4605" s="17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IFERROR(VLOOKUP(B4605,'Diciembre 2023'!$B$2:$G$5822,4,0),"")</f>
        <v>APA_PC</v>
      </c>
    </row>
    <row r="4606" spans="1:7" x14ac:dyDescent="0.25">
      <c r="A4606" s="17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IFERROR(VLOOKUP(B4606,'Diciembre 2023'!$B$2:$G$5822,4,0),"")</f>
        <v>APA_PC</v>
      </c>
    </row>
    <row r="4607" spans="1:7" x14ac:dyDescent="0.25">
      <c r="A4607" s="17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IFERROR(VLOOKUP(B4607,'Diciembre 2023'!$B$2:$G$5822,4,0),"")</f>
        <v>ACTPETS</v>
      </c>
    </row>
    <row r="4608" spans="1:7" x14ac:dyDescent="0.25">
      <c r="A4608" s="17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IFERROR(VLOOKUP(B4608,'Diciembre 2023'!$B$2:$G$5822,4,0),"")</f>
        <v>APA_PC</v>
      </c>
    </row>
    <row r="4609" spans="1:7" x14ac:dyDescent="0.25">
      <c r="A4609" s="17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IFERROR(VLOOKUP(B4609,'Diciembre 2023'!$B$2:$G$5822,4,0),"")</f>
        <v>APA_PC</v>
      </c>
    </row>
    <row r="4610" spans="1:7" x14ac:dyDescent="0.25">
      <c r="A4610" s="17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IFERROR(VLOOKUP(B4610,'Diciembre 2023'!$B$2:$G$5822,4,0),"")</f>
        <v>APA_PC</v>
      </c>
    </row>
    <row r="4611" spans="1:7" x14ac:dyDescent="0.25">
      <c r="A4611" s="17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IFERROR(VLOOKUP(B4611,'Diciembre 2023'!$B$2:$G$5822,4,0),"")</f>
        <v>APA_PC</v>
      </c>
    </row>
    <row r="4612" spans="1:7" x14ac:dyDescent="0.25">
      <c r="A4612" s="17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IFERROR(VLOOKUP(B4612,'Diciembre 2023'!$B$2:$G$5822,4,0),"")</f>
        <v>APA_PC</v>
      </c>
    </row>
    <row r="4613" spans="1:7" x14ac:dyDescent="0.25">
      <c r="A4613" s="17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IFERROR(VLOOKUP(B4613,'Diciembre 2023'!$B$2:$G$5822,4,0),"")</f>
        <v>APA_PC</v>
      </c>
    </row>
    <row r="4614" spans="1:7" x14ac:dyDescent="0.25">
      <c r="A4614" s="17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IFERROR(VLOOKUP(B4614,'Diciembre 2023'!$B$2:$G$5822,4,0),"")</f>
        <v>APA_PC</v>
      </c>
    </row>
    <row r="4615" spans="1:7" x14ac:dyDescent="0.25">
      <c r="A4615" s="17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IFERROR(VLOOKUP(B4615,'Diciembre 2023'!$B$2:$G$5822,4,0),"")</f>
        <v>APA_PC</v>
      </c>
    </row>
    <row r="4616" spans="1:7" x14ac:dyDescent="0.25">
      <c r="A4616" s="17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IFERROR(VLOOKUP(B4616,'Diciembre 2023'!$B$2:$G$5822,4,0),"")</f>
        <v>APA_PC</v>
      </c>
    </row>
    <row r="4617" spans="1:7" x14ac:dyDescent="0.25">
      <c r="A4617" s="17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IFERROR(VLOOKUP(B4617,'Diciembre 2023'!$B$2:$G$5822,4,0),"")</f>
        <v>APA_PC</v>
      </c>
    </row>
    <row r="4618" spans="1:7" x14ac:dyDescent="0.25">
      <c r="A4618" s="17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IFERROR(VLOOKUP(B4618,'Diciembre 2023'!$B$2:$G$5822,4,0),"")</f>
        <v>APA_PC</v>
      </c>
    </row>
    <row r="4619" spans="1:7" x14ac:dyDescent="0.25">
      <c r="A4619" s="17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IFERROR(VLOOKUP(B4619,'Diciembre 2023'!$B$2:$G$5822,4,0),"")</f>
        <v>ACTPETS</v>
      </c>
    </row>
    <row r="4620" spans="1:7" x14ac:dyDescent="0.25">
      <c r="A4620" s="17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IFERROR(VLOOKUP(B4620,'Diciembre 2023'!$B$2:$G$5822,4,0),"")</f>
        <v>BM</v>
      </c>
    </row>
    <row r="4621" spans="1:7" x14ac:dyDescent="0.25">
      <c r="A4621" s="17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IFERROR(VLOOKUP(B4621,'Diciembre 2023'!$B$2:$G$5822,4,0),"")</f>
        <v>ACTPETS</v>
      </c>
    </row>
    <row r="4622" spans="1:7" x14ac:dyDescent="0.25">
      <c r="A4622" s="17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IFERROR(VLOOKUP(B4622,'Diciembre 2023'!$B$2:$G$5822,4,0),"")</f>
        <v>INACTPETS</v>
      </c>
    </row>
    <row r="4623" spans="1:7" x14ac:dyDescent="0.25">
      <c r="A4623" s="17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IFERROR(VLOOKUP(B4623,'Diciembre 2023'!$B$2:$G$5822,4,0),"")</f>
        <v>APA_PC</v>
      </c>
    </row>
    <row r="4624" spans="1:7" x14ac:dyDescent="0.25">
      <c r="A4624" s="17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IFERROR(VLOOKUP(B4624,'Diciembre 2023'!$B$2:$G$5822,4,0),"")</f>
        <v>INACTPETF</v>
      </c>
    </row>
    <row r="4625" spans="1:7" x14ac:dyDescent="0.25">
      <c r="A4625" s="17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IFERROR(VLOOKUP(B4625,'Diciembre 2023'!$B$2:$G$5822,4,0),"")</f>
        <v>INACTPETF</v>
      </c>
    </row>
    <row r="4626" spans="1:7" x14ac:dyDescent="0.25">
      <c r="A4626" s="17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IFERROR(VLOOKUP(B4626,'Diciembre 2023'!$B$2:$G$5822,4,0),"")</f>
        <v>ACTPETF</v>
      </c>
    </row>
    <row r="4627" spans="1:7" x14ac:dyDescent="0.25">
      <c r="A4627" s="17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IFERROR(VLOOKUP(B4627,'Diciembre 2023'!$B$2:$G$5822,4,0),"")</f>
        <v>APA_PC</v>
      </c>
    </row>
    <row r="4628" spans="1:7" x14ac:dyDescent="0.25">
      <c r="A4628" s="17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IFERROR(VLOOKUP(B4628,'Diciembre 2023'!$B$2:$G$5822,4,0),"")</f>
        <v>APA_PC</v>
      </c>
    </row>
    <row r="4629" spans="1:7" x14ac:dyDescent="0.25">
      <c r="A4629" s="17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IFERROR(VLOOKUP(B4629,'Diciembre 2023'!$B$2:$G$5822,4,0),"")</f>
        <v>DPAPET</v>
      </c>
    </row>
    <row r="4630" spans="1:7" x14ac:dyDescent="0.25">
      <c r="A4630" s="17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IFERROR(VLOOKUP(B4630,'Diciembre 2023'!$B$2:$G$5822,4,0),"")</f>
        <v>APA_PC</v>
      </c>
    </row>
    <row r="4631" spans="1:7" x14ac:dyDescent="0.25">
      <c r="A4631" s="17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IFERROR(VLOOKUP(B4631,'Diciembre 2023'!$B$2:$G$5822,4,0),"")</f>
        <v>ACTPETS</v>
      </c>
    </row>
    <row r="4632" spans="1:7" x14ac:dyDescent="0.25">
      <c r="A4632" s="17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IFERROR(VLOOKUP(B4632,'Diciembre 2023'!$B$2:$G$5822,4,0),"")</f>
        <v>ACTPETF</v>
      </c>
    </row>
    <row r="4633" spans="1:7" x14ac:dyDescent="0.25">
      <c r="A4633" s="17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IFERROR(VLOOKUP(B4633,'Diciembre 2023'!$B$2:$G$5822,4,0),"")</f>
        <v>ACTINYA</v>
      </c>
    </row>
    <row r="4634" spans="1:7" x14ac:dyDescent="0.25">
      <c r="A4634" s="17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IFERROR(VLOOKUP(B4634,'Diciembre 2023'!$B$2:$G$5822,4,0),"")</f>
        <v>BM</v>
      </c>
    </row>
    <row r="4635" spans="1:7" x14ac:dyDescent="0.25">
      <c r="A4635" s="17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IFERROR(VLOOKUP(B4635,'Diciembre 2023'!$B$2:$G$5822,4,0),"")</f>
        <v>ATAPET</v>
      </c>
    </row>
    <row r="4636" spans="1:7" x14ac:dyDescent="0.25">
      <c r="A4636" s="17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IFERROR(VLOOKUP(B4636,'Diciembre 2023'!$B$2:$G$5822,4,0),"")</f>
        <v>ACTPETS</v>
      </c>
    </row>
    <row r="4637" spans="1:7" x14ac:dyDescent="0.25">
      <c r="A4637" s="17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IFERROR(VLOOKUP(B4637,'Diciembre 2023'!$B$2:$G$5822,4,0),"")</f>
        <v>ATAPET</v>
      </c>
    </row>
    <row r="4638" spans="1:7" x14ac:dyDescent="0.25">
      <c r="A4638" s="17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IFERROR(VLOOKUP(B4638,'Diciembre 2023'!$B$2:$G$5822,4,0),"")</f>
        <v>ATAPET</v>
      </c>
    </row>
    <row r="4639" spans="1:7" x14ac:dyDescent="0.25">
      <c r="A4639" s="17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IFERROR(VLOOKUP(B4639,'Diciembre 2023'!$B$2:$G$5822,4,0),"")</f>
        <v>APA_PC</v>
      </c>
    </row>
    <row r="4640" spans="1:7" x14ac:dyDescent="0.25">
      <c r="A4640" s="17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IFERROR(VLOOKUP(B4640,'Diciembre 2023'!$B$2:$G$5822,4,0),"")</f>
        <v>APA_PC</v>
      </c>
    </row>
    <row r="4641" spans="1:7" x14ac:dyDescent="0.25">
      <c r="A4641" s="17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IFERROR(VLOOKUP(B4641,'Diciembre 2023'!$B$2:$G$5822,4,0),"")</f>
        <v>ACTPETS</v>
      </c>
    </row>
    <row r="4642" spans="1:7" x14ac:dyDescent="0.25">
      <c r="A4642" s="17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IFERROR(VLOOKUP(B4642,'Diciembre 2023'!$B$2:$G$5822,4,0),"")</f>
        <v>BO</v>
      </c>
    </row>
    <row r="4643" spans="1:7" x14ac:dyDescent="0.25">
      <c r="A4643" s="17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IFERROR(VLOOKUP(B4643,'Diciembre 2023'!$B$2:$G$5822,4,0),"")</f>
        <v>BM</v>
      </c>
    </row>
    <row r="4644" spans="1:7" x14ac:dyDescent="0.25">
      <c r="A4644" s="17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IFERROR(VLOOKUP(B4644,'Diciembre 2023'!$B$2:$G$5822,4,0),"")</f>
        <v>BM</v>
      </c>
    </row>
    <row r="4645" spans="1:7" x14ac:dyDescent="0.25">
      <c r="A4645" s="17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IFERROR(VLOOKUP(B4645,'Diciembre 2023'!$B$2:$G$5822,4,0),"")</f>
        <v>APA_PC</v>
      </c>
    </row>
    <row r="4646" spans="1:7" x14ac:dyDescent="0.25">
      <c r="A4646" s="17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IFERROR(VLOOKUP(B4646,'Diciembre 2023'!$B$2:$G$5822,4,0),"")</f>
        <v>ACTINYA</v>
      </c>
    </row>
    <row r="4647" spans="1:7" x14ac:dyDescent="0.25">
      <c r="A4647" s="17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IFERROR(VLOOKUP(B4647,'Diciembre 2023'!$B$2:$G$5822,4,0),"")</f>
        <v>BM</v>
      </c>
    </row>
    <row r="4648" spans="1:7" x14ac:dyDescent="0.25">
      <c r="A4648" s="17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IFERROR(VLOOKUP(B4648,'Diciembre 2023'!$B$2:$G$5822,4,0),"")</f>
        <v>APA_PC</v>
      </c>
    </row>
    <row r="4649" spans="1:7" x14ac:dyDescent="0.25">
      <c r="A4649" s="17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IFERROR(VLOOKUP(B4649,'Diciembre 2023'!$B$2:$G$5822,4,0),"")</f>
        <v>ATAPET</v>
      </c>
    </row>
    <row r="4650" spans="1:7" x14ac:dyDescent="0.25">
      <c r="A4650" s="17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IFERROR(VLOOKUP(B4650,'Diciembre 2023'!$B$2:$G$5822,4,0),"")</f>
        <v>ATAPET</v>
      </c>
    </row>
    <row r="4651" spans="1:7" x14ac:dyDescent="0.25">
      <c r="A4651" s="17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IFERROR(VLOOKUP(B4651,'Diciembre 2023'!$B$2:$G$5822,4,0),"")</f>
        <v>APA_PC</v>
      </c>
    </row>
    <row r="4652" spans="1:7" x14ac:dyDescent="0.25">
      <c r="A4652" s="17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IFERROR(VLOOKUP(B4652,'Diciembre 2023'!$B$2:$G$5822,4,0),"")</f>
        <v>APA_PC</v>
      </c>
    </row>
    <row r="4653" spans="1:7" x14ac:dyDescent="0.25">
      <c r="A4653" s="17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IFERROR(VLOOKUP(B4653,'Diciembre 2023'!$B$2:$G$5822,4,0),"")</f>
        <v>ACTPETS</v>
      </c>
    </row>
    <row r="4654" spans="1:7" x14ac:dyDescent="0.25">
      <c r="A4654" s="17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IFERROR(VLOOKUP(B4654,'Diciembre 2023'!$B$2:$G$5822,4,0),"")</f>
        <v>BM</v>
      </c>
    </row>
    <row r="4655" spans="1:7" x14ac:dyDescent="0.25">
      <c r="A4655" s="17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IFERROR(VLOOKUP(B4655,'Diciembre 2023'!$B$2:$G$5822,4,0),"")</f>
        <v>ATAPET</v>
      </c>
    </row>
    <row r="4656" spans="1:7" x14ac:dyDescent="0.25">
      <c r="A4656" s="17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IFERROR(VLOOKUP(B4656,'Diciembre 2023'!$B$2:$G$5822,4,0),"")</f>
        <v>BM</v>
      </c>
    </row>
    <row r="4657" spans="1:7" x14ac:dyDescent="0.25">
      <c r="A4657" s="17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IFERROR(VLOOKUP(B4657,'Diciembre 2023'!$B$2:$G$5822,4,0),"")</f>
        <v>APAPET</v>
      </c>
    </row>
    <row r="4658" spans="1:7" x14ac:dyDescent="0.25">
      <c r="A4658" s="17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IFERROR(VLOOKUP(B4658,'Diciembre 2023'!$B$2:$G$5822,4,0),"")</f>
        <v>BM</v>
      </c>
    </row>
    <row r="4659" spans="1:7" x14ac:dyDescent="0.25">
      <c r="A4659" s="17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IFERROR(VLOOKUP(B4659,'Diciembre 2023'!$B$2:$G$5822,4,0),"")</f>
        <v>APA_PC</v>
      </c>
    </row>
    <row r="4660" spans="1:7" x14ac:dyDescent="0.25">
      <c r="A4660" s="17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IFERROR(VLOOKUP(B4660,'Diciembre 2023'!$B$2:$G$5822,4,0),"")</f>
        <v>ACTPETS</v>
      </c>
    </row>
    <row r="4661" spans="1:7" x14ac:dyDescent="0.25">
      <c r="A4661" s="17"/>
      <c r="B4661" s="4" t="s">
        <v>4572</v>
      </c>
      <c r="C4661" s="4" t="s">
        <v>24</v>
      </c>
      <c r="D4661" s="4" t="s">
        <v>25</v>
      </c>
      <c r="E4661" s="4" t="s">
        <v>26</v>
      </c>
      <c r="F4661" s="4" t="s">
        <v>21</v>
      </c>
      <c r="G4661" s="5" t="str">
        <f>IFERROR(VLOOKUP(B4661,'Diciembre 2023'!$B$2:$G$5822,4,0),"")</f>
        <v>INACTPETF</v>
      </c>
    </row>
    <row r="4662" spans="1:7" x14ac:dyDescent="0.25">
      <c r="A4662" s="17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IFERROR(VLOOKUP(B4662,'Diciembre 2023'!$B$2:$G$5822,4,0),"")</f>
        <v>APA_PC</v>
      </c>
    </row>
    <row r="4663" spans="1:7" x14ac:dyDescent="0.25">
      <c r="A4663" s="17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IFERROR(VLOOKUP(B4663,'Diciembre 2023'!$B$2:$G$5822,4,0),"")</f>
        <v>APA_PC</v>
      </c>
    </row>
    <row r="4664" spans="1:7" x14ac:dyDescent="0.25">
      <c r="A4664" s="17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IFERROR(VLOOKUP(B4664,'Diciembre 2023'!$B$2:$G$5822,4,0),"")</f>
        <v>BM</v>
      </c>
    </row>
    <row r="4665" spans="1:7" x14ac:dyDescent="0.25">
      <c r="A4665" s="17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IFERROR(VLOOKUP(B4665,'Diciembre 2023'!$B$2:$G$5822,4,0),"")</f>
        <v>ACTPETS</v>
      </c>
    </row>
    <row r="4666" spans="1:7" x14ac:dyDescent="0.25">
      <c r="A4666" s="17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IFERROR(VLOOKUP(B4666,'Diciembre 2023'!$B$2:$G$5822,4,0),"")</f>
        <v>ACTPETF</v>
      </c>
    </row>
    <row r="4667" spans="1:7" x14ac:dyDescent="0.25">
      <c r="A4667" s="17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IFERROR(VLOOKUP(B4667,'Diciembre 2023'!$B$2:$G$5822,4,0),"")</f>
        <v>ACTPETS</v>
      </c>
    </row>
    <row r="4668" spans="1:7" x14ac:dyDescent="0.25">
      <c r="A4668" s="17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IFERROR(VLOOKUP(B4668,'Diciembre 2023'!$B$2:$G$5822,4,0),"")</f>
        <v>ACTPETS</v>
      </c>
    </row>
    <row r="4669" spans="1:7" x14ac:dyDescent="0.25">
      <c r="A4669" s="17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IFERROR(VLOOKUP(B4669,'Diciembre 2023'!$B$2:$G$5822,4,0),"")</f>
        <v>APA_PC</v>
      </c>
    </row>
    <row r="4670" spans="1:7" x14ac:dyDescent="0.25">
      <c r="A4670" s="17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IFERROR(VLOOKUP(B4670,'Diciembre 2023'!$B$2:$G$5822,4,0),"")</f>
        <v>ACTPETF</v>
      </c>
    </row>
    <row r="4671" spans="1:7" x14ac:dyDescent="0.25">
      <c r="A4671" s="17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IFERROR(VLOOKUP(B4671,'Diciembre 2023'!$B$2:$G$5822,4,0),"")</f>
        <v>APA_PC</v>
      </c>
    </row>
    <row r="4672" spans="1:7" x14ac:dyDescent="0.25">
      <c r="A4672" s="17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IFERROR(VLOOKUP(B4672,'Diciembre 2023'!$B$2:$G$5822,4,0),"")</f>
        <v>BM</v>
      </c>
    </row>
    <row r="4673" spans="1:7" x14ac:dyDescent="0.25">
      <c r="A4673" s="17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IFERROR(VLOOKUP(B4673,'Diciembre 2023'!$B$2:$G$5822,4,0),"")</f>
        <v>BM</v>
      </c>
    </row>
    <row r="4674" spans="1:7" x14ac:dyDescent="0.25">
      <c r="A4674" s="17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IFERROR(VLOOKUP(B4674,'Diciembre 2023'!$B$2:$G$5822,4,0),"")</f>
        <v>APA_PC</v>
      </c>
    </row>
    <row r="4675" spans="1:7" x14ac:dyDescent="0.25">
      <c r="A4675" s="17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IFERROR(VLOOKUP(B4675,'Diciembre 2023'!$B$2:$G$5822,4,0),"")</f>
        <v>ACTPETF</v>
      </c>
    </row>
    <row r="4676" spans="1:7" x14ac:dyDescent="0.25">
      <c r="A4676" s="17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IFERROR(VLOOKUP(B4676,'Diciembre 2023'!$B$2:$G$5822,4,0),"")</f>
        <v>APA_CNPC</v>
      </c>
    </row>
    <row r="4677" spans="1:7" x14ac:dyDescent="0.25">
      <c r="A4677" s="17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IFERROR(VLOOKUP(B4677,'Diciembre 2023'!$B$2:$G$5822,4,0),"")</f>
        <v>BM</v>
      </c>
    </row>
    <row r="4678" spans="1:7" x14ac:dyDescent="0.25">
      <c r="A4678" s="17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IFERROR(VLOOKUP(B4678,'Diciembre 2023'!$B$2:$G$5822,4,0),"")</f>
        <v>APA_PC</v>
      </c>
    </row>
    <row r="4679" spans="1:7" x14ac:dyDescent="0.25">
      <c r="A4679" s="17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IFERROR(VLOOKUP(B4679,'Diciembre 2023'!$B$2:$G$5822,4,0),"")</f>
        <v>APA_PC</v>
      </c>
    </row>
    <row r="4680" spans="1:7" x14ac:dyDescent="0.25">
      <c r="A4680" s="17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IFERROR(VLOOKUP(B4680,'Diciembre 2023'!$B$2:$G$5822,4,0),"")</f>
        <v>APA_PC</v>
      </c>
    </row>
    <row r="4681" spans="1:7" x14ac:dyDescent="0.25">
      <c r="A4681" s="17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IFERROR(VLOOKUP(B4681,'Diciembre 2023'!$B$2:$G$5822,4,0),"")</f>
        <v>APA_PC</v>
      </c>
    </row>
    <row r="4682" spans="1:7" x14ac:dyDescent="0.25">
      <c r="A4682" s="17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IFERROR(VLOOKUP(B4682,'Diciembre 2023'!$B$2:$G$5822,4,0),"")</f>
        <v>APA_PC</v>
      </c>
    </row>
    <row r="4683" spans="1:7" x14ac:dyDescent="0.25">
      <c r="A4683" s="17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IFERROR(VLOOKUP(B4683,'Diciembre 2023'!$B$2:$G$5822,4,0),"")</f>
        <v>APA_PC</v>
      </c>
    </row>
    <row r="4684" spans="1:7" x14ac:dyDescent="0.25">
      <c r="A4684" s="17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IFERROR(VLOOKUP(B4684,'Diciembre 2023'!$B$2:$G$5822,4,0),"")</f>
        <v>ATAPET</v>
      </c>
    </row>
    <row r="4685" spans="1:7" x14ac:dyDescent="0.25">
      <c r="A4685" s="17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IFERROR(VLOOKUP(B4685,'Diciembre 2023'!$B$2:$G$5822,4,0),"")</f>
        <v>BM</v>
      </c>
    </row>
    <row r="4686" spans="1:7" x14ac:dyDescent="0.25">
      <c r="A4686" s="17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IFERROR(VLOOKUP(B4686,'Diciembre 2023'!$B$2:$G$5822,4,0),"")</f>
        <v>BM</v>
      </c>
    </row>
    <row r="4687" spans="1:7" x14ac:dyDescent="0.25">
      <c r="A4687" s="17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IFERROR(VLOOKUP(B4687,'Diciembre 2023'!$B$2:$G$5822,4,0),"")</f>
        <v>APA_PC</v>
      </c>
    </row>
    <row r="4688" spans="1:7" x14ac:dyDescent="0.25">
      <c r="A4688" s="17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IFERROR(VLOOKUP(B4688,'Diciembre 2023'!$B$2:$G$5822,4,0),"")</f>
        <v>APA_PC</v>
      </c>
    </row>
    <row r="4689" spans="1:7" x14ac:dyDescent="0.25">
      <c r="A4689" s="17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IFERROR(VLOOKUP(B4689,'Diciembre 2023'!$B$2:$G$5822,4,0),"")</f>
        <v>BM</v>
      </c>
    </row>
    <row r="4690" spans="1:7" x14ac:dyDescent="0.25">
      <c r="A4690" s="17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IFERROR(VLOOKUP(B4690,'Diciembre 2023'!$B$2:$G$5822,4,0),"")</f>
        <v>BM</v>
      </c>
    </row>
    <row r="4691" spans="1:7" x14ac:dyDescent="0.25">
      <c r="A4691" s="17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IFERROR(VLOOKUP(B4691,'Diciembre 2023'!$B$2:$G$5822,4,0),"")</f>
        <v>ATAPET</v>
      </c>
    </row>
    <row r="4692" spans="1:7" x14ac:dyDescent="0.25">
      <c r="A4692" s="17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IFERROR(VLOOKUP(B4692,'Diciembre 2023'!$B$2:$G$5822,4,0),"")</f>
        <v>APA_PC</v>
      </c>
    </row>
    <row r="4693" spans="1:7" x14ac:dyDescent="0.25">
      <c r="A4693" s="17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IFERROR(VLOOKUP(B4693,'Diciembre 2023'!$B$2:$G$5822,4,0),"")</f>
        <v>ACTPETS</v>
      </c>
    </row>
    <row r="4694" spans="1:7" x14ac:dyDescent="0.25">
      <c r="A4694" s="17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IFERROR(VLOOKUP(B4694,'Diciembre 2023'!$B$2:$G$5822,4,0),"")</f>
        <v>BM</v>
      </c>
    </row>
    <row r="4695" spans="1:7" x14ac:dyDescent="0.25">
      <c r="A4695" s="17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IFERROR(VLOOKUP(B4695,'Diciembre 2023'!$B$2:$G$5822,4,0),"")</f>
        <v>BM</v>
      </c>
    </row>
    <row r="4696" spans="1:7" x14ac:dyDescent="0.25">
      <c r="A4696" s="17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IFERROR(VLOOKUP(B4696,'Diciembre 2023'!$B$2:$G$5822,4,0),"")</f>
        <v>APA_PC</v>
      </c>
    </row>
    <row r="4697" spans="1:7" x14ac:dyDescent="0.25">
      <c r="A4697" s="17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IFERROR(VLOOKUP(B4697,'Diciembre 2023'!$B$2:$G$5822,4,0),"")</f>
        <v>ACTPETS</v>
      </c>
    </row>
    <row r="4698" spans="1:7" x14ac:dyDescent="0.25">
      <c r="A4698" s="17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IFERROR(VLOOKUP(B4698,'Diciembre 2023'!$B$2:$G$5822,4,0),"")</f>
        <v>APA_PC</v>
      </c>
    </row>
    <row r="4699" spans="1:7" x14ac:dyDescent="0.25">
      <c r="A4699" s="17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IFERROR(VLOOKUP(B4699,'Diciembre 2023'!$B$2:$G$5822,4,0),"")</f>
        <v>APA_PC</v>
      </c>
    </row>
    <row r="4700" spans="1:7" x14ac:dyDescent="0.25">
      <c r="A4700" s="17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IFERROR(VLOOKUP(B4700,'Diciembre 2023'!$B$2:$G$5822,4,0),"")</f>
        <v>BM</v>
      </c>
    </row>
    <row r="4701" spans="1:7" x14ac:dyDescent="0.25">
      <c r="A4701" s="17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IFERROR(VLOOKUP(B4701,'Diciembre 2023'!$B$2:$G$5822,4,0),"")</f>
        <v>APA_PC</v>
      </c>
    </row>
    <row r="4702" spans="1:7" x14ac:dyDescent="0.25">
      <c r="A4702" s="17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IFERROR(VLOOKUP(B4702,'Diciembre 2023'!$B$2:$G$5822,4,0),"")</f>
        <v>ACTPETS</v>
      </c>
    </row>
    <row r="4703" spans="1:7" x14ac:dyDescent="0.25">
      <c r="A4703" s="17"/>
      <c r="B4703" s="4" t="s">
        <v>4614</v>
      </c>
      <c r="C4703" s="4" t="s">
        <v>35</v>
      </c>
      <c r="D4703" s="4" t="s">
        <v>35</v>
      </c>
      <c r="E4703" s="4" t="s">
        <v>57</v>
      </c>
      <c r="F4703" s="4" t="s">
        <v>137</v>
      </c>
      <c r="G4703" s="5" t="str">
        <f>IFERROR(VLOOKUP(B4703,'Diciembre 2023'!$B$2:$G$5822,4,0),"")</f>
        <v>BM</v>
      </c>
    </row>
    <row r="4704" spans="1:7" x14ac:dyDescent="0.25">
      <c r="A4704" s="17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IFERROR(VLOOKUP(B4704,'Diciembre 2023'!$B$2:$G$5822,4,0),"")</f>
        <v>BM</v>
      </c>
    </row>
    <row r="4705" spans="1:7" x14ac:dyDescent="0.25">
      <c r="A4705" s="17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IFERROR(VLOOKUP(B4705,'Diciembre 2023'!$B$2:$G$5822,4,0),"")</f>
        <v>ACTPETF</v>
      </c>
    </row>
    <row r="4706" spans="1:7" x14ac:dyDescent="0.25">
      <c r="A4706" s="17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IFERROR(VLOOKUP(B4706,'Diciembre 2023'!$B$2:$G$5822,4,0),"")</f>
        <v>APA_PC</v>
      </c>
    </row>
    <row r="4707" spans="1:7" x14ac:dyDescent="0.25">
      <c r="A4707" s="17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IFERROR(VLOOKUP(B4707,'Diciembre 2023'!$B$2:$G$5822,4,0),"")</f>
        <v>APA_PC</v>
      </c>
    </row>
    <row r="4708" spans="1:7" x14ac:dyDescent="0.25">
      <c r="A4708" s="17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IFERROR(VLOOKUP(B4708,'Diciembre 2023'!$B$2:$G$5822,4,0),"")</f>
        <v>ATAPET</v>
      </c>
    </row>
    <row r="4709" spans="1:7" x14ac:dyDescent="0.25">
      <c r="A4709" s="17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IFERROR(VLOOKUP(B4709,'Diciembre 2023'!$B$2:$G$5822,4,0),"")</f>
        <v>DPAPET</v>
      </c>
    </row>
    <row r="4710" spans="1:7" x14ac:dyDescent="0.25">
      <c r="A4710" s="17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IFERROR(VLOOKUP(B4710,'Diciembre 2023'!$B$2:$G$5822,4,0),"")</f>
        <v>APA_PC</v>
      </c>
    </row>
    <row r="4711" spans="1:7" x14ac:dyDescent="0.25">
      <c r="A4711" s="17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IFERROR(VLOOKUP(B4711,'Diciembre 2023'!$B$2:$G$5822,4,0),"")</f>
        <v>APA_PC</v>
      </c>
    </row>
    <row r="4712" spans="1:7" x14ac:dyDescent="0.25">
      <c r="A4712" s="17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IFERROR(VLOOKUP(B4712,'Diciembre 2023'!$B$2:$G$5822,4,0),"")</f>
        <v>ATAPET</v>
      </c>
    </row>
    <row r="4713" spans="1:7" x14ac:dyDescent="0.25">
      <c r="A4713" s="17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IFERROR(VLOOKUP(B4713,'Diciembre 2023'!$B$2:$G$5822,4,0),"")</f>
        <v>ACTINYA</v>
      </c>
    </row>
    <row r="4714" spans="1:7" x14ac:dyDescent="0.25">
      <c r="A4714" s="17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IFERROR(VLOOKUP(B4714,'Diciembre 2023'!$B$2:$G$5822,4,0),"")</f>
        <v>BM</v>
      </c>
    </row>
    <row r="4715" spans="1:7" x14ac:dyDescent="0.25">
      <c r="A4715" s="17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IFERROR(VLOOKUP(B4715,'Diciembre 2023'!$B$2:$G$5822,4,0),"")</f>
        <v>APA_PC</v>
      </c>
    </row>
    <row r="4716" spans="1:7" x14ac:dyDescent="0.25">
      <c r="A4716" s="17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IFERROR(VLOOKUP(B4716,'Diciembre 2023'!$B$2:$G$5822,4,0),"")</f>
        <v>APA_PC</v>
      </c>
    </row>
    <row r="4717" spans="1:7" x14ac:dyDescent="0.25">
      <c r="A4717" s="17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IFERROR(VLOOKUP(B4717,'Diciembre 2023'!$B$2:$G$5822,4,0),"")</f>
        <v>APA_PC</v>
      </c>
    </row>
    <row r="4718" spans="1:7" x14ac:dyDescent="0.25">
      <c r="A4718" s="17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IFERROR(VLOOKUP(B4718,'Diciembre 2023'!$B$2:$G$5822,4,0),"")</f>
        <v>APA_PC</v>
      </c>
    </row>
    <row r="4719" spans="1:7" x14ac:dyDescent="0.25">
      <c r="A4719" s="17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IFERROR(VLOOKUP(B4719,'Diciembre 2023'!$B$2:$G$5822,4,0),"")</f>
        <v>ACTPETS</v>
      </c>
    </row>
    <row r="4720" spans="1:7" x14ac:dyDescent="0.25">
      <c r="A4720" s="17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IFERROR(VLOOKUP(B4720,'Diciembre 2023'!$B$2:$G$5822,4,0),"")</f>
        <v>ACTPETS</v>
      </c>
    </row>
    <row r="4721" spans="1:7" x14ac:dyDescent="0.25">
      <c r="A4721" s="17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IFERROR(VLOOKUP(B4721,'Diciembre 2023'!$B$2:$G$5822,4,0),"")</f>
        <v>ACTPETS</v>
      </c>
    </row>
    <row r="4722" spans="1:7" x14ac:dyDescent="0.25">
      <c r="A4722" s="17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IFERROR(VLOOKUP(B4722,'Diciembre 2023'!$B$2:$G$5822,4,0),"")</f>
        <v>APA_PC</v>
      </c>
    </row>
    <row r="4723" spans="1:7" x14ac:dyDescent="0.25">
      <c r="A4723" s="17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IFERROR(VLOOKUP(B4723,'Diciembre 2023'!$B$2:$G$5822,4,0),"")</f>
        <v>ACTPETF</v>
      </c>
    </row>
    <row r="4724" spans="1:7" x14ac:dyDescent="0.25">
      <c r="A4724" s="17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IFERROR(VLOOKUP(B4724,'Diciembre 2023'!$B$2:$G$5822,4,0),"")</f>
        <v>APA_PC</v>
      </c>
    </row>
    <row r="4725" spans="1:7" x14ac:dyDescent="0.25">
      <c r="A4725" s="17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IFERROR(VLOOKUP(B4725,'Diciembre 2023'!$B$2:$G$5822,4,0),"")</f>
        <v>APA_PC</v>
      </c>
    </row>
    <row r="4726" spans="1:7" x14ac:dyDescent="0.25">
      <c r="A4726" s="17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IFERROR(VLOOKUP(B4726,'Diciembre 2023'!$B$2:$G$5822,4,0),"")</f>
        <v>BM</v>
      </c>
    </row>
    <row r="4727" spans="1:7" x14ac:dyDescent="0.25">
      <c r="A4727" s="17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IFERROR(VLOOKUP(B4727,'Diciembre 2023'!$B$2:$G$5822,4,0),"")</f>
        <v>APA_PC</v>
      </c>
    </row>
    <row r="4728" spans="1:7" x14ac:dyDescent="0.25">
      <c r="A4728" s="17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IFERROR(VLOOKUP(B4728,'Diciembre 2023'!$B$2:$G$5822,4,0),"")</f>
        <v>APA_PC</v>
      </c>
    </row>
    <row r="4729" spans="1:7" x14ac:dyDescent="0.25">
      <c r="A4729" s="17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IFERROR(VLOOKUP(B4729,'Diciembre 2023'!$B$2:$G$5822,4,0),"")</f>
        <v>APA_CNPC</v>
      </c>
    </row>
    <row r="4730" spans="1:7" x14ac:dyDescent="0.25">
      <c r="A4730" s="17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IFERROR(VLOOKUP(B4730,'Diciembre 2023'!$B$2:$G$5822,4,0),"")</f>
        <v>INACTPETF</v>
      </c>
    </row>
    <row r="4731" spans="1:7" x14ac:dyDescent="0.25">
      <c r="A4731" s="17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IFERROR(VLOOKUP(B4731,'Diciembre 2023'!$B$2:$G$5822,4,0),"")</f>
        <v>ACTPETF</v>
      </c>
    </row>
    <row r="4732" spans="1:7" x14ac:dyDescent="0.25">
      <c r="A4732" s="17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IFERROR(VLOOKUP(B4732,'Diciembre 2023'!$B$2:$G$5822,4,0),"")</f>
        <v>ACTPETS</v>
      </c>
    </row>
    <row r="4733" spans="1:7" x14ac:dyDescent="0.25">
      <c r="A4733" s="17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IFERROR(VLOOKUP(B4733,'Diciembre 2023'!$B$2:$G$5822,4,0),"")</f>
        <v>INACTBM</v>
      </c>
    </row>
    <row r="4734" spans="1:7" x14ac:dyDescent="0.25">
      <c r="A4734" s="17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IFERROR(VLOOKUP(B4734,'Diciembre 2023'!$B$2:$G$5822,4,0),"")</f>
        <v>BM</v>
      </c>
    </row>
    <row r="4735" spans="1:7" x14ac:dyDescent="0.25">
      <c r="A4735" s="17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IFERROR(VLOOKUP(B4735,'Diciembre 2023'!$B$2:$G$5822,4,0),"")</f>
        <v>ACTPETS</v>
      </c>
    </row>
    <row r="4736" spans="1:7" x14ac:dyDescent="0.25">
      <c r="A4736" s="17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IFERROR(VLOOKUP(B4736,'Diciembre 2023'!$B$2:$G$5822,4,0),"")</f>
        <v>BM</v>
      </c>
    </row>
    <row r="4737" spans="1:7" x14ac:dyDescent="0.25">
      <c r="A4737" s="17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IFERROR(VLOOKUP(B4737,'Diciembre 2023'!$B$2:$G$5822,4,0),"")</f>
        <v>APA_PC</v>
      </c>
    </row>
    <row r="4738" spans="1:7" x14ac:dyDescent="0.25">
      <c r="A4738" s="17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IFERROR(VLOOKUP(B4738,'Diciembre 2023'!$B$2:$G$5822,4,0),"")</f>
        <v>APA_CNPC</v>
      </c>
    </row>
    <row r="4739" spans="1:7" x14ac:dyDescent="0.25">
      <c r="A4739" s="17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IFERROR(VLOOKUP(B4739,'Diciembre 2023'!$B$2:$G$5822,4,0),"")</f>
        <v>INACTPETS</v>
      </c>
    </row>
    <row r="4740" spans="1:7" x14ac:dyDescent="0.25">
      <c r="A4740" s="17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IFERROR(VLOOKUP(B4740,'Diciembre 2023'!$B$2:$G$5822,4,0),"")</f>
        <v>ACTPETS</v>
      </c>
    </row>
    <row r="4741" spans="1:7" x14ac:dyDescent="0.25">
      <c r="A4741" s="17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IFERROR(VLOOKUP(B4741,'Diciembre 2023'!$B$2:$G$5822,4,0),"")</f>
        <v>DPAPET</v>
      </c>
    </row>
    <row r="4742" spans="1:7" x14ac:dyDescent="0.25">
      <c r="A4742" s="17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IFERROR(VLOOKUP(B4742,'Diciembre 2023'!$B$2:$G$5822,4,0),"")</f>
        <v>INACTGL</v>
      </c>
    </row>
    <row r="4743" spans="1:7" x14ac:dyDescent="0.25">
      <c r="A4743" s="17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IFERROR(VLOOKUP(B4743,'Diciembre 2023'!$B$2:$G$5822,4,0),"")</f>
        <v>ATAPET</v>
      </c>
    </row>
    <row r="4744" spans="1:7" x14ac:dyDescent="0.25">
      <c r="A4744" s="17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IFERROR(VLOOKUP(B4744,'Diciembre 2023'!$B$2:$G$5822,4,0),"")</f>
        <v>BM</v>
      </c>
    </row>
    <row r="4745" spans="1:7" x14ac:dyDescent="0.25">
      <c r="A4745" s="17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IFERROR(VLOOKUP(B4745,'Diciembre 2023'!$B$2:$G$5822,4,0),"")</f>
        <v>ACTINYA</v>
      </c>
    </row>
    <row r="4746" spans="1:7" x14ac:dyDescent="0.25">
      <c r="A4746" s="17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IFERROR(VLOOKUP(B4746,'Diciembre 2023'!$B$2:$G$5822,4,0),"")</f>
        <v>APA_PB</v>
      </c>
    </row>
    <row r="4747" spans="1:7" x14ac:dyDescent="0.25">
      <c r="A4747" s="17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IFERROR(VLOOKUP(B4747,'Diciembre 2023'!$B$2:$G$5822,4,0),"")</f>
        <v>APA_PC</v>
      </c>
    </row>
    <row r="4748" spans="1:7" x14ac:dyDescent="0.25">
      <c r="A4748" s="17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IFERROR(VLOOKUP(B4748,'Diciembre 2023'!$B$2:$G$5822,4,0),"")</f>
        <v>APA_PC</v>
      </c>
    </row>
    <row r="4749" spans="1:7" x14ac:dyDescent="0.25">
      <c r="A4749" s="17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IFERROR(VLOOKUP(B4749,'Diciembre 2023'!$B$2:$G$5822,4,0),"")</f>
        <v>APA_PC</v>
      </c>
    </row>
    <row r="4750" spans="1:7" x14ac:dyDescent="0.25">
      <c r="A4750" s="17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IFERROR(VLOOKUP(B4750,'Diciembre 2023'!$B$2:$G$5822,4,0),"")</f>
        <v>APA_PC</v>
      </c>
    </row>
    <row r="4751" spans="1:7" x14ac:dyDescent="0.25">
      <c r="A4751" s="17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IFERROR(VLOOKUP(B4751,'Diciembre 2023'!$B$2:$G$5822,4,0),"")</f>
        <v>APA_PC</v>
      </c>
    </row>
    <row r="4752" spans="1:7" x14ac:dyDescent="0.25">
      <c r="A4752" s="17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IFERROR(VLOOKUP(B4752,'Diciembre 2023'!$B$2:$G$5822,4,0),"")</f>
        <v>APA_PC</v>
      </c>
    </row>
    <row r="4753" spans="1:7" x14ac:dyDescent="0.25">
      <c r="A4753" s="17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IFERROR(VLOOKUP(B4753,'Diciembre 2023'!$B$2:$G$5822,4,0),"")</f>
        <v>APA_PC</v>
      </c>
    </row>
    <row r="4754" spans="1:7" x14ac:dyDescent="0.25">
      <c r="A4754" s="17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IFERROR(VLOOKUP(B4754,'Diciembre 2023'!$B$2:$G$5822,4,0),"")</f>
        <v>ACTPETS</v>
      </c>
    </row>
    <row r="4755" spans="1:7" x14ac:dyDescent="0.25">
      <c r="A4755" s="17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IFERROR(VLOOKUP(B4755,'Diciembre 2023'!$B$2:$G$5822,4,0),"")</f>
        <v>APA_PC</v>
      </c>
    </row>
    <row r="4756" spans="1:7" x14ac:dyDescent="0.25">
      <c r="A4756" s="17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IFERROR(VLOOKUP(B4756,'Diciembre 2023'!$B$2:$G$5822,4,0),"")</f>
        <v>ACTINYA</v>
      </c>
    </row>
    <row r="4757" spans="1:7" x14ac:dyDescent="0.25">
      <c r="A4757" s="17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IFERROR(VLOOKUP(B4757,'Diciembre 2023'!$B$2:$G$5822,4,0),"")</f>
        <v>ACTPETF</v>
      </c>
    </row>
    <row r="4758" spans="1:7" x14ac:dyDescent="0.25">
      <c r="A4758" s="17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IFERROR(VLOOKUP(B4758,'Diciembre 2023'!$B$2:$G$5822,4,0),"")</f>
        <v>BM</v>
      </c>
    </row>
    <row r="4759" spans="1:7" x14ac:dyDescent="0.25">
      <c r="A4759" s="17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IFERROR(VLOOKUP(B4759,'Diciembre 2023'!$B$2:$G$5822,4,0),"")</f>
        <v>BM</v>
      </c>
    </row>
    <row r="4760" spans="1:7" x14ac:dyDescent="0.25">
      <c r="A4760" s="17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IFERROR(VLOOKUP(B4760,'Diciembre 2023'!$B$2:$G$5822,4,0),"")</f>
        <v>ACTPETF</v>
      </c>
    </row>
    <row r="4761" spans="1:7" x14ac:dyDescent="0.25">
      <c r="A4761" s="17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IFERROR(VLOOKUP(B4761,'Diciembre 2023'!$B$2:$G$5822,4,0),"")</f>
        <v>ACTPETS</v>
      </c>
    </row>
    <row r="4762" spans="1:7" x14ac:dyDescent="0.25">
      <c r="A4762" s="17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IFERROR(VLOOKUP(B4762,'Diciembre 2023'!$B$2:$G$5822,4,0),"")</f>
        <v>APA_PC</v>
      </c>
    </row>
    <row r="4763" spans="1:7" x14ac:dyDescent="0.25">
      <c r="A4763" s="17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IFERROR(VLOOKUP(B4763,'Diciembre 2023'!$B$2:$G$5822,4,0),"")</f>
        <v>ACTPETS</v>
      </c>
    </row>
    <row r="4764" spans="1:7" x14ac:dyDescent="0.25">
      <c r="A4764" s="17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IFERROR(VLOOKUP(B4764,'Diciembre 2023'!$B$2:$G$5822,4,0),"")</f>
        <v>APA_PC</v>
      </c>
    </row>
    <row r="4765" spans="1:7" x14ac:dyDescent="0.25">
      <c r="A4765" s="17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IFERROR(VLOOKUP(B4765,'Diciembre 2023'!$B$2:$G$5822,4,0),"")</f>
        <v>BM</v>
      </c>
    </row>
    <row r="4766" spans="1:7" x14ac:dyDescent="0.25">
      <c r="A4766" s="17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IFERROR(VLOOKUP(B4766,'Diciembre 2023'!$B$2:$G$5822,4,0),"")</f>
        <v>BM</v>
      </c>
    </row>
    <row r="4767" spans="1:7" x14ac:dyDescent="0.25">
      <c r="A4767" s="17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IFERROR(VLOOKUP(B4767,'Diciembre 2023'!$B$2:$G$5822,4,0),"")</f>
        <v>BM</v>
      </c>
    </row>
    <row r="4768" spans="1:7" x14ac:dyDescent="0.25">
      <c r="A4768" s="17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IFERROR(VLOOKUP(B4768,'Diciembre 2023'!$B$2:$G$5822,4,0),"")</f>
        <v>BM</v>
      </c>
    </row>
    <row r="4769" spans="1:7" x14ac:dyDescent="0.25">
      <c r="A4769" s="17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IFERROR(VLOOKUP(B4769,'Diciembre 2023'!$B$2:$G$5822,4,0),"")</f>
        <v>ACTPETF</v>
      </c>
    </row>
    <row r="4770" spans="1:7" x14ac:dyDescent="0.25">
      <c r="A4770" s="17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IFERROR(VLOOKUP(B4770,'Diciembre 2023'!$B$2:$G$5822,4,0),"")</f>
        <v>BM</v>
      </c>
    </row>
    <row r="4771" spans="1:7" x14ac:dyDescent="0.25">
      <c r="A4771" s="17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IFERROR(VLOOKUP(B4771,'Diciembre 2023'!$B$2:$G$5822,4,0),"")</f>
        <v>ACTPETS</v>
      </c>
    </row>
    <row r="4772" spans="1:7" x14ac:dyDescent="0.25">
      <c r="A4772" s="17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IFERROR(VLOOKUP(B4772,'Diciembre 2023'!$B$2:$G$5822,4,0),"")</f>
        <v>ACTPETF</v>
      </c>
    </row>
    <row r="4773" spans="1:7" x14ac:dyDescent="0.25">
      <c r="A4773" s="17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IFERROR(VLOOKUP(B4773,'Diciembre 2023'!$B$2:$G$5822,4,0),"")</f>
        <v>APA_PC</v>
      </c>
    </row>
    <row r="4774" spans="1:7" x14ac:dyDescent="0.25">
      <c r="A4774" s="17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IFERROR(VLOOKUP(B4774,'Diciembre 2023'!$B$2:$G$5822,4,0),"")</f>
        <v>INACTINYA</v>
      </c>
    </row>
    <row r="4775" spans="1:7" x14ac:dyDescent="0.25">
      <c r="A4775" s="17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IFERROR(VLOOKUP(B4775,'Diciembre 2023'!$B$2:$G$5822,4,0),"")</f>
        <v>APA_PC</v>
      </c>
    </row>
    <row r="4776" spans="1:7" x14ac:dyDescent="0.25">
      <c r="A4776" s="17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IFERROR(VLOOKUP(B4776,'Diciembre 2023'!$B$2:$G$5822,4,0),"")</f>
        <v>ATAPET</v>
      </c>
    </row>
    <row r="4777" spans="1:7" x14ac:dyDescent="0.25">
      <c r="A4777" s="17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IFERROR(VLOOKUP(B4777,'Diciembre 2023'!$B$2:$G$5822,4,0),"")</f>
        <v>ATAPET</v>
      </c>
    </row>
    <row r="4778" spans="1:7" x14ac:dyDescent="0.25">
      <c r="A4778" s="17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IFERROR(VLOOKUP(B4778,'Diciembre 2023'!$B$2:$G$5822,4,0),"")</f>
        <v>APA_PC</v>
      </c>
    </row>
    <row r="4779" spans="1:7" x14ac:dyDescent="0.25">
      <c r="A4779" s="17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IFERROR(VLOOKUP(B4779,'Diciembre 2023'!$B$2:$G$5822,4,0),"")</f>
        <v>APA_PC</v>
      </c>
    </row>
    <row r="4780" spans="1:7" x14ac:dyDescent="0.25">
      <c r="A4780" s="17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IFERROR(VLOOKUP(B4780,'Diciembre 2023'!$B$2:$G$5822,4,0),"")</f>
        <v>ATAPET</v>
      </c>
    </row>
    <row r="4781" spans="1:7" x14ac:dyDescent="0.25">
      <c r="A4781" s="17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IFERROR(VLOOKUP(B4781,'Diciembre 2023'!$B$2:$G$5822,4,0),"")</f>
        <v>ATAPET</v>
      </c>
    </row>
    <row r="4782" spans="1:7" x14ac:dyDescent="0.25">
      <c r="A4782" s="17"/>
      <c r="B4782" s="4" t="s">
        <v>4693</v>
      </c>
      <c r="C4782" s="4" t="s">
        <v>109</v>
      </c>
      <c r="D4782" s="4" t="s">
        <v>110</v>
      </c>
      <c r="E4782" s="4" t="s">
        <v>111</v>
      </c>
      <c r="F4782" s="4" t="s">
        <v>112</v>
      </c>
      <c r="G4782" s="5" t="str">
        <f>IFERROR(VLOOKUP(B4782,'Diciembre 2023'!$B$2:$G$5822,4,0),"")</f>
        <v>ACTINYA</v>
      </c>
    </row>
    <row r="4783" spans="1:7" x14ac:dyDescent="0.25">
      <c r="A4783" s="17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IFERROR(VLOOKUP(B4783,'Diciembre 2023'!$B$2:$G$5822,4,0),"")</f>
        <v>BM</v>
      </c>
    </row>
    <row r="4784" spans="1:7" x14ac:dyDescent="0.25">
      <c r="A4784" s="17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IFERROR(VLOOKUP(B4784,'Diciembre 2023'!$B$2:$G$5822,4,0),"")</f>
        <v>APA_PC</v>
      </c>
    </row>
    <row r="4785" spans="1:7" x14ac:dyDescent="0.25">
      <c r="A4785" s="17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IFERROR(VLOOKUP(B4785,'Diciembre 2023'!$B$2:$G$5822,4,0),"")</f>
        <v>APA_PC</v>
      </c>
    </row>
    <row r="4786" spans="1:7" x14ac:dyDescent="0.25">
      <c r="A4786" s="17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IFERROR(VLOOKUP(B4786,'Diciembre 2023'!$B$2:$G$5822,4,0),"")</f>
        <v>ACTPETF</v>
      </c>
    </row>
    <row r="4787" spans="1:7" x14ac:dyDescent="0.25">
      <c r="A4787" s="17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IFERROR(VLOOKUP(B4787,'Diciembre 2023'!$B$2:$G$5822,4,0),"")</f>
        <v>APA_PC</v>
      </c>
    </row>
    <row r="4788" spans="1:7" x14ac:dyDescent="0.25">
      <c r="A4788" s="17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IFERROR(VLOOKUP(B4788,'Diciembre 2023'!$B$2:$G$5822,4,0),"")</f>
        <v>APA_PC</v>
      </c>
    </row>
    <row r="4789" spans="1:7" x14ac:dyDescent="0.25">
      <c r="A4789" s="17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IFERROR(VLOOKUP(B4789,'Diciembre 2023'!$B$2:$G$5822,4,0),"")</f>
        <v>APA_PC</v>
      </c>
    </row>
    <row r="4790" spans="1:7" x14ac:dyDescent="0.25">
      <c r="A4790" s="17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IFERROR(VLOOKUP(B4790,'Diciembre 2023'!$B$2:$G$5822,4,0),"")</f>
        <v>APA_PC</v>
      </c>
    </row>
    <row r="4791" spans="1:7" x14ac:dyDescent="0.25">
      <c r="A4791" s="17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IFERROR(VLOOKUP(B4791,'Diciembre 2023'!$B$2:$G$5822,4,0),"")</f>
        <v>DPAPET</v>
      </c>
    </row>
    <row r="4792" spans="1:7" x14ac:dyDescent="0.25">
      <c r="A4792" s="17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IFERROR(VLOOKUP(B4792,'Diciembre 2023'!$B$2:$G$5822,4,0),"")</f>
        <v>ACTPETF</v>
      </c>
    </row>
    <row r="4793" spans="1:7" x14ac:dyDescent="0.25">
      <c r="A4793" s="17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IFERROR(VLOOKUP(B4793,'Diciembre 2023'!$B$2:$G$5822,4,0),"")</f>
        <v>APA_PC</v>
      </c>
    </row>
    <row r="4794" spans="1:7" x14ac:dyDescent="0.25">
      <c r="A4794" s="17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IFERROR(VLOOKUP(B4794,'Diciembre 2023'!$B$2:$G$5822,4,0),"")</f>
        <v>APA_CNPC</v>
      </c>
    </row>
    <row r="4795" spans="1:7" x14ac:dyDescent="0.25">
      <c r="A4795" s="17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IFERROR(VLOOKUP(B4795,'Diciembre 2023'!$B$2:$G$5822,4,0),"")</f>
        <v>INACTBM</v>
      </c>
    </row>
    <row r="4796" spans="1:7" x14ac:dyDescent="0.25">
      <c r="A4796" s="17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IFERROR(VLOOKUP(B4796,'Diciembre 2023'!$B$2:$G$5822,4,0),"")</f>
        <v>APA_PC</v>
      </c>
    </row>
    <row r="4797" spans="1:7" x14ac:dyDescent="0.25">
      <c r="A4797" s="17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IFERROR(VLOOKUP(B4797,'Diciembre 2023'!$B$2:$G$5822,4,0),"")</f>
        <v>BM</v>
      </c>
    </row>
    <row r="4798" spans="1:7" x14ac:dyDescent="0.25">
      <c r="A4798" s="17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IFERROR(VLOOKUP(B4798,'Diciembre 2023'!$B$2:$G$5822,4,0),"")</f>
        <v>BM</v>
      </c>
    </row>
    <row r="4799" spans="1:7" x14ac:dyDescent="0.25">
      <c r="A4799" s="17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IFERROR(VLOOKUP(B4799,'Diciembre 2023'!$B$2:$G$5822,4,0),"")</f>
        <v>ACTPETF</v>
      </c>
    </row>
    <row r="4800" spans="1:7" x14ac:dyDescent="0.25">
      <c r="A4800" s="17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IFERROR(VLOOKUP(B4800,'Diciembre 2023'!$B$2:$G$5822,4,0),"")</f>
        <v>BM</v>
      </c>
    </row>
    <row r="4801" spans="1:7" x14ac:dyDescent="0.25">
      <c r="A4801" s="17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IFERROR(VLOOKUP(B4801,'Diciembre 2023'!$B$2:$G$5822,4,0),"")</f>
        <v>INACTINYA</v>
      </c>
    </row>
    <row r="4802" spans="1:7" x14ac:dyDescent="0.25">
      <c r="A4802" s="17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IFERROR(VLOOKUP(B4802,'Diciembre 2023'!$B$2:$G$5822,4,0),"")</f>
        <v>BM</v>
      </c>
    </row>
    <row r="4803" spans="1:7" x14ac:dyDescent="0.25">
      <c r="A4803" s="17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IFERROR(VLOOKUP(B4803,'Diciembre 2023'!$B$2:$G$5822,4,0),"")</f>
        <v>ACTPETF</v>
      </c>
    </row>
    <row r="4804" spans="1:7" x14ac:dyDescent="0.25">
      <c r="A4804" s="17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IFERROR(VLOOKUP(B4804,'Diciembre 2023'!$B$2:$G$5822,4,0),"")</f>
        <v>APA_PC</v>
      </c>
    </row>
    <row r="4805" spans="1:7" x14ac:dyDescent="0.25">
      <c r="A4805" s="17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IFERROR(VLOOKUP(B4805,'Diciembre 2023'!$B$2:$G$5822,4,0),"")</f>
        <v>APA_PC</v>
      </c>
    </row>
    <row r="4806" spans="1:7" x14ac:dyDescent="0.25">
      <c r="A4806" s="17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IFERROR(VLOOKUP(B4806,'Diciembre 2023'!$B$2:$G$5822,4,0),"")</f>
        <v>APA_PC</v>
      </c>
    </row>
    <row r="4807" spans="1:7" x14ac:dyDescent="0.25">
      <c r="A4807" s="17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IFERROR(VLOOKUP(B4807,'Diciembre 2023'!$B$2:$G$5822,4,0),"")</f>
        <v>APA_PC</v>
      </c>
    </row>
    <row r="4808" spans="1:7" x14ac:dyDescent="0.25">
      <c r="A4808" s="17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IFERROR(VLOOKUP(B4808,'Diciembre 2023'!$B$2:$G$5822,4,0),"")</f>
        <v>APA_PC</v>
      </c>
    </row>
    <row r="4809" spans="1:7" x14ac:dyDescent="0.25">
      <c r="A4809" s="17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IFERROR(VLOOKUP(B4809,'Diciembre 2023'!$B$2:$G$5822,4,0),"")</f>
        <v>APA_PC</v>
      </c>
    </row>
    <row r="4810" spans="1:7" x14ac:dyDescent="0.25">
      <c r="A4810" s="17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IFERROR(VLOOKUP(B4810,'Diciembre 2023'!$B$2:$G$5822,4,0),"")</f>
        <v>APA_PC</v>
      </c>
    </row>
    <row r="4811" spans="1:7" x14ac:dyDescent="0.25">
      <c r="A4811" s="17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IFERROR(VLOOKUP(B4811,'Diciembre 2023'!$B$2:$G$5822,4,0),"")</f>
        <v>APA_PC</v>
      </c>
    </row>
    <row r="4812" spans="1:7" x14ac:dyDescent="0.25">
      <c r="A4812" s="17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IFERROR(VLOOKUP(B4812,'Diciembre 2023'!$B$2:$G$5822,4,0),"")</f>
        <v>APA_PC</v>
      </c>
    </row>
    <row r="4813" spans="1:7" x14ac:dyDescent="0.25">
      <c r="A4813" s="17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IFERROR(VLOOKUP(B4813,'Diciembre 2023'!$B$2:$G$5822,4,0),"")</f>
        <v>APA_PC</v>
      </c>
    </row>
    <row r="4814" spans="1:7" x14ac:dyDescent="0.25">
      <c r="A4814" s="17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IFERROR(VLOOKUP(B4814,'Diciembre 2023'!$B$2:$G$5822,4,0),"")</f>
        <v>ACTPETS</v>
      </c>
    </row>
    <row r="4815" spans="1:7" x14ac:dyDescent="0.25">
      <c r="A4815" s="17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IFERROR(VLOOKUP(B4815,'Diciembre 2023'!$B$2:$G$5822,4,0),"")</f>
        <v>APA_PC</v>
      </c>
    </row>
    <row r="4816" spans="1:7" x14ac:dyDescent="0.25">
      <c r="A4816" s="17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IFERROR(VLOOKUP(B4816,'Diciembre 2023'!$B$2:$G$5822,4,0),"")</f>
        <v>APA_PC</v>
      </c>
    </row>
    <row r="4817" spans="1:7" x14ac:dyDescent="0.25">
      <c r="A4817" s="17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IFERROR(VLOOKUP(B4817,'Diciembre 2023'!$B$2:$G$5822,4,0),"")</f>
        <v>APA_PC</v>
      </c>
    </row>
    <row r="4818" spans="1:7" x14ac:dyDescent="0.25">
      <c r="A4818" s="17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IFERROR(VLOOKUP(B4818,'Diciembre 2023'!$B$2:$G$5822,4,0),"")</f>
        <v>APA_PC</v>
      </c>
    </row>
    <row r="4819" spans="1:7" x14ac:dyDescent="0.25">
      <c r="A4819" s="17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IFERROR(VLOOKUP(B4819,'Diciembre 2023'!$B$2:$G$5822,4,0),"")</f>
        <v>APA_PC</v>
      </c>
    </row>
    <row r="4820" spans="1:7" x14ac:dyDescent="0.25">
      <c r="A4820" s="17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IFERROR(VLOOKUP(B4820,'Diciembre 2023'!$B$2:$G$5822,4,0),"")</f>
        <v>APA_PC</v>
      </c>
    </row>
    <row r="4821" spans="1:7" x14ac:dyDescent="0.25">
      <c r="A4821" s="17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IFERROR(VLOOKUP(B4821,'Diciembre 2023'!$B$2:$G$5822,4,0),"")</f>
        <v>ACTPETF</v>
      </c>
    </row>
    <row r="4822" spans="1:7" x14ac:dyDescent="0.25">
      <c r="A4822" s="17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IFERROR(VLOOKUP(B4822,'Diciembre 2023'!$B$2:$G$5822,4,0),"")</f>
        <v>ACTPETF</v>
      </c>
    </row>
    <row r="4823" spans="1:7" x14ac:dyDescent="0.25">
      <c r="A4823" s="17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IFERROR(VLOOKUP(B4823,'Diciembre 2023'!$B$2:$G$5822,4,0),"")</f>
        <v>BM</v>
      </c>
    </row>
    <row r="4824" spans="1:7" x14ac:dyDescent="0.25">
      <c r="A4824" s="17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IFERROR(VLOOKUP(B4824,'Diciembre 2023'!$B$2:$G$5822,4,0),"")</f>
        <v>APA_PC</v>
      </c>
    </row>
    <row r="4825" spans="1:7" x14ac:dyDescent="0.25">
      <c r="A4825" s="17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IFERROR(VLOOKUP(B4825,'Diciembre 2023'!$B$2:$G$5822,4,0),"")</f>
        <v>APA_PC</v>
      </c>
    </row>
    <row r="4826" spans="1:7" x14ac:dyDescent="0.25">
      <c r="A4826" s="17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IFERROR(VLOOKUP(B4826,'Diciembre 2023'!$B$2:$G$5822,4,0),"")</f>
        <v>APA_PC</v>
      </c>
    </row>
    <row r="4827" spans="1:7" x14ac:dyDescent="0.25">
      <c r="A4827" s="17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IFERROR(VLOOKUP(B4827,'Diciembre 2023'!$B$2:$G$5822,4,0),"")</f>
        <v>APA_PC</v>
      </c>
    </row>
    <row r="4828" spans="1:7" x14ac:dyDescent="0.25">
      <c r="A4828" s="17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IFERROR(VLOOKUP(B4828,'Diciembre 2023'!$B$2:$G$5822,4,0),"")</f>
        <v>ACTPETF</v>
      </c>
    </row>
    <row r="4829" spans="1:7" x14ac:dyDescent="0.25">
      <c r="A4829" s="17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IFERROR(VLOOKUP(B4829,'Diciembre 2023'!$B$2:$G$5822,4,0),"")</f>
        <v>APA_PC</v>
      </c>
    </row>
    <row r="4830" spans="1:7" x14ac:dyDescent="0.25">
      <c r="A4830" s="17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IFERROR(VLOOKUP(B4830,'Diciembre 2023'!$B$2:$G$5822,4,0),"")</f>
        <v>APA_PC</v>
      </c>
    </row>
    <row r="4831" spans="1:7" x14ac:dyDescent="0.25">
      <c r="A4831" s="17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IFERROR(VLOOKUP(B4831,'Diciembre 2023'!$B$2:$G$5822,4,0),"")</f>
        <v>ACTPETF</v>
      </c>
    </row>
    <row r="4832" spans="1:7" x14ac:dyDescent="0.25">
      <c r="A4832" s="17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IFERROR(VLOOKUP(B4832,'Diciembre 2023'!$B$2:$G$5822,4,0),"")</f>
        <v>ACTPETS</v>
      </c>
    </row>
    <row r="4833" spans="1:7" x14ac:dyDescent="0.25">
      <c r="A4833" s="17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IFERROR(VLOOKUP(B4833,'Diciembre 2023'!$B$2:$G$5822,4,0),"")</f>
        <v>ACTPETF</v>
      </c>
    </row>
    <row r="4834" spans="1:7" x14ac:dyDescent="0.25">
      <c r="A4834" s="17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IFERROR(VLOOKUP(B4834,'Diciembre 2023'!$B$2:$G$5822,4,0),"")</f>
        <v>APA_PC</v>
      </c>
    </row>
    <row r="4835" spans="1:7" x14ac:dyDescent="0.25">
      <c r="A4835" s="17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IFERROR(VLOOKUP(B4835,'Diciembre 2023'!$B$2:$G$5822,4,0),"")</f>
        <v>BM</v>
      </c>
    </row>
    <row r="4836" spans="1:7" x14ac:dyDescent="0.25">
      <c r="A4836" s="17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IFERROR(VLOOKUP(B4836,'Diciembre 2023'!$B$2:$G$5822,4,0),"")</f>
        <v>BM</v>
      </c>
    </row>
    <row r="4837" spans="1:7" x14ac:dyDescent="0.25">
      <c r="A4837" s="17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IFERROR(VLOOKUP(B4837,'Diciembre 2023'!$B$2:$G$5822,4,0),"")</f>
        <v>APA_PC</v>
      </c>
    </row>
    <row r="4838" spans="1:7" x14ac:dyDescent="0.25">
      <c r="A4838" s="17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IFERROR(VLOOKUP(B4838,'Diciembre 2023'!$B$2:$G$5822,4,0),"")</f>
        <v>BM</v>
      </c>
    </row>
    <row r="4839" spans="1:7" x14ac:dyDescent="0.25">
      <c r="A4839" s="17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IFERROR(VLOOKUP(B4839,'Diciembre 2023'!$B$2:$G$5822,4,0),"")</f>
        <v>BM</v>
      </c>
    </row>
    <row r="4840" spans="1:7" x14ac:dyDescent="0.25">
      <c r="A4840" s="17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IFERROR(VLOOKUP(B4840,'Diciembre 2023'!$B$2:$G$5822,4,0),"")</f>
        <v>ATAPET</v>
      </c>
    </row>
    <row r="4841" spans="1:7" x14ac:dyDescent="0.25">
      <c r="A4841" s="17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IFERROR(VLOOKUP(B4841,'Diciembre 2023'!$B$2:$G$5822,4,0),"")</f>
        <v>APA_PC</v>
      </c>
    </row>
    <row r="4842" spans="1:7" x14ac:dyDescent="0.25">
      <c r="A4842" s="17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IFERROR(VLOOKUP(B4842,'Diciembre 2023'!$B$2:$G$5822,4,0),"")</f>
        <v>ACTPETS</v>
      </c>
    </row>
    <row r="4843" spans="1:7" x14ac:dyDescent="0.25">
      <c r="A4843" s="17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IFERROR(VLOOKUP(B4843,'Diciembre 2023'!$B$2:$G$5822,4,0),"")</f>
        <v>APA_PC</v>
      </c>
    </row>
    <row r="4844" spans="1:7" x14ac:dyDescent="0.25">
      <c r="A4844" s="17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IFERROR(VLOOKUP(B4844,'Diciembre 2023'!$B$2:$G$5822,4,0),"")</f>
        <v>BM</v>
      </c>
    </row>
    <row r="4845" spans="1:7" x14ac:dyDescent="0.25">
      <c r="A4845" s="17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IFERROR(VLOOKUP(B4845,'Diciembre 2023'!$B$2:$G$5822,4,0),"")</f>
        <v>ACTPETS</v>
      </c>
    </row>
    <row r="4846" spans="1:7" x14ac:dyDescent="0.25">
      <c r="A4846" s="17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IFERROR(VLOOKUP(B4846,'Diciembre 2023'!$B$2:$G$5822,4,0),"")</f>
        <v>BM</v>
      </c>
    </row>
    <row r="4847" spans="1:7" x14ac:dyDescent="0.25">
      <c r="A4847" s="17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IFERROR(VLOOKUP(B4847,'Diciembre 2023'!$B$2:$G$5822,4,0),"")</f>
        <v>ACTPETS</v>
      </c>
    </row>
    <row r="4848" spans="1:7" x14ac:dyDescent="0.25">
      <c r="A4848" s="17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IFERROR(VLOOKUP(B4848,'Diciembre 2023'!$B$2:$G$5822,4,0),"")</f>
        <v>ACTINYA</v>
      </c>
    </row>
    <row r="4849" spans="1:7" x14ac:dyDescent="0.25">
      <c r="A4849" s="17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IFERROR(VLOOKUP(B4849,'Diciembre 2023'!$B$2:$G$5822,4,0),"")</f>
        <v>PL</v>
      </c>
    </row>
    <row r="4850" spans="1:7" x14ac:dyDescent="0.25">
      <c r="A4850" s="17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IFERROR(VLOOKUP(B4850,'Diciembre 2023'!$B$2:$G$5822,4,0),"")</f>
        <v>BM</v>
      </c>
    </row>
    <row r="4851" spans="1:7" x14ac:dyDescent="0.25">
      <c r="A4851" s="17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IFERROR(VLOOKUP(B4851,'Diciembre 2023'!$B$2:$G$5822,4,0),"")</f>
        <v>ACTPETS</v>
      </c>
    </row>
    <row r="4852" spans="1:7" x14ac:dyDescent="0.25">
      <c r="A4852" s="17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IFERROR(VLOOKUP(B4852,'Diciembre 2023'!$B$2:$G$5822,4,0),"")</f>
        <v>ACTPETS</v>
      </c>
    </row>
    <row r="4853" spans="1:7" x14ac:dyDescent="0.25">
      <c r="A4853" s="17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IFERROR(VLOOKUP(B4853,'Diciembre 2023'!$B$2:$G$5822,4,0),"")</f>
        <v>APA_PC</v>
      </c>
    </row>
    <row r="4854" spans="1:7" x14ac:dyDescent="0.25">
      <c r="A4854" s="17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IFERROR(VLOOKUP(B4854,'Diciembre 2023'!$B$2:$G$5822,4,0),"")</f>
        <v>ATAPET</v>
      </c>
    </row>
    <row r="4855" spans="1:7" x14ac:dyDescent="0.25">
      <c r="A4855" s="17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IFERROR(VLOOKUP(B4855,'Diciembre 2023'!$B$2:$G$5822,4,0),"")</f>
        <v>ACTPETF</v>
      </c>
    </row>
    <row r="4856" spans="1:7" x14ac:dyDescent="0.25">
      <c r="A4856" s="17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IFERROR(VLOOKUP(B4856,'Diciembre 2023'!$B$2:$G$5822,4,0),"")</f>
        <v>APA_PC</v>
      </c>
    </row>
    <row r="4857" spans="1:7" x14ac:dyDescent="0.25">
      <c r="A4857" s="17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IFERROR(VLOOKUP(B4857,'Diciembre 2023'!$B$2:$G$5822,4,0),"")</f>
        <v>ACTPETF</v>
      </c>
    </row>
    <row r="4858" spans="1:7" x14ac:dyDescent="0.25">
      <c r="A4858" s="17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IFERROR(VLOOKUP(B4858,'Diciembre 2023'!$B$2:$G$5822,4,0),"")</f>
        <v>ATAPET</v>
      </c>
    </row>
    <row r="4859" spans="1:7" x14ac:dyDescent="0.25">
      <c r="A4859" s="17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IFERROR(VLOOKUP(B4859,'Diciembre 2023'!$B$2:$G$5822,4,0),"")</f>
        <v>ACTPETS</v>
      </c>
    </row>
    <row r="4860" spans="1:7" x14ac:dyDescent="0.25">
      <c r="A4860" s="17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IFERROR(VLOOKUP(B4860,'Diciembre 2023'!$B$2:$G$5822,4,0),"")</f>
        <v>INACTPETS</v>
      </c>
    </row>
    <row r="4861" spans="1:7" x14ac:dyDescent="0.25">
      <c r="A4861" s="17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IFERROR(VLOOKUP(B4861,'Diciembre 2023'!$B$2:$G$5822,4,0),"")</f>
        <v>ATAPET</v>
      </c>
    </row>
    <row r="4862" spans="1:7" x14ac:dyDescent="0.25">
      <c r="A4862" s="17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IFERROR(VLOOKUP(B4862,'Diciembre 2023'!$B$2:$G$5822,4,0),"")</f>
        <v>ACTPETS</v>
      </c>
    </row>
    <row r="4863" spans="1:7" x14ac:dyDescent="0.25">
      <c r="A4863" s="17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IFERROR(VLOOKUP(B4863,'Diciembre 2023'!$B$2:$G$5822,4,0),"")</f>
        <v>ATAPET</v>
      </c>
    </row>
    <row r="4864" spans="1:7" x14ac:dyDescent="0.25">
      <c r="A4864" s="17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IFERROR(VLOOKUP(B4864,'Diciembre 2023'!$B$2:$G$5822,4,0),"")</f>
        <v>APA_PC</v>
      </c>
    </row>
    <row r="4865" spans="1:7" x14ac:dyDescent="0.25">
      <c r="A4865" s="17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IFERROR(VLOOKUP(B4865,'Diciembre 2023'!$B$2:$G$5822,4,0),"")</f>
        <v>ACTPETS</v>
      </c>
    </row>
    <row r="4866" spans="1:7" x14ac:dyDescent="0.25">
      <c r="A4866" s="17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IFERROR(VLOOKUP(B4866,'Diciembre 2023'!$B$2:$G$5822,4,0),"")</f>
        <v>ACTPETF</v>
      </c>
    </row>
    <row r="4867" spans="1:7" x14ac:dyDescent="0.25">
      <c r="A4867" s="17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IFERROR(VLOOKUP(B4867,'Diciembre 2023'!$B$2:$G$5822,4,0),"")</f>
        <v>ACTPETS</v>
      </c>
    </row>
    <row r="4868" spans="1:7" x14ac:dyDescent="0.25">
      <c r="A4868" s="17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IFERROR(VLOOKUP(B4868,'Diciembre 2023'!$B$2:$G$5822,4,0),"")</f>
        <v>BM</v>
      </c>
    </row>
    <row r="4869" spans="1:7" x14ac:dyDescent="0.25">
      <c r="A4869" s="17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IFERROR(VLOOKUP(B4869,'Diciembre 2023'!$B$2:$G$5822,4,0),"")</f>
        <v>ACTPETS</v>
      </c>
    </row>
    <row r="4870" spans="1:7" x14ac:dyDescent="0.25">
      <c r="A4870" s="17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IFERROR(VLOOKUP(B4870,'Diciembre 2023'!$B$2:$G$5822,4,0),"")</f>
        <v>ACTPETF</v>
      </c>
    </row>
    <row r="4871" spans="1:7" x14ac:dyDescent="0.25">
      <c r="A4871" s="17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IFERROR(VLOOKUP(B4871,'Diciembre 2023'!$B$2:$G$5822,4,0),"")</f>
        <v>ACTPETS</v>
      </c>
    </row>
    <row r="4872" spans="1:7" x14ac:dyDescent="0.25">
      <c r="A4872" s="17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IFERROR(VLOOKUP(B4872,'Diciembre 2023'!$B$2:$G$5822,4,0),"")</f>
        <v>APA_PC</v>
      </c>
    </row>
    <row r="4873" spans="1:7" x14ac:dyDescent="0.25">
      <c r="A4873" s="17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IFERROR(VLOOKUP(B4873,'Diciembre 2023'!$B$2:$G$5822,4,0),"")</f>
        <v>BM</v>
      </c>
    </row>
    <row r="4874" spans="1:7" x14ac:dyDescent="0.25">
      <c r="A4874" s="17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IFERROR(VLOOKUP(B4874,'Diciembre 2023'!$B$2:$G$5822,4,0),"")</f>
        <v>ATAPET</v>
      </c>
    </row>
    <row r="4875" spans="1:7" x14ac:dyDescent="0.25">
      <c r="A4875" s="17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IFERROR(VLOOKUP(B4875,'Diciembre 2023'!$B$2:$G$5822,4,0),"")</f>
        <v>ACTPETF</v>
      </c>
    </row>
    <row r="4876" spans="1:7" x14ac:dyDescent="0.25">
      <c r="A4876" s="17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IFERROR(VLOOKUP(B4876,'Diciembre 2023'!$B$2:$G$5822,4,0),"")</f>
        <v>ATAPET</v>
      </c>
    </row>
    <row r="4877" spans="1:7" x14ac:dyDescent="0.25">
      <c r="A4877" s="17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IFERROR(VLOOKUP(B4877,'Diciembre 2023'!$B$2:$G$5822,4,0),"")</f>
        <v>APA_PC</v>
      </c>
    </row>
    <row r="4878" spans="1:7" x14ac:dyDescent="0.25">
      <c r="A4878" s="17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IFERROR(VLOOKUP(B4878,'Diciembre 2023'!$B$2:$G$5822,4,0),"")</f>
        <v>BM</v>
      </c>
    </row>
    <row r="4879" spans="1:7" x14ac:dyDescent="0.25">
      <c r="A4879" s="17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IFERROR(VLOOKUP(B4879,'Diciembre 2023'!$B$2:$G$5822,4,0),"")</f>
        <v>ATAPET</v>
      </c>
    </row>
    <row r="4880" spans="1:7" x14ac:dyDescent="0.25">
      <c r="A4880" s="17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IFERROR(VLOOKUP(B4880,'Diciembre 2023'!$B$2:$G$5822,4,0),"")</f>
        <v>ACTPETS</v>
      </c>
    </row>
    <row r="4881" spans="1:7" x14ac:dyDescent="0.25">
      <c r="A4881" s="17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IFERROR(VLOOKUP(B4881,'Diciembre 2023'!$B$2:$G$5822,4,0),"")</f>
        <v>APA_PC</v>
      </c>
    </row>
    <row r="4882" spans="1:7" x14ac:dyDescent="0.25">
      <c r="A4882" s="17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IFERROR(VLOOKUP(B4882,'Diciembre 2023'!$B$2:$G$5822,4,0),"")</f>
        <v>APA_PC</v>
      </c>
    </row>
    <row r="4883" spans="1:7" x14ac:dyDescent="0.25">
      <c r="A4883" s="17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IFERROR(VLOOKUP(B4883,'Diciembre 2023'!$B$2:$G$5822,4,0),"")</f>
        <v>ATAPET</v>
      </c>
    </row>
    <row r="4884" spans="1:7" x14ac:dyDescent="0.25">
      <c r="A4884" s="17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IFERROR(VLOOKUP(B4884,'Diciembre 2023'!$B$2:$G$5822,4,0),"")</f>
        <v>APA_PC</v>
      </c>
    </row>
    <row r="4885" spans="1:7" x14ac:dyDescent="0.25">
      <c r="A4885" s="17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IFERROR(VLOOKUP(B4885,'Diciembre 2023'!$B$2:$G$5822,4,0),"")</f>
        <v>APA_PC</v>
      </c>
    </row>
    <row r="4886" spans="1:7" x14ac:dyDescent="0.25">
      <c r="A4886" s="17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IFERROR(VLOOKUP(B4886,'Diciembre 2023'!$B$2:$G$5822,4,0),"")</f>
        <v>APA_PC</v>
      </c>
    </row>
    <row r="4887" spans="1:7" x14ac:dyDescent="0.25">
      <c r="A4887" s="17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IFERROR(VLOOKUP(B4887,'Diciembre 2023'!$B$2:$G$5822,4,0),"")</f>
        <v>ATAPET</v>
      </c>
    </row>
    <row r="4888" spans="1:7" x14ac:dyDescent="0.25">
      <c r="A4888" s="17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IFERROR(VLOOKUP(B4888,'Diciembre 2023'!$B$2:$G$5822,4,0),"")</f>
        <v>ACTPETF</v>
      </c>
    </row>
    <row r="4889" spans="1:7" x14ac:dyDescent="0.25">
      <c r="A4889" s="17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IFERROR(VLOOKUP(B4889,'Diciembre 2023'!$B$2:$G$5822,4,0),"")</f>
        <v>APA_PC</v>
      </c>
    </row>
    <row r="4890" spans="1:7" x14ac:dyDescent="0.25">
      <c r="A4890" s="17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IFERROR(VLOOKUP(B4890,'Diciembre 2023'!$B$2:$G$5822,4,0),"")</f>
        <v>ACTPETS</v>
      </c>
    </row>
    <row r="4891" spans="1:7" x14ac:dyDescent="0.25">
      <c r="A4891" s="17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IFERROR(VLOOKUP(B4891,'Diciembre 2023'!$B$2:$G$5822,4,0),"")</f>
        <v>ATAPET</v>
      </c>
    </row>
    <row r="4892" spans="1:7" x14ac:dyDescent="0.25">
      <c r="A4892" s="17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IFERROR(VLOOKUP(B4892,'Diciembre 2023'!$B$2:$G$5822,4,0),"")</f>
        <v>ATAPET</v>
      </c>
    </row>
    <row r="4893" spans="1:7" x14ac:dyDescent="0.25">
      <c r="A4893" s="17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IFERROR(VLOOKUP(B4893,'Diciembre 2023'!$B$2:$G$5822,4,0),"")</f>
        <v>BM</v>
      </c>
    </row>
    <row r="4894" spans="1:7" x14ac:dyDescent="0.25">
      <c r="A4894" s="17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IFERROR(VLOOKUP(B4894,'Diciembre 2023'!$B$2:$G$5822,4,0),"")</f>
        <v>ACTPETF</v>
      </c>
    </row>
    <row r="4895" spans="1:7" x14ac:dyDescent="0.25">
      <c r="A4895" s="17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IFERROR(VLOOKUP(B4895,'Diciembre 2023'!$B$2:$G$5822,4,0),"")</f>
        <v>BM</v>
      </c>
    </row>
    <row r="4896" spans="1:7" x14ac:dyDescent="0.25">
      <c r="A4896" s="17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IFERROR(VLOOKUP(B4896,'Diciembre 2023'!$B$2:$G$5822,4,0),"")</f>
        <v>ACTINYA</v>
      </c>
    </row>
    <row r="4897" spans="1:7" x14ac:dyDescent="0.25">
      <c r="A4897" s="17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IFERROR(VLOOKUP(B4897,'Diciembre 2023'!$B$2:$G$5822,4,0),"")</f>
        <v>APA_PC</v>
      </c>
    </row>
    <row r="4898" spans="1:7" x14ac:dyDescent="0.25">
      <c r="A4898" s="17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IFERROR(VLOOKUP(B4898,'Diciembre 2023'!$B$2:$G$5822,4,0),"")</f>
        <v>APA_PC</v>
      </c>
    </row>
    <row r="4899" spans="1:7" x14ac:dyDescent="0.25">
      <c r="A4899" s="17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IFERROR(VLOOKUP(B4899,'Diciembre 2023'!$B$2:$G$5822,4,0),"")</f>
        <v>ACTPETF</v>
      </c>
    </row>
    <row r="4900" spans="1:7" x14ac:dyDescent="0.25">
      <c r="A4900" s="17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IFERROR(VLOOKUP(B4900,'Diciembre 2023'!$B$2:$G$5822,4,0),"")</f>
        <v>APA_PC</v>
      </c>
    </row>
    <row r="4901" spans="1:7" x14ac:dyDescent="0.25">
      <c r="A4901" s="17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IFERROR(VLOOKUP(B4901,'Diciembre 2023'!$B$2:$G$5822,4,0),"")</f>
        <v>APA_PC</v>
      </c>
    </row>
    <row r="4902" spans="1:7" x14ac:dyDescent="0.25">
      <c r="A4902" s="17"/>
      <c r="B4902" s="4" t="s">
        <v>4813</v>
      </c>
      <c r="C4902" s="4" t="s">
        <v>14</v>
      </c>
      <c r="D4902" s="4" t="s">
        <v>15</v>
      </c>
      <c r="E4902" s="4" t="s">
        <v>16</v>
      </c>
      <c r="F4902" s="4" t="s">
        <v>14</v>
      </c>
      <c r="G4902" s="5" t="str">
        <f>IFERROR(VLOOKUP(B4902,'Diciembre 2023'!$B$2:$G$5822,4,0),"")</f>
        <v>ATAPET</v>
      </c>
    </row>
    <row r="4903" spans="1:7" x14ac:dyDescent="0.25">
      <c r="A4903" s="17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IFERROR(VLOOKUP(B4903,'Diciembre 2023'!$B$2:$G$5822,4,0),"")</f>
        <v>APA_PC</v>
      </c>
    </row>
    <row r="4904" spans="1:7" x14ac:dyDescent="0.25">
      <c r="A4904" s="17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IFERROR(VLOOKUP(B4904,'Diciembre 2023'!$B$2:$G$5822,4,0),"")</f>
        <v>APA_PC</v>
      </c>
    </row>
    <row r="4905" spans="1:7" x14ac:dyDescent="0.25">
      <c r="A4905" s="17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IFERROR(VLOOKUP(B4905,'Diciembre 2023'!$B$2:$G$5822,4,0),"")</f>
        <v>APA_PC</v>
      </c>
    </row>
    <row r="4906" spans="1:7" x14ac:dyDescent="0.25">
      <c r="A4906" s="17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IFERROR(VLOOKUP(B4906,'Diciembre 2023'!$B$2:$G$5822,4,0),"")</f>
        <v>APA_PC</v>
      </c>
    </row>
    <row r="4907" spans="1:7" x14ac:dyDescent="0.25">
      <c r="A4907" s="17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IFERROR(VLOOKUP(B4907,'Diciembre 2023'!$B$2:$G$5822,4,0),"")</f>
        <v>APA_PC</v>
      </c>
    </row>
    <row r="4908" spans="1:7" x14ac:dyDescent="0.25">
      <c r="A4908" s="17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IFERROR(VLOOKUP(B4908,'Diciembre 2023'!$B$2:$G$5822,4,0),"")</f>
        <v>APA_PC</v>
      </c>
    </row>
    <row r="4909" spans="1:7" x14ac:dyDescent="0.25">
      <c r="A4909" s="17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IFERROR(VLOOKUP(B4909,'Diciembre 2023'!$B$2:$G$5822,4,0),"")</f>
        <v>APA_PC</v>
      </c>
    </row>
    <row r="4910" spans="1:7" x14ac:dyDescent="0.25">
      <c r="A4910" s="17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IFERROR(VLOOKUP(B4910,'Diciembre 2023'!$B$2:$G$5822,4,0),"")</f>
        <v>ATAPET</v>
      </c>
    </row>
    <row r="4911" spans="1:7" x14ac:dyDescent="0.25">
      <c r="A4911" s="17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IFERROR(VLOOKUP(B4911,'Diciembre 2023'!$B$2:$G$5822,4,0),"")</f>
        <v>APA_PC</v>
      </c>
    </row>
    <row r="4912" spans="1:7" x14ac:dyDescent="0.25">
      <c r="A4912" s="17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IFERROR(VLOOKUP(B4912,'Diciembre 2023'!$B$2:$G$5822,4,0),"")</f>
        <v>APA_PC</v>
      </c>
    </row>
    <row r="4913" spans="1:7" x14ac:dyDescent="0.25">
      <c r="A4913" s="17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IFERROR(VLOOKUP(B4913,'Diciembre 2023'!$B$2:$G$5822,4,0),"")</f>
        <v>APA_PC</v>
      </c>
    </row>
    <row r="4914" spans="1:7" x14ac:dyDescent="0.25">
      <c r="A4914" s="17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IFERROR(VLOOKUP(B4914,'Diciembre 2023'!$B$2:$G$5822,4,0),"")</f>
        <v>APA_PC</v>
      </c>
    </row>
    <row r="4915" spans="1:7" x14ac:dyDescent="0.25">
      <c r="A4915" s="17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IFERROR(VLOOKUP(B4915,'Diciembre 2023'!$B$2:$G$5822,4,0),"")</f>
        <v>APA_PC</v>
      </c>
    </row>
    <row r="4916" spans="1:7" x14ac:dyDescent="0.25">
      <c r="A4916" s="17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IFERROR(VLOOKUP(B4916,'Diciembre 2023'!$B$2:$G$5822,4,0),"")</f>
        <v>APA_PC</v>
      </c>
    </row>
    <row r="4917" spans="1:7" x14ac:dyDescent="0.25">
      <c r="A4917" s="17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IFERROR(VLOOKUP(B4917,'Diciembre 2023'!$B$2:$G$5822,4,0),"")</f>
        <v>APA_PC</v>
      </c>
    </row>
    <row r="4918" spans="1:7" x14ac:dyDescent="0.25">
      <c r="A4918" s="17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IFERROR(VLOOKUP(B4918,'Diciembre 2023'!$B$2:$G$5822,4,0),"")</f>
        <v>ATAPET</v>
      </c>
    </row>
    <row r="4919" spans="1:7" x14ac:dyDescent="0.25">
      <c r="A4919" s="17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IFERROR(VLOOKUP(B4919,'Diciembre 2023'!$B$2:$G$5822,4,0),"")</f>
        <v>APA_PC</v>
      </c>
    </row>
    <row r="4920" spans="1:7" x14ac:dyDescent="0.25">
      <c r="A4920" s="17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IFERROR(VLOOKUP(B4920,'Diciembre 2023'!$B$2:$G$5822,4,0),"")</f>
        <v>ACTPETS</v>
      </c>
    </row>
    <row r="4921" spans="1:7" x14ac:dyDescent="0.25">
      <c r="A4921" s="17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IFERROR(VLOOKUP(B4921,'Diciembre 2023'!$B$2:$G$5822,4,0),"")</f>
        <v>APA_PC</v>
      </c>
    </row>
    <row r="4922" spans="1:7" x14ac:dyDescent="0.25">
      <c r="A4922" s="17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IFERROR(VLOOKUP(B4922,'Diciembre 2023'!$B$2:$G$5822,4,0),"")</f>
        <v>APA_PC</v>
      </c>
    </row>
    <row r="4923" spans="1:7" x14ac:dyDescent="0.25">
      <c r="A4923" s="17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IFERROR(VLOOKUP(B4923,'Diciembre 2023'!$B$2:$G$5822,4,0),"")</f>
        <v>APA_PC</v>
      </c>
    </row>
    <row r="4924" spans="1:7" x14ac:dyDescent="0.25">
      <c r="A4924" s="17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IFERROR(VLOOKUP(B4924,'Diciembre 2023'!$B$2:$G$5822,4,0),"")</f>
        <v>ATAPET</v>
      </c>
    </row>
    <row r="4925" spans="1:7" x14ac:dyDescent="0.25">
      <c r="A4925" s="17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IFERROR(VLOOKUP(B4925,'Diciembre 2023'!$B$2:$G$5822,4,0),"")</f>
        <v>ATAPET</v>
      </c>
    </row>
    <row r="4926" spans="1:7" x14ac:dyDescent="0.25">
      <c r="A4926" s="17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IFERROR(VLOOKUP(B4926,'Diciembre 2023'!$B$2:$G$5822,4,0),"")</f>
        <v>ATAPET</v>
      </c>
    </row>
    <row r="4927" spans="1:7" x14ac:dyDescent="0.25">
      <c r="A4927" s="17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IFERROR(VLOOKUP(B4927,'Diciembre 2023'!$B$2:$G$5822,4,0),"")</f>
        <v>BM</v>
      </c>
    </row>
    <row r="4928" spans="1:7" x14ac:dyDescent="0.25">
      <c r="A4928" s="17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IFERROR(VLOOKUP(B4928,'Diciembre 2023'!$B$2:$G$5822,4,0),"")</f>
        <v>APA_PC</v>
      </c>
    </row>
    <row r="4929" spans="1:7" x14ac:dyDescent="0.25">
      <c r="A4929" s="17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IFERROR(VLOOKUP(B4929,'Diciembre 2023'!$B$2:$G$5822,4,0),"")</f>
        <v>ACTPETS</v>
      </c>
    </row>
    <row r="4930" spans="1:7" x14ac:dyDescent="0.25">
      <c r="A4930" s="17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IFERROR(VLOOKUP(B4930,'Diciembre 2023'!$B$2:$G$5822,4,0),"")</f>
        <v>APA_PC</v>
      </c>
    </row>
    <row r="4931" spans="1:7" x14ac:dyDescent="0.25">
      <c r="A4931" s="17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IFERROR(VLOOKUP(B4931,'Diciembre 2023'!$B$2:$G$5822,4,0),"")</f>
        <v>APA_PC</v>
      </c>
    </row>
    <row r="4932" spans="1:7" x14ac:dyDescent="0.25">
      <c r="A4932" s="17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IFERROR(VLOOKUP(B4932,'Diciembre 2023'!$B$2:$G$5822,4,0),"")</f>
        <v>BM</v>
      </c>
    </row>
    <row r="4933" spans="1:7" x14ac:dyDescent="0.25">
      <c r="A4933" s="17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IFERROR(VLOOKUP(B4933,'Diciembre 2023'!$B$2:$G$5822,4,0),"")</f>
        <v>ACTPETS</v>
      </c>
    </row>
    <row r="4934" spans="1:7" x14ac:dyDescent="0.25">
      <c r="A4934" s="17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IFERROR(VLOOKUP(B4934,'Diciembre 2023'!$B$2:$G$5822,4,0),"")</f>
        <v>BM</v>
      </c>
    </row>
    <row r="4935" spans="1:7" x14ac:dyDescent="0.25">
      <c r="A4935" s="17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IFERROR(VLOOKUP(B4935,'Diciembre 2023'!$B$2:$G$5822,4,0),"")</f>
        <v>BM</v>
      </c>
    </row>
    <row r="4936" spans="1:7" x14ac:dyDescent="0.25">
      <c r="A4936" s="17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IFERROR(VLOOKUP(B4936,'Diciembre 2023'!$B$2:$G$5822,4,0),"")</f>
        <v>BM</v>
      </c>
    </row>
    <row r="4937" spans="1:7" x14ac:dyDescent="0.25">
      <c r="A4937" s="17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IFERROR(VLOOKUP(B4937,'Diciembre 2023'!$B$2:$G$5822,4,0),"")</f>
        <v>BM</v>
      </c>
    </row>
    <row r="4938" spans="1:7" x14ac:dyDescent="0.25">
      <c r="A4938" s="17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IFERROR(VLOOKUP(B4938,'Diciembre 2023'!$B$2:$G$5822,4,0),"")</f>
        <v>BM</v>
      </c>
    </row>
    <row r="4939" spans="1:7" x14ac:dyDescent="0.25">
      <c r="A4939" s="17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IFERROR(VLOOKUP(B4939,'Diciembre 2023'!$B$2:$G$5822,4,0),"")</f>
        <v>BM</v>
      </c>
    </row>
    <row r="4940" spans="1:7" x14ac:dyDescent="0.25">
      <c r="A4940" s="17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IFERROR(VLOOKUP(B4940,'Diciembre 2023'!$B$2:$G$5822,4,0),"")</f>
        <v>BM</v>
      </c>
    </row>
    <row r="4941" spans="1:7" x14ac:dyDescent="0.25">
      <c r="A4941" s="17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IFERROR(VLOOKUP(B4941,'Diciembre 2023'!$B$2:$G$5822,4,0),"")</f>
        <v>BM</v>
      </c>
    </row>
    <row r="4942" spans="1:7" x14ac:dyDescent="0.25">
      <c r="A4942" s="17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IFERROR(VLOOKUP(B4942,'Diciembre 2023'!$B$2:$G$5822,4,0),"")</f>
        <v>BM</v>
      </c>
    </row>
    <row r="4943" spans="1:7" x14ac:dyDescent="0.25">
      <c r="A4943" s="17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IFERROR(VLOOKUP(B4943,'Diciembre 2023'!$B$2:$G$5822,4,0),"")</f>
        <v>BM</v>
      </c>
    </row>
    <row r="4944" spans="1:7" x14ac:dyDescent="0.25">
      <c r="A4944" s="17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IFERROR(VLOOKUP(B4944,'Diciembre 2023'!$B$2:$G$5822,4,0),"")</f>
        <v>BM</v>
      </c>
    </row>
    <row r="4945" spans="1:7" x14ac:dyDescent="0.25">
      <c r="A4945" s="17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IFERROR(VLOOKUP(B4945,'Diciembre 2023'!$B$2:$G$5822,4,0),"")</f>
        <v>BM</v>
      </c>
    </row>
    <row r="4946" spans="1:7" x14ac:dyDescent="0.25">
      <c r="A4946" s="17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IFERROR(VLOOKUP(B4946,'Diciembre 2023'!$B$2:$G$5822,4,0),"")</f>
        <v>BM</v>
      </c>
    </row>
    <row r="4947" spans="1:7" x14ac:dyDescent="0.25">
      <c r="A4947" s="17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IFERROR(VLOOKUP(B4947,'Diciembre 2023'!$B$2:$G$5822,4,0),"")</f>
        <v>BM</v>
      </c>
    </row>
    <row r="4948" spans="1:7" x14ac:dyDescent="0.25">
      <c r="A4948" s="17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IFERROR(VLOOKUP(B4948,'Diciembre 2023'!$B$2:$G$5822,4,0),"")</f>
        <v>BM</v>
      </c>
    </row>
    <row r="4949" spans="1:7" x14ac:dyDescent="0.25">
      <c r="A4949" s="17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IFERROR(VLOOKUP(B4949,'Diciembre 2023'!$B$2:$G$5822,4,0),"")</f>
        <v>BM</v>
      </c>
    </row>
    <row r="4950" spans="1:7" x14ac:dyDescent="0.25">
      <c r="A4950" s="17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IFERROR(VLOOKUP(B4950,'Diciembre 2023'!$B$2:$G$5822,4,0),"")</f>
        <v>BM</v>
      </c>
    </row>
    <row r="4951" spans="1:7" x14ac:dyDescent="0.25">
      <c r="A4951" s="17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IFERROR(VLOOKUP(B4951,'Diciembre 2023'!$B$2:$G$5822,4,0),"")</f>
        <v>BM</v>
      </c>
    </row>
    <row r="4952" spans="1:7" x14ac:dyDescent="0.25">
      <c r="A4952" s="17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IFERROR(VLOOKUP(B4952,'Diciembre 2023'!$B$2:$G$5822,4,0),"")</f>
        <v>ACTPETF</v>
      </c>
    </row>
    <row r="4953" spans="1:7" x14ac:dyDescent="0.25">
      <c r="A4953" s="17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IFERROR(VLOOKUP(B4953,'Diciembre 2023'!$B$2:$G$5822,4,0),"")</f>
        <v>BM</v>
      </c>
    </row>
    <row r="4954" spans="1:7" x14ac:dyDescent="0.25">
      <c r="A4954" s="17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IFERROR(VLOOKUP(B4954,'Diciembre 2023'!$B$2:$G$5822,4,0),"")</f>
        <v>BM</v>
      </c>
    </row>
    <row r="4955" spans="1:7" x14ac:dyDescent="0.25">
      <c r="A4955" s="17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IFERROR(VLOOKUP(B4955,'Diciembre 2023'!$B$2:$G$5822,4,0),"")</f>
        <v>BM</v>
      </c>
    </row>
    <row r="4956" spans="1:7" x14ac:dyDescent="0.25">
      <c r="A4956" s="17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IFERROR(VLOOKUP(B4956,'Diciembre 2023'!$B$2:$G$5822,4,0),"")</f>
        <v>BM</v>
      </c>
    </row>
    <row r="4957" spans="1:7" x14ac:dyDescent="0.25">
      <c r="A4957" s="17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IFERROR(VLOOKUP(B4957,'Diciembre 2023'!$B$2:$G$5822,4,0),"")</f>
        <v>BM</v>
      </c>
    </row>
    <row r="4958" spans="1:7" x14ac:dyDescent="0.25">
      <c r="A4958" s="17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IFERROR(VLOOKUP(B4958,'Diciembre 2023'!$B$2:$G$5822,4,0),"")</f>
        <v>BM</v>
      </c>
    </row>
    <row r="4959" spans="1:7" x14ac:dyDescent="0.25">
      <c r="A4959" s="17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IFERROR(VLOOKUP(B4959,'Diciembre 2023'!$B$2:$G$5822,4,0),"")</f>
        <v>BM</v>
      </c>
    </row>
    <row r="4960" spans="1:7" x14ac:dyDescent="0.25">
      <c r="A4960" s="17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IFERROR(VLOOKUP(B4960,'Diciembre 2023'!$B$2:$G$5822,4,0),"")</f>
        <v>BM</v>
      </c>
    </row>
    <row r="4961" spans="1:7" x14ac:dyDescent="0.25">
      <c r="A4961" s="17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IFERROR(VLOOKUP(B4961,'Diciembre 2023'!$B$2:$G$5822,4,0),"")</f>
        <v>INACTBM</v>
      </c>
    </row>
    <row r="4962" spans="1:7" x14ac:dyDescent="0.25">
      <c r="A4962" s="17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IFERROR(VLOOKUP(B4962,'Diciembre 2023'!$B$2:$G$5822,4,0),"")</f>
        <v>BM</v>
      </c>
    </row>
    <row r="4963" spans="1:7" x14ac:dyDescent="0.25">
      <c r="A4963" s="17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IFERROR(VLOOKUP(B4963,'Diciembre 2023'!$B$2:$G$5822,4,0),"")</f>
        <v>BM</v>
      </c>
    </row>
    <row r="4964" spans="1:7" x14ac:dyDescent="0.25">
      <c r="A4964" s="17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IFERROR(VLOOKUP(B4964,'Diciembre 2023'!$B$2:$G$5822,4,0),"")</f>
        <v>INACTBM</v>
      </c>
    </row>
    <row r="4965" spans="1:7" x14ac:dyDescent="0.25">
      <c r="A4965" s="17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IFERROR(VLOOKUP(B4965,'Diciembre 2023'!$B$2:$G$5822,4,0),"")</f>
        <v>BM</v>
      </c>
    </row>
    <row r="4966" spans="1:7" x14ac:dyDescent="0.25">
      <c r="A4966" s="17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IFERROR(VLOOKUP(B4966,'Diciembre 2023'!$B$2:$G$5822,4,0),"")</f>
        <v>BM</v>
      </c>
    </row>
    <row r="4967" spans="1:7" x14ac:dyDescent="0.25">
      <c r="A4967" s="17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IFERROR(VLOOKUP(B4967,'Diciembre 2023'!$B$2:$G$5822,4,0),"")</f>
        <v>BM</v>
      </c>
    </row>
    <row r="4968" spans="1:7" x14ac:dyDescent="0.25">
      <c r="A4968" s="17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IFERROR(VLOOKUP(B4968,'Diciembre 2023'!$B$2:$G$5822,4,0),"")</f>
        <v>BM</v>
      </c>
    </row>
    <row r="4969" spans="1:7" x14ac:dyDescent="0.25">
      <c r="A4969" s="17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IFERROR(VLOOKUP(B4969,'Diciembre 2023'!$B$2:$G$5822,4,0),"")</f>
        <v>BM</v>
      </c>
    </row>
    <row r="4970" spans="1:7" x14ac:dyDescent="0.25">
      <c r="A4970" s="17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IFERROR(VLOOKUP(B4970,'Diciembre 2023'!$B$2:$G$5822,4,0),"")</f>
        <v>BM</v>
      </c>
    </row>
    <row r="4971" spans="1:7" x14ac:dyDescent="0.25">
      <c r="A4971" s="17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IFERROR(VLOOKUP(B4971,'Diciembre 2023'!$B$2:$G$5822,4,0),"")</f>
        <v>BM</v>
      </c>
    </row>
    <row r="4972" spans="1:7" x14ac:dyDescent="0.25">
      <c r="A4972" s="17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IFERROR(VLOOKUP(B4972,'Diciembre 2023'!$B$2:$G$5822,4,0),"")</f>
        <v>BM</v>
      </c>
    </row>
    <row r="4973" spans="1:7" x14ac:dyDescent="0.25">
      <c r="A4973" s="17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IFERROR(VLOOKUP(B4973,'Diciembre 2023'!$B$2:$G$5822,4,0),"")</f>
        <v>INACTBM</v>
      </c>
    </row>
    <row r="4974" spans="1:7" x14ac:dyDescent="0.25">
      <c r="A4974" s="17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IFERROR(VLOOKUP(B4974,'Diciembre 2023'!$B$2:$G$5822,4,0),"")</f>
        <v>BM</v>
      </c>
    </row>
    <row r="4975" spans="1:7" x14ac:dyDescent="0.25">
      <c r="A4975" s="17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IFERROR(VLOOKUP(B4975,'Diciembre 2023'!$B$2:$G$5822,4,0),"")</f>
        <v>BM</v>
      </c>
    </row>
    <row r="4976" spans="1:7" x14ac:dyDescent="0.25">
      <c r="A4976" s="17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tr">
        <f>IFERROR(VLOOKUP(B4976,'Diciembre 2023'!$B$2:$G$5822,4,0),"")</f>
        <v>INACTBM</v>
      </c>
    </row>
    <row r="4977" spans="1:7" x14ac:dyDescent="0.25">
      <c r="A4977" s="17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IFERROR(VLOOKUP(B4977,'Diciembre 2023'!$B$2:$G$5822,4,0),"")</f>
        <v>BM</v>
      </c>
    </row>
    <row r="4978" spans="1:7" x14ac:dyDescent="0.25">
      <c r="A4978" s="17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IFERROR(VLOOKUP(B4978,'Diciembre 2023'!$B$2:$G$5822,4,0),"")</f>
        <v>BM</v>
      </c>
    </row>
    <row r="4979" spans="1:7" x14ac:dyDescent="0.25">
      <c r="A4979" s="17"/>
      <c r="B4979" s="4" t="s">
        <v>4890</v>
      </c>
      <c r="C4979" s="4" t="s">
        <v>11</v>
      </c>
      <c r="D4979" s="4" t="s">
        <v>11</v>
      </c>
      <c r="E4979" s="4" t="s">
        <v>11</v>
      </c>
      <c r="F4979" s="4" t="s">
        <v>1822</v>
      </c>
      <c r="G4979" s="5" t="str">
        <f>IFERROR(VLOOKUP(B4979,'Diciembre 2023'!$B$2:$G$5822,4,0),"")</f>
        <v>BM</v>
      </c>
    </row>
    <row r="4980" spans="1:7" x14ac:dyDescent="0.25">
      <c r="A4980" s="17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IFERROR(VLOOKUP(B4980,'Diciembre 2023'!$B$2:$G$5822,4,0),"")</f>
        <v>BM</v>
      </c>
    </row>
    <row r="4981" spans="1:7" x14ac:dyDescent="0.25">
      <c r="A4981" s="17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IFERROR(VLOOKUP(B4981,'Diciembre 2023'!$B$2:$G$5822,4,0),"")</f>
        <v>BM</v>
      </c>
    </row>
    <row r="4982" spans="1:7" x14ac:dyDescent="0.25">
      <c r="A4982" s="17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IFERROR(VLOOKUP(B4982,'Diciembre 2023'!$B$2:$G$5822,4,0),"")</f>
        <v>BM</v>
      </c>
    </row>
    <row r="4983" spans="1:7" x14ac:dyDescent="0.25">
      <c r="A4983" s="17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IFERROR(VLOOKUP(B4983,'Diciembre 2023'!$B$2:$G$5822,4,0),"")</f>
        <v>INACTBM</v>
      </c>
    </row>
    <row r="4984" spans="1:7" x14ac:dyDescent="0.25">
      <c r="A4984" s="17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IFERROR(VLOOKUP(B4984,'Diciembre 2023'!$B$2:$G$5822,4,0),"")</f>
        <v>BM</v>
      </c>
    </row>
    <row r="4985" spans="1:7" x14ac:dyDescent="0.25">
      <c r="A4985" s="17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tr">
        <f>IFERROR(VLOOKUP(B4985,'Diciembre 2023'!$B$2:$G$5822,4,0),"")</f>
        <v>BM</v>
      </c>
    </row>
    <row r="4986" spans="1:7" x14ac:dyDescent="0.25">
      <c r="A4986" s="17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IFERROR(VLOOKUP(B4986,'Diciembre 2023'!$B$2:$G$5822,4,0),"")</f>
        <v>BM</v>
      </c>
    </row>
    <row r="4987" spans="1:7" x14ac:dyDescent="0.25">
      <c r="A4987" s="17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IFERROR(VLOOKUP(B4987,'Diciembre 2023'!$B$2:$G$5822,4,0),"")</f>
        <v>BM</v>
      </c>
    </row>
    <row r="4988" spans="1:7" x14ac:dyDescent="0.25">
      <c r="A4988" s="17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IFERROR(VLOOKUP(B4988,'Diciembre 2023'!$B$2:$G$5822,4,0),"")</f>
        <v>INACTBM</v>
      </c>
    </row>
    <row r="4989" spans="1:7" x14ac:dyDescent="0.25">
      <c r="A4989" s="17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IFERROR(VLOOKUP(B4989,'Diciembre 2023'!$B$2:$G$5822,4,0),"")</f>
        <v>BM</v>
      </c>
    </row>
    <row r="4990" spans="1:7" x14ac:dyDescent="0.25">
      <c r="A4990" s="17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IFERROR(VLOOKUP(B4990,'Diciembre 2023'!$B$2:$G$5822,4,0),"")</f>
        <v>BM</v>
      </c>
    </row>
    <row r="4991" spans="1:7" x14ac:dyDescent="0.25">
      <c r="A4991" s="17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IFERROR(VLOOKUP(B4991,'Diciembre 2023'!$B$2:$G$5822,4,0),"")</f>
        <v>BM</v>
      </c>
    </row>
    <row r="4992" spans="1:7" x14ac:dyDescent="0.25">
      <c r="A4992" s="17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IFERROR(VLOOKUP(B4992,'Diciembre 2023'!$B$2:$G$5822,4,0),"")</f>
        <v>BM</v>
      </c>
    </row>
    <row r="4993" spans="1:7" x14ac:dyDescent="0.25">
      <c r="A4993" s="17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IFERROR(VLOOKUP(B4993,'Diciembre 2023'!$B$2:$G$5822,4,0),"")</f>
        <v>BM</v>
      </c>
    </row>
    <row r="4994" spans="1:7" x14ac:dyDescent="0.25">
      <c r="A4994" s="17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IFERROR(VLOOKUP(B4994,'Diciembre 2023'!$B$2:$G$5822,4,0),"")</f>
        <v>BM</v>
      </c>
    </row>
    <row r="4995" spans="1:7" x14ac:dyDescent="0.25">
      <c r="A4995" s="17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IFERROR(VLOOKUP(B4995,'Diciembre 2023'!$B$2:$G$5822,4,0),"")</f>
        <v>BM</v>
      </c>
    </row>
    <row r="4996" spans="1:7" x14ac:dyDescent="0.25">
      <c r="A4996" s="17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IFERROR(VLOOKUP(B4996,'Diciembre 2023'!$B$2:$G$5822,4,0),"")</f>
        <v>BM</v>
      </c>
    </row>
    <row r="4997" spans="1:7" x14ac:dyDescent="0.25">
      <c r="A4997" s="17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IFERROR(VLOOKUP(B4997,'Diciembre 2023'!$B$2:$G$5822,4,0),"")</f>
        <v>BM</v>
      </c>
    </row>
    <row r="4998" spans="1:7" x14ac:dyDescent="0.25">
      <c r="A4998" s="17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IFERROR(VLOOKUP(B4998,'Diciembre 2023'!$B$2:$G$5822,4,0),"")</f>
        <v>BM</v>
      </c>
    </row>
    <row r="4999" spans="1:7" x14ac:dyDescent="0.25">
      <c r="A4999" s="17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IFERROR(VLOOKUP(B4999,'Diciembre 2023'!$B$2:$G$5822,4,0),"")</f>
        <v>BM</v>
      </c>
    </row>
    <row r="5000" spans="1:7" x14ac:dyDescent="0.25">
      <c r="A5000" s="17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IFERROR(VLOOKUP(B5000,'Diciembre 2023'!$B$2:$G$5822,4,0),"")</f>
        <v>BM</v>
      </c>
    </row>
    <row r="5001" spans="1:7" x14ac:dyDescent="0.25">
      <c r="A5001" s="17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IFERROR(VLOOKUP(B5001,'Diciembre 2023'!$B$2:$G$5822,4,0),"")</f>
        <v>BM</v>
      </c>
    </row>
    <row r="5002" spans="1:7" x14ac:dyDescent="0.25">
      <c r="A5002" s="17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IFERROR(VLOOKUP(B5002,'Diciembre 2023'!$B$2:$G$5822,4,0),"")</f>
        <v>BM</v>
      </c>
    </row>
    <row r="5003" spans="1:7" x14ac:dyDescent="0.25">
      <c r="A5003" s="17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IFERROR(VLOOKUP(B5003,'Diciembre 2023'!$B$2:$G$5822,4,0),"")</f>
        <v>BM</v>
      </c>
    </row>
    <row r="5004" spans="1:7" x14ac:dyDescent="0.25">
      <c r="A5004" s="17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IFERROR(VLOOKUP(B5004,'Diciembre 2023'!$B$2:$G$5822,4,0),"")</f>
        <v>BM</v>
      </c>
    </row>
    <row r="5005" spans="1:7" x14ac:dyDescent="0.25">
      <c r="A5005" s="17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IFERROR(VLOOKUP(B5005,'Diciembre 2023'!$B$2:$G$5822,4,0),"")</f>
        <v>BM</v>
      </c>
    </row>
    <row r="5006" spans="1:7" x14ac:dyDescent="0.25">
      <c r="A5006" s="17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IFERROR(VLOOKUP(B5006,'Diciembre 2023'!$B$2:$G$5822,4,0),"")</f>
        <v>INACTBM</v>
      </c>
    </row>
    <row r="5007" spans="1:7" x14ac:dyDescent="0.25">
      <c r="A5007" s="17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IFERROR(VLOOKUP(B5007,'Diciembre 2023'!$B$2:$G$5822,4,0),"")</f>
        <v>BM</v>
      </c>
    </row>
    <row r="5008" spans="1:7" x14ac:dyDescent="0.25">
      <c r="A5008" s="17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IFERROR(VLOOKUP(B5008,'Diciembre 2023'!$B$2:$G$5822,4,0),"")</f>
        <v>INACTBM</v>
      </c>
    </row>
    <row r="5009" spans="1:7" x14ac:dyDescent="0.25">
      <c r="A5009" s="17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IFERROR(VLOOKUP(B5009,'Diciembre 2023'!$B$2:$G$5822,4,0),"")</f>
        <v>BM</v>
      </c>
    </row>
    <row r="5010" spans="1:7" x14ac:dyDescent="0.25">
      <c r="A5010" s="17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IFERROR(VLOOKUP(B5010,'Diciembre 2023'!$B$2:$G$5822,4,0),"")</f>
        <v>BM</v>
      </c>
    </row>
    <row r="5011" spans="1:7" x14ac:dyDescent="0.25">
      <c r="A5011" s="17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IFERROR(VLOOKUP(B5011,'Diciembre 2023'!$B$2:$G$5822,4,0),"")</f>
        <v>BM</v>
      </c>
    </row>
    <row r="5012" spans="1:7" x14ac:dyDescent="0.25">
      <c r="A5012" s="17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IFERROR(VLOOKUP(B5012,'Diciembre 2023'!$B$2:$G$5822,4,0),"")</f>
        <v>BM</v>
      </c>
    </row>
    <row r="5013" spans="1:7" x14ac:dyDescent="0.25">
      <c r="A5013" s="17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IFERROR(VLOOKUP(B5013,'Diciembre 2023'!$B$2:$G$5822,4,0),"")</f>
        <v>BM</v>
      </c>
    </row>
    <row r="5014" spans="1:7" x14ac:dyDescent="0.25">
      <c r="A5014" s="17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IFERROR(VLOOKUP(B5014,'Diciembre 2023'!$B$2:$G$5822,4,0),"")</f>
        <v>BM</v>
      </c>
    </row>
    <row r="5015" spans="1:7" x14ac:dyDescent="0.25">
      <c r="A5015" s="17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IFERROR(VLOOKUP(B5015,'Diciembre 2023'!$B$2:$G$5822,4,0),"")</f>
        <v>BM</v>
      </c>
    </row>
    <row r="5016" spans="1:7" x14ac:dyDescent="0.25">
      <c r="A5016" s="17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IFERROR(VLOOKUP(B5016,'Diciembre 2023'!$B$2:$G$5822,4,0),"")</f>
        <v>BM</v>
      </c>
    </row>
    <row r="5017" spans="1:7" x14ac:dyDescent="0.25">
      <c r="A5017" s="17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IFERROR(VLOOKUP(B5017,'Diciembre 2023'!$B$2:$G$5822,4,0),"")</f>
        <v>BM</v>
      </c>
    </row>
    <row r="5018" spans="1:7" x14ac:dyDescent="0.25">
      <c r="A5018" s="17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IFERROR(VLOOKUP(B5018,'Diciembre 2023'!$B$2:$G$5822,4,0),"")</f>
        <v>ACTPETF</v>
      </c>
    </row>
    <row r="5019" spans="1:7" x14ac:dyDescent="0.25">
      <c r="A5019" s="17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IFERROR(VLOOKUP(B5019,'Diciembre 2023'!$B$2:$G$5822,4,0),"")</f>
        <v>BM</v>
      </c>
    </row>
    <row r="5020" spans="1:7" x14ac:dyDescent="0.25">
      <c r="A5020" s="17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IFERROR(VLOOKUP(B5020,'Diciembre 2023'!$B$2:$G$5822,4,0),"")</f>
        <v>BM</v>
      </c>
    </row>
    <row r="5021" spans="1:7" x14ac:dyDescent="0.25">
      <c r="A5021" s="17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IFERROR(VLOOKUP(B5021,'Diciembre 2023'!$B$2:$G$5822,4,0),"")</f>
        <v>BM</v>
      </c>
    </row>
    <row r="5022" spans="1:7" x14ac:dyDescent="0.25">
      <c r="A5022" s="17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IFERROR(VLOOKUP(B5022,'Diciembre 2023'!$B$2:$G$5822,4,0),"")</f>
        <v>INACTPETS</v>
      </c>
    </row>
    <row r="5023" spans="1:7" x14ac:dyDescent="0.25">
      <c r="A5023" s="17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IFERROR(VLOOKUP(B5023,'Diciembre 2023'!$B$2:$G$5822,4,0),"")</f>
        <v>BM</v>
      </c>
    </row>
    <row r="5024" spans="1:7" x14ac:dyDescent="0.25">
      <c r="A5024" s="17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IFERROR(VLOOKUP(B5024,'Diciembre 2023'!$B$2:$G$5822,4,0),"")</f>
        <v>BM</v>
      </c>
    </row>
    <row r="5025" spans="1:7" x14ac:dyDescent="0.25">
      <c r="A5025" s="17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IFERROR(VLOOKUP(B5025,'Diciembre 2023'!$B$2:$G$5822,4,0),"")</f>
        <v>BM</v>
      </c>
    </row>
    <row r="5026" spans="1:7" x14ac:dyDescent="0.25">
      <c r="A5026" s="17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IFERROR(VLOOKUP(B5026,'Diciembre 2023'!$B$2:$G$5822,4,0),"")</f>
        <v>BM</v>
      </c>
    </row>
    <row r="5027" spans="1:7" x14ac:dyDescent="0.25">
      <c r="A5027" s="17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IFERROR(VLOOKUP(B5027,'Diciembre 2023'!$B$2:$G$5822,4,0),"")</f>
        <v>BM</v>
      </c>
    </row>
    <row r="5028" spans="1:7" x14ac:dyDescent="0.25">
      <c r="A5028" s="17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IFERROR(VLOOKUP(B5028,'Diciembre 2023'!$B$2:$G$5822,4,0),"")</f>
        <v>BM</v>
      </c>
    </row>
    <row r="5029" spans="1:7" x14ac:dyDescent="0.25">
      <c r="A5029" s="17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IFERROR(VLOOKUP(B5029,'Diciembre 2023'!$B$2:$G$5822,4,0),"")</f>
        <v>BM</v>
      </c>
    </row>
    <row r="5030" spans="1:7" x14ac:dyDescent="0.25">
      <c r="A5030" s="17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IFERROR(VLOOKUP(B5030,'Diciembre 2023'!$B$2:$G$5822,4,0),"")</f>
        <v>BM</v>
      </c>
    </row>
    <row r="5031" spans="1:7" x14ac:dyDescent="0.25">
      <c r="A5031" s="17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IFERROR(VLOOKUP(B5031,'Diciembre 2023'!$B$2:$G$5822,4,0),"")</f>
        <v>BM</v>
      </c>
    </row>
    <row r="5032" spans="1:7" x14ac:dyDescent="0.25">
      <c r="A5032" s="17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IFERROR(VLOOKUP(B5032,'Diciembre 2023'!$B$2:$G$5822,4,0),"")</f>
        <v>BM</v>
      </c>
    </row>
    <row r="5033" spans="1:7" x14ac:dyDescent="0.25">
      <c r="A5033" s="17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IFERROR(VLOOKUP(B5033,'Diciembre 2023'!$B$2:$G$5822,4,0),"")</f>
        <v>BM</v>
      </c>
    </row>
    <row r="5034" spans="1:7" x14ac:dyDescent="0.25">
      <c r="A5034" s="17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IFERROR(VLOOKUP(B5034,'Diciembre 2023'!$B$2:$G$5822,4,0),"")</f>
        <v>BM</v>
      </c>
    </row>
    <row r="5035" spans="1:7" x14ac:dyDescent="0.25">
      <c r="A5035" s="17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IFERROR(VLOOKUP(B5035,'Diciembre 2023'!$B$2:$G$5822,4,0),"")</f>
        <v>BM</v>
      </c>
    </row>
    <row r="5036" spans="1:7" x14ac:dyDescent="0.25">
      <c r="A5036" s="17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IFERROR(VLOOKUP(B5036,'Diciembre 2023'!$B$2:$G$5822,4,0),"")</f>
        <v>BM</v>
      </c>
    </row>
    <row r="5037" spans="1:7" x14ac:dyDescent="0.25">
      <c r="A5037" s="17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IFERROR(VLOOKUP(B5037,'Diciembre 2023'!$B$2:$G$5822,4,0),"")</f>
        <v>BM</v>
      </c>
    </row>
    <row r="5038" spans="1:7" x14ac:dyDescent="0.25">
      <c r="A5038" s="17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IFERROR(VLOOKUP(B5038,'Diciembre 2023'!$B$2:$G$5822,4,0),"")</f>
        <v>BM</v>
      </c>
    </row>
    <row r="5039" spans="1:7" x14ac:dyDescent="0.25">
      <c r="A5039" s="17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IFERROR(VLOOKUP(B5039,'Diciembre 2023'!$B$2:$G$5822,4,0),"")</f>
        <v>INACTBM</v>
      </c>
    </row>
    <row r="5040" spans="1:7" x14ac:dyDescent="0.25">
      <c r="A5040" s="17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tr">
        <f>IFERROR(VLOOKUP(B5040,'Diciembre 2023'!$B$2:$G$5822,4,0),"")</f>
        <v>ACTPETS</v>
      </c>
    </row>
    <row r="5041" spans="1:7" x14ac:dyDescent="0.25">
      <c r="A5041" s="17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IFERROR(VLOOKUP(B5041,'Diciembre 2023'!$B$2:$G$5822,4,0),"")</f>
        <v>BM</v>
      </c>
    </row>
    <row r="5042" spans="1:7" x14ac:dyDescent="0.25">
      <c r="A5042" s="17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IFERROR(VLOOKUP(B5042,'Diciembre 2023'!$B$2:$G$5822,4,0),"")</f>
        <v>BM</v>
      </c>
    </row>
    <row r="5043" spans="1:7" x14ac:dyDescent="0.25">
      <c r="A5043" s="17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IFERROR(VLOOKUP(B5043,'Diciembre 2023'!$B$2:$G$5822,4,0),"")</f>
        <v>BM</v>
      </c>
    </row>
    <row r="5044" spans="1:7" x14ac:dyDescent="0.25">
      <c r="A5044" s="17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IFERROR(VLOOKUP(B5044,'Diciembre 2023'!$B$2:$G$5822,4,0),"")</f>
        <v>BM</v>
      </c>
    </row>
    <row r="5045" spans="1:7" x14ac:dyDescent="0.25">
      <c r="A5045" s="17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IFERROR(VLOOKUP(B5045,'Diciembre 2023'!$B$2:$G$5822,4,0),"")</f>
        <v>BM</v>
      </c>
    </row>
    <row r="5046" spans="1:7" x14ac:dyDescent="0.25">
      <c r="A5046" s="17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IFERROR(VLOOKUP(B5046,'Diciembre 2023'!$B$2:$G$5822,4,0),"")</f>
        <v>BM</v>
      </c>
    </row>
    <row r="5047" spans="1:7" x14ac:dyDescent="0.25">
      <c r="A5047" s="17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IFERROR(VLOOKUP(B5047,'Diciembre 2023'!$B$2:$G$5822,4,0),"")</f>
        <v>BM</v>
      </c>
    </row>
    <row r="5048" spans="1:7" x14ac:dyDescent="0.25">
      <c r="A5048" s="17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IFERROR(VLOOKUP(B5048,'Diciembre 2023'!$B$2:$G$5822,4,0),"")</f>
        <v>BM</v>
      </c>
    </row>
    <row r="5049" spans="1:7" x14ac:dyDescent="0.25">
      <c r="A5049" s="17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IFERROR(VLOOKUP(B5049,'Diciembre 2023'!$B$2:$G$5822,4,0),"")</f>
        <v>BM</v>
      </c>
    </row>
    <row r="5050" spans="1:7" x14ac:dyDescent="0.25">
      <c r="A5050" s="17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IFERROR(VLOOKUP(B5050,'Diciembre 2023'!$B$2:$G$5822,4,0),"")</f>
        <v>BM</v>
      </c>
    </row>
    <row r="5051" spans="1:7" x14ac:dyDescent="0.25">
      <c r="A5051" s="17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IFERROR(VLOOKUP(B5051,'Diciembre 2023'!$B$2:$G$5822,4,0),"")</f>
        <v>BM</v>
      </c>
    </row>
    <row r="5052" spans="1:7" x14ac:dyDescent="0.25">
      <c r="A5052" s="17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IFERROR(VLOOKUP(B5052,'Diciembre 2023'!$B$2:$G$5822,4,0),"")</f>
        <v>BM</v>
      </c>
    </row>
    <row r="5053" spans="1:7" x14ac:dyDescent="0.25">
      <c r="A5053" s="17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IFERROR(VLOOKUP(B5053,'Diciembre 2023'!$B$2:$G$5822,4,0),"")</f>
        <v>BM</v>
      </c>
    </row>
    <row r="5054" spans="1:7" x14ac:dyDescent="0.25">
      <c r="A5054" s="17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IFERROR(VLOOKUP(B5054,'Diciembre 2023'!$B$2:$G$5822,4,0),"")</f>
        <v>BM</v>
      </c>
    </row>
    <row r="5055" spans="1:7" x14ac:dyDescent="0.25">
      <c r="A5055" s="17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IFERROR(VLOOKUP(B5055,'Diciembre 2023'!$B$2:$G$5822,4,0),"")</f>
        <v>BM</v>
      </c>
    </row>
    <row r="5056" spans="1:7" x14ac:dyDescent="0.25">
      <c r="A5056" s="17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IFERROR(VLOOKUP(B5056,'Diciembre 2023'!$B$2:$G$5822,4,0),"")</f>
        <v>BM</v>
      </c>
    </row>
    <row r="5057" spans="1:7" x14ac:dyDescent="0.25">
      <c r="A5057" s="17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IFERROR(VLOOKUP(B5057,'Diciembre 2023'!$B$2:$G$5822,4,0),"")</f>
        <v>BM</v>
      </c>
    </row>
    <row r="5058" spans="1:7" x14ac:dyDescent="0.25">
      <c r="A5058" s="17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IFERROR(VLOOKUP(B5058,'Diciembre 2023'!$B$2:$G$5822,4,0),"")</f>
        <v>BM</v>
      </c>
    </row>
    <row r="5059" spans="1:7" x14ac:dyDescent="0.25">
      <c r="A5059" s="17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IFERROR(VLOOKUP(B5059,'Diciembre 2023'!$B$2:$G$5822,4,0),"")</f>
        <v>BM</v>
      </c>
    </row>
    <row r="5060" spans="1:7" x14ac:dyDescent="0.25">
      <c r="A5060" s="17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IFERROR(VLOOKUP(B5060,'Diciembre 2023'!$B$2:$G$5822,4,0),"")</f>
        <v>BM</v>
      </c>
    </row>
    <row r="5061" spans="1:7" x14ac:dyDescent="0.25">
      <c r="A5061" s="17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IFERROR(VLOOKUP(B5061,'Diciembre 2023'!$B$2:$G$5822,4,0),"")</f>
        <v>BM</v>
      </c>
    </row>
    <row r="5062" spans="1:7" x14ac:dyDescent="0.25">
      <c r="A5062" s="17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IFERROR(VLOOKUP(B5062,'Diciembre 2023'!$B$2:$G$5822,4,0),"")</f>
        <v>BM</v>
      </c>
    </row>
    <row r="5063" spans="1:7" x14ac:dyDescent="0.25">
      <c r="A5063" s="17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IFERROR(VLOOKUP(B5063,'Diciembre 2023'!$B$2:$G$5822,4,0),"")</f>
        <v>BM</v>
      </c>
    </row>
    <row r="5064" spans="1:7" x14ac:dyDescent="0.25">
      <c r="A5064" s="17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IFERROR(VLOOKUP(B5064,'Diciembre 2023'!$B$2:$G$5822,4,0),"")</f>
        <v>BM</v>
      </c>
    </row>
    <row r="5065" spans="1:7" x14ac:dyDescent="0.25">
      <c r="A5065" s="17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IFERROR(VLOOKUP(B5065,'Diciembre 2023'!$B$2:$G$5822,4,0),"")</f>
        <v>BM</v>
      </c>
    </row>
    <row r="5066" spans="1:7" x14ac:dyDescent="0.25">
      <c r="A5066" s="17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IFERROR(VLOOKUP(B5066,'Diciembre 2023'!$B$2:$G$5822,4,0),"")</f>
        <v>BM</v>
      </c>
    </row>
    <row r="5067" spans="1:7" x14ac:dyDescent="0.25">
      <c r="A5067" s="17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IFERROR(VLOOKUP(B5067,'Diciembre 2023'!$B$2:$G$5822,4,0),"")</f>
        <v>BM</v>
      </c>
    </row>
    <row r="5068" spans="1:7" x14ac:dyDescent="0.25">
      <c r="A5068" s="17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IFERROR(VLOOKUP(B5068,'Diciembre 2023'!$B$2:$G$5822,4,0),"")</f>
        <v>BM</v>
      </c>
    </row>
    <row r="5069" spans="1:7" x14ac:dyDescent="0.25">
      <c r="A5069" s="17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IFERROR(VLOOKUP(B5069,'Diciembre 2023'!$B$2:$G$5822,4,0),"")</f>
        <v>BM</v>
      </c>
    </row>
    <row r="5070" spans="1:7" x14ac:dyDescent="0.25">
      <c r="A5070" s="17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IFERROR(VLOOKUP(B5070,'Diciembre 2023'!$B$2:$G$5822,4,0),"")</f>
        <v>BM</v>
      </c>
    </row>
    <row r="5071" spans="1:7" x14ac:dyDescent="0.25">
      <c r="A5071" s="17"/>
      <c r="B5071" s="4" t="s">
        <v>4980</v>
      </c>
      <c r="C5071" s="4" t="s">
        <v>11</v>
      </c>
      <c r="D5071" s="4" t="s">
        <v>11</v>
      </c>
      <c r="E5071" s="4" t="s">
        <v>11</v>
      </c>
      <c r="F5071" s="4" t="s">
        <v>973</v>
      </c>
      <c r="G5071" s="5" t="str">
        <f>IFERROR(VLOOKUP(B5071,'Diciembre 2023'!$B$2:$G$5822,4,0),"")</f>
        <v>BM</v>
      </c>
    </row>
    <row r="5072" spans="1:7" x14ac:dyDescent="0.25">
      <c r="A5072" s="17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IFERROR(VLOOKUP(B5072,'Diciembre 2023'!$B$2:$G$5822,4,0),"")</f>
        <v>BM</v>
      </c>
    </row>
    <row r="5073" spans="1:7" x14ac:dyDescent="0.25">
      <c r="A5073" s="17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IFERROR(VLOOKUP(B5073,'Diciembre 2023'!$B$2:$G$5822,4,0),"")</f>
        <v>BM</v>
      </c>
    </row>
    <row r="5074" spans="1:7" x14ac:dyDescent="0.25">
      <c r="A5074" s="17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IFERROR(VLOOKUP(B5074,'Diciembre 2023'!$B$2:$G$5822,4,0),"")</f>
        <v>BM</v>
      </c>
    </row>
    <row r="5075" spans="1:7" x14ac:dyDescent="0.25">
      <c r="A5075" s="17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IFERROR(VLOOKUP(B5075,'Diciembre 2023'!$B$2:$G$5822,4,0),"")</f>
        <v>BM</v>
      </c>
    </row>
    <row r="5076" spans="1:7" x14ac:dyDescent="0.25">
      <c r="A5076" s="17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IFERROR(VLOOKUP(B5076,'Diciembre 2023'!$B$2:$G$5822,4,0),"")</f>
        <v>BM</v>
      </c>
    </row>
    <row r="5077" spans="1:7" x14ac:dyDescent="0.25">
      <c r="A5077" s="17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IFERROR(VLOOKUP(B5077,'Diciembre 2023'!$B$2:$G$5822,4,0),"")</f>
        <v>BM</v>
      </c>
    </row>
    <row r="5078" spans="1:7" x14ac:dyDescent="0.25">
      <c r="A5078" s="17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IFERROR(VLOOKUP(B5078,'Diciembre 2023'!$B$2:$G$5822,4,0),"")</f>
        <v>BM</v>
      </c>
    </row>
    <row r="5079" spans="1:7" x14ac:dyDescent="0.25">
      <c r="A5079" s="17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IFERROR(VLOOKUP(B5079,'Diciembre 2023'!$B$2:$G$5822,4,0),"")</f>
        <v>BM</v>
      </c>
    </row>
    <row r="5080" spans="1:7" x14ac:dyDescent="0.25">
      <c r="A5080" s="17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IFERROR(VLOOKUP(B5080,'Diciembre 2023'!$B$2:$G$5822,4,0),"")</f>
        <v>BM</v>
      </c>
    </row>
    <row r="5081" spans="1:7" x14ac:dyDescent="0.25">
      <c r="A5081" s="17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IFERROR(VLOOKUP(B5081,'Diciembre 2023'!$B$2:$G$5822,4,0),"")</f>
        <v>BM</v>
      </c>
    </row>
    <row r="5082" spans="1:7" x14ac:dyDescent="0.25">
      <c r="A5082" s="17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IFERROR(VLOOKUP(B5082,'Diciembre 2023'!$B$2:$G$5822,4,0),"")</f>
        <v>BM</v>
      </c>
    </row>
    <row r="5083" spans="1:7" x14ac:dyDescent="0.25">
      <c r="A5083" s="17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IFERROR(VLOOKUP(B5083,'Diciembre 2023'!$B$2:$G$5822,4,0),"")</f>
        <v>BM</v>
      </c>
    </row>
    <row r="5084" spans="1:7" x14ac:dyDescent="0.25">
      <c r="A5084" s="17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IFERROR(VLOOKUP(B5084,'Diciembre 2023'!$B$2:$G$5822,4,0),"")</f>
        <v>BM</v>
      </c>
    </row>
    <row r="5085" spans="1:7" x14ac:dyDescent="0.25">
      <c r="A5085" s="17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IFERROR(VLOOKUP(B5085,'Diciembre 2023'!$B$2:$G$5822,4,0),"")</f>
        <v>BM</v>
      </c>
    </row>
    <row r="5086" spans="1:7" x14ac:dyDescent="0.25">
      <c r="A5086" s="17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IFERROR(VLOOKUP(B5086,'Diciembre 2023'!$B$2:$G$5822,4,0),"")</f>
        <v>INACTBM</v>
      </c>
    </row>
    <row r="5087" spans="1:7" x14ac:dyDescent="0.25">
      <c r="A5087" s="17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IFERROR(VLOOKUP(B5087,'Diciembre 2023'!$B$2:$G$5822,4,0),"")</f>
        <v>BM</v>
      </c>
    </row>
    <row r="5088" spans="1:7" x14ac:dyDescent="0.25">
      <c r="A5088" s="17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IFERROR(VLOOKUP(B5088,'Diciembre 2023'!$B$2:$G$5822,4,0),"")</f>
        <v>BM</v>
      </c>
    </row>
    <row r="5089" spans="1:7" x14ac:dyDescent="0.25">
      <c r="A5089" s="17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IFERROR(VLOOKUP(B5089,'Diciembre 2023'!$B$2:$G$5822,4,0),"")</f>
        <v>BM</v>
      </c>
    </row>
    <row r="5090" spans="1:7" x14ac:dyDescent="0.25">
      <c r="A5090" s="17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IFERROR(VLOOKUP(B5090,'Diciembre 2023'!$B$2:$G$5822,4,0),"")</f>
        <v>BM</v>
      </c>
    </row>
    <row r="5091" spans="1:7" x14ac:dyDescent="0.25">
      <c r="A5091" s="17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IFERROR(VLOOKUP(B5091,'Diciembre 2023'!$B$2:$G$5822,4,0),"")</f>
        <v>BM</v>
      </c>
    </row>
    <row r="5092" spans="1:7" x14ac:dyDescent="0.25">
      <c r="A5092" s="17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IFERROR(VLOOKUP(B5092,'Diciembre 2023'!$B$2:$G$5822,4,0),"")</f>
        <v>BM</v>
      </c>
    </row>
    <row r="5093" spans="1:7" x14ac:dyDescent="0.25">
      <c r="A5093" s="17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IFERROR(VLOOKUP(B5093,'Diciembre 2023'!$B$2:$G$5822,4,0),"")</f>
        <v>BM</v>
      </c>
    </row>
    <row r="5094" spans="1:7" x14ac:dyDescent="0.25">
      <c r="A5094" s="17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IFERROR(VLOOKUP(B5094,'Diciembre 2023'!$B$2:$G$5822,4,0),"")</f>
        <v>BM</v>
      </c>
    </row>
    <row r="5095" spans="1:7" x14ac:dyDescent="0.25">
      <c r="A5095" s="17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IFERROR(VLOOKUP(B5095,'Diciembre 2023'!$B$2:$G$5822,4,0),"")</f>
        <v>BM</v>
      </c>
    </row>
    <row r="5096" spans="1:7" x14ac:dyDescent="0.25">
      <c r="A5096" s="17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IFERROR(VLOOKUP(B5096,'Diciembre 2023'!$B$2:$G$5822,4,0),"")</f>
        <v>BM</v>
      </c>
    </row>
    <row r="5097" spans="1:7" x14ac:dyDescent="0.25">
      <c r="A5097" s="17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IFERROR(VLOOKUP(B5097,'Diciembre 2023'!$B$2:$G$5822,4,0),"")</f>
        <v>BM</v>
      </c>
    </row>
    <row r="5098" spans="1:7" x14ac:dyDescent="0.25">
      <c r="A5098" s="17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IFERROR(VLOOKUP(B5098,'Diciembre 2023'!$B$2:$G$5822,4,0),"")</f>
        <v>BM</v>
      </c>
    </row>
    <row r="5099" spans="1:7" x14ac:dyDescent="0.25">
      <c r="A5099" s="17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IFERROR(VLOOKUP(B5099,'Diciembre 2023'!$B$2:$G$5822,4,0),"")</f>
        <v>BM</v>
      </c>
    </row>
    <row r="5100" spans="1:7" x14ac:dyDescent="0.25">
      <c r="A5100" s="17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IFERROR(VLOOKUP(B5100,'Diciembre 2023'!$B$2:$G$5822,4,0),"")</f>
        <v>BM</v>
      </c>
    </row>
    <row r="5101" spans="1:7" x14ac:dyDescent="0.25">
      <c r="A5101" s="17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IFERROR(VLOOKUP(B5101,'Diciembre 2023'!$B$2:$G$5822,4,0),"")</f>
        <v>BM</v>
      </c>
    </row>
    <row r="5102" spans="1:7" x14ac:dyDescent="0.25">
      <c r="A5102" s="17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IFERROR(VLOOKUP(B5102,'Diciembre 2023'!$B$2:$G$5822,4,0),"")</f>
        <v>BM</v>
      </c>
    </row>
    <row r="5103" spans="1:7" x14ac:dyDescent="0.25">
      <c r="A5103" s="17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IFERROR(VLOOKUP(B5103,'Diciembre 2023'!$B$2:$G$5822,4,0),"")</f>
        <v>BM</v>
      </c>
    </row>
    <row r="5104" spans="1:7" x14ac:dyDescent="0.25">
      <c r="A5104" s="17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IFERROR(VLOOKUP(B5104,'Diciembre 2023'!$B$2:$G$5822,4,0),"")</f>
        <v>BM</v>
      </c>
    </row>
    <row r="5105" spans="1:7" x14ac:dyDescent="0.25">
      <c r="A5105" s="17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IFERROR(VLOOKUP(B5105,'Diciembre 2023'!$B$2:$G$5822,4,0),"")</f>
        <v>BM</v>
      </c>
    </row>
    <row r="5106" spans="1:7" x14ac:dyDescent="0.25">
      <c r="A5106" s="17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IFERROR(VLOOKUP(B5106,'Diciembre 2023'!$B$2:$G$5822,4,0),"")</f>
        <v>INACTBM</v>
      </c>
    </row>
    <row r="5107" spans="1:7" x14ac:dyDescent="0.25">
      <c r="A5107" s="17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IFERROR(VLOOKUP(B5107,'Diciembre 2023'!$B$2:$G$5822,4,0),"")</f>
        <v>BM</v>
      </c>
    </row>
    <row r="5108" spans="1:7" x14ac:dyDescent="0.25">
      <c r="A5108" s="17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IFERROR(VLOOKUP(B5108,'Diciembre 2023'!$B$2:$G$5822,4,0),"")</f>
        <v>BM</v>
      </c>
    </row>
    <row r="5109" spans="1:7" x14ac:dyDescent="0.25">
      <c r="A5109" s="17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IFERROR(VLOOKUP(B5109,'Diciembre 2023'!$B$2:$G$5822,4,0),"")</f>
        <v>BM</v>
      </c>
    </row>
    <row r="5110" spans="1:7" x14ac:dyDescent="0.25">
      <c r="A5110" s="17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IFERROR(VLOOKUP(B5110,'Diciembre 2023'!$B$2:$G$5822,4,0),"")</f>
        <v>BM</v>
      </c>
    </row>
    <row r="5111" spans="1:7" x14ac:dyDescent="0.25">
      <c r="A5111" s="17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IFERROR(VLOOKUP(B5111,'Diciembre 2023'!$B$2:$G$5822,4,0),"")</f>
        <v>BM</v>
      </c>
    </row>
    <row r="5112" spans="1:7" x14ac:dyDescent="0.25">
      <c r="A5112" s="17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IFERROR(VLOOKUP(B5112,'Diciembre 2023'!$B$2:$G$5822,4,0),"")</f>
        <v>BM</v>
      </c>
    </row>
    <row r="5113" spans="1:7" x14ac:dyDescent="0.25">
      <c r="A5113" s="17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IFERROR(VLOOKUP(B5113,'Diciembre 2023'!$B$2:$G$5822,4,0),"")</f>
        <v>BM</v>
      </c>
    </row>
    <row r="5114" spans="1:7" x14ac:dyDescent="0.25">
      <c r="A5114" s="17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IFERROR(VLOOKUP(B5114,'Diciembre 2023'!$B$2:$G$5822,4,0),"")</f>
        <v>BM</v>
      </c>
    </row>
    <row r="5115" spans="1:7" x14ac:dyDescent="0.25">
      <c r="A5115" s="17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IFERROR(VLOOKUP(B5115,'Diciembre 2023'!$B$2:$G$5822,4,0),"")</f>
        <v>INACTBM</v>
      </c>
    </row>
    <row r="5116" spans="1:7" x14ac:dyDescent="0.25">
      <c r="A5116" s="17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IFERROR(VLOOKUP(B5116,'Diciembre 2023'!$B$2:$G$5822,4,0),"")</f>
        <v>BM</v>
      </c>
    </row>
    <row r="5117" spans="1:7" x14ac:dyDescent="0.25">
      <c r="A5117" s="17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IFERROR(VLOOKUP(B5117,'Diciembre 2023'!$B$2:$G$5822,4,0),"")</f>
        <v>BM</v>
      </c>
    </row>
    <row r="5118" spans="1:7" x14ac:dyDescent="0.25">
      <c r="A5118" s="17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IFERROR(VLOOKUP(B5118,'Diciembre 2023'!$B$2:$G$5822,4,0),"")</f>
        <v>BM</v>
      </c>
    </row>
    <row r="5119" spans="1:7" x14ac:dyDescent="0.25">
      <c r="A5119" s="17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IFERROR(VLOOKUP(B5119,'Diciembre 2023'!$B$2:$G$5822,4,0),"")</f>
        <v>BM</v>
      </c>
    </row>
    <row r="5120" spans="1:7" x14ac:dyDescent="0.25">
      <c r="A5120" s="17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IFERROR(VLOOKUP(B5120,'Diciembre 2023'!$B$2:$G$5822,4,0),"")</f>
        <v>BM</v>
      </c>
    </row>
    <row r="5121" spans="1:7" x14ac:dyDescent="0.25">
      <c r="A5121" s="17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IFERROR(VLOOKUP(B5121,'Diciembre 2023'!$B$2:$G$5822,4,0),"")</f>
        <v>BM</v>
      </c>
    </row>
    <row r="5122" spans="1:7" x14ac:dyDescent="0.25">
      <c r="A5122" s="17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IFERROR(VLOOKUP(B5122,'Diciembre 2023'!$B$2:$G$5822,4,0),"")</f>
        <v>BM</v>
      </c>
    </row>
    <row r="5123" spans="1:7" x14ac:dyDescent="0.25">
      <c r="A5123" s="17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IFERROR(VLOOKUP(B5123,'Diciembre 2023'!$B$2:$G$5822,4,0),"")</f>
        <v>BM</v>
      </c>
    </row>
    <row r="5124" spans="1:7" x14ac:dyDescent="0.25">
      <c r="A5124" s="17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IFERROR(VLOOKUP(B5124,'Diciembre 2023'!$B$2:$G$5822,4,0),"")</f>
        <v>ACTPETS</v>
      </c>
    </row>
    <row r="5125" spans="1:7" x14ac:dyDescent="0.25">
      <c r="A5125" s="17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IFERROR(VLOOKUP(B5125,'Diciembre 2023'!$B$2:$G$5822,4,0),"")</f>
        <v>BM</v>
      </c>
    </row>
    <row r="5126" spans="1:7" x14ac:dyDescent="0.25">
      <c r="A5126" s="17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IFERROR(VLOOKUP(B5126,'Diciembre 2023'!$B$2:$G$5822,4,0),"")</f>
        <v>BM</v>
      </c>
    </row>
    <row r="5127" spans="1:7" x14ac:dyDescent="0.25">
      <c r="A5127" s="17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IFERROR(VLOOKUP(B5127,'Diciembre 2023'!$B$2:$G$5822,4,0),"")</f>
        <v>BM</v>
      </c>
    </row>
    <row r="5128" spans="1:7" x14ac:dyDescent="0.25">
      <c r="A5128" s="17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IFERROR(VLOOKUP(B5128,'Diciembre 2023'!$B$2:$G$5822,4,0),"")</f>
        <v>BM</v>
      </c>
    </row>
    <row r="5129" spans="1:7" x14ac:dyDescent="0.25">
      <c r="A5129" s="17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IFERROR(VLOOKUP(B5129,'Diciembre 2023'!$B$2:$G$5822,4,0),"")</f>
        <v>BM</v>
      </c>
    </row>
    <row r="5130" spans="1:7" x14ac:dyDescent="0.25">
      <c r="A5130" s="17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IFERROR(VLOOKUP(B5130,'Diciembre 2023'!$B$2:$G$5822,4,0),"")</f>
        <v>BM</v>
      </c>
    </row>
    <row r="5131" spans="1:7" x14ac:dyDescent="0.25">
      <c r="A5131" s="17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IFERROR(VLOOKUP(B5131,'Diciembre 2023'!$B$2:$G$5822,4,0),"")</f>
        <v>BM</v>
      </c>
    </row>
    <row r="5132" spans="1:7" x14ac:dyDescent="0.25">
      <c r="A5132" s="17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IFERROR(VLOOKUP(B5132,'Diciembre 2023'!$B$2:$G$5822,4,0),"")</f>
        <v>BM</v>
      </c>
    </row>
    <row r="5133" spans="1:7" x14ac:dyDescent="0.25">
      <c r="A5133" s="17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IFERROR(VLOOKUP(B5133,'Diciembre 2023'!$B$2:$G$5822,4,0),"")</f>
        <v>BM</v>
      </c>
    </row>
    <row r="5134" spans="1:7" x14ac:dyDescent="0.25">
      <c r="A5134" s="17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IFERROR(VLOOKUP(B5134,'Diciembre 2023'!$B$2:$G$5822,4,0),"")</f>
        <v>INACTBM</v>
      </c>
    </row>
    <row r="5135" spans="1:7" x14ac:dyDescent="0.25">
      <c r="A5135" s="17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IFERROR(VLOOKUP(B5135,'Diciembre 2023'!$B$2:$G$5822,4,0),"")</f>
        <v>BM</v>
      </c>
    </row>
    <row r="5136" spans="1:7" x14ac:dyDescent="0.25">
      <c r="A5136" s="17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IFERROR(VLOOKUP(B5136,'Diciembre 2023'!$B$2:$G$5822,4,0),"")</f>
        <v>BM</v>
      </c>
    </row>
    <row r="5137" spans="1:7" x14ac:dyDescent="0.25">
      <c r="A5137" s="17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tr">
        <f>IFERROR(VLOOKUP(B5137,'Diciembre 2023'!$B$2:$G$5822,4,0),"")</f>
        <v>BM</v>
      </c>
    </row>
    <row r="5138" spans="1:7" x14ac:dyDescent="0.25">
      <c r="A5138" s="17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IFERROR(VLOOKUP(B5138,'Diciembre 2023'!$B$2:$G$5822,4,0),"")</f>
        <v>BM</v>
      </c>
    </row>
    <row r="5139" spans="1:7" x14ac:dyDescent="0.25">
      <c r="A5139" s="17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IFERROR(VLOOKUP(B5139,'Diciembre 2023'!$B$2:$G$5822,4,0),"")</f>
        <v>INACTBM</v>
      </c>
    </row>
    <row r="5140" spans="1:7" x14ac:dyDescent="0.25">
      <c r="A5140" s="17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IFERROR(VLOOKUP(B5140,'Diciembre 2023'!$B$2:$G$5822,4,0),"")</f>
        <v>BM</v>
      </c>
    </row>
    <row r="5141" spans="1:7" x14ac:dyDescent="0.25">
      <c r="A5141" s="17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IFERROR(VLOOKUP(B5141,'Diciembre 2023'!$B$2:$G$5822,4,0),"")</f>
        <v>BM</v>
      </c>
    </row>
    <row r="5142" spans="1:7" x14ac:dyDescent="0.25">
      <c r="A5142" s="17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IFERROR(VLOOKUP(B5142,'Diciembre 2023'!$B$2:$G$5822,4,0),"")</f>
        <v>BM</v>
      </c>
    </row>
    <row r="5143" spans="1:7" x14ac:dyDescent="0.25">
      <c r="A5143" s="17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IFERROR(VLOOKUP(B5143,'Diciembre 2023'!$B$2:$G$5822,4,0),"")</f>
        <v>BM</v>
      </c>
    </row>
    <row r="5144" spans="1:7" x14ac:dyDescent="0.25">
      <c r="A5144" s="17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IFERROR(VLOOKUP(B5144,'Diciembre 2023'!$B$2:$G$5822,4,0),"")</f>
        <v>BM</v>
      </c>
    </row>
    <row r="5145" spans="1:7" x14ac:dyDescent="0.25">
      <c r="A5145" s="17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IFERROR(VLOOKUP(B5145,'Diciembre 2023'!$B$2:$G$5822,4,0),"")</f>
        <v>BM</v>
      </c>
    </row>
    <row r="5146" spans="1:7" x14ac:dyDescent="0.25">
      <c r="A5146" s="17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IFERROR(VLOOKUP(B5146,'Diciembre 2023'!$B$2:$G$5822,4,0),"")</f>
        <v>BM</v>
      </c>
    </row>
    <row r="5147" spans="1:7" x14ac:dyDescent="0.25">
      <c r="A5147" s="17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IFERROR(VLOOKUP(B5147,'Diciembre 2023'!$B$2:$G$5822,4,0),"")</f>
        <v>BM</v>
      </c>
    </row>
    <row r="5148" spans="1:7" x14ac:dyDescent="0.25">
      <c r="A5148" s="17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IFERROR(VLOOKUP(B5148,'Diciembre 2023'!$B$2:$G$5822,4,0),"")</f>
        <v>BM</v>
      </c>
    </row>
    <row r="5149" spans="1:7" x14ac:dyDescent="0.25">
      <c r="A5149" s="17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IFERROR(VLOOKUP(B5149,'Diciembre 2023'!$B$2:$G$5822,4,0),"")</f>
        <v>BM</v>
      </c>
    </row>
    <row r="5150" spans="1:7" x14ac:dyDescent="0.25">
      <c r="A5150" s="17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IFERROR(VLOOKUP(B5150,'Diciembre 2023'!$B$2:$G$5822,4,0),"")</f>
        <v>BM</v>
      </c>
    </row>
    <row r="5151" spans="1:7" x14ac:dyDescent="0.25">
      <c r="A5151" s="17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IFERROR(VLOOKUP(B5151,'Diciembre 2023'!$B$2:$G$5822,4,0),"")</f>
        <v>BM</v>
      </c>
    </row>
    <row r="5152" spans="1:7" x14ac:dyDescent="0.25">
      <c r="A5152" s="17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IFERROR(VLOOKUP(B5152,'Diciembre 2023'!$B$2:$G$5822,4,0),"")</f>
        <v>BM</v>
      </c>
    </row>
    <row r="5153" spans="1:7" x14ac:dyDescent="0.25">
      <c r="A5153" s="17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IFERROR(VLOOKUP(B5153,'Diciembre 2023'!$B$2:$G$5822,4,0),"")</f>
        <v>BM</v>
      </c>
    </row>
    <row r="5154" spans="1:7" x14ac:dyDescent="0.25">
      <c r="A5154" s="17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IFERROR(VLOOKUP(B5154,'Diciembre 2023'!$B$2:$G$5822,4,0),"")</f>
        <v>BM</v>
      </c>
    </row>
    <row r="5155" spans="1:7" x14ac:dyDescent="0.25">
      <c r="A5155" s="17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IFERROR(VLOOKUP(B5155,'Diciembre 2023'!$B$2:$G$5822,4,0),"")</f>
        <v>BM</v>
      </c>
    </row>
    <row r="5156" spans="1:7" x14ac:dyDescent="0.25">
      <c r="A5156" s="17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IFERROR(VLOOKUP(B5156,'Diciembre 2023'!$B$2:$G$5822,4,0),"")</f>
        <v>BM</v>
      </c>
    </row>
    <row r="5157" spans="1:7" x14ac:dyDescent="0.25">
      <c r="A5157" s="17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IFERROR(VLOOKUP(B5157,'Diciembre 2023'!$B$2:$G$5822,4,0),"")</f>
        <v>BM</v>
      </c>
    </row>
    <row r="5158" spans="1:7" x14ac:dyDescent="0.25">
      <c r="A5158" s="17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IFERROR(VLOOKUP(B5158,'Diciembre 2023'!$B$2:$G$5822,4,0),"")</f>
        <v>BM</v>
      </c>
    </row>
    <row r="5159" spans="1:7" x14ac:dyDescent="0.25">
      <c r="A5159" s="17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IFERROR(VLOOKUP(B5159,'Diciembre 2023'!$B$2:$G$5822,4,0),"")</f>
        <v>BM</v>
      </c>
    </row>
    <row r="5160" spans="1:7" x14ac:dyDescent="0.25">
      <c r="A5160" s="17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IFERROR(VLOOKUP(B5160,'Diciembre 2023'!$B$2:$G$5822,4,0),"")</f>
        <v>BM</v>
      </c>
    </row>
    <row r="5161" spans="1:7" x14ac:dyDescent="0.25">
      <c r="A5161" s="17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IFERROR(VLOOKUP(B5161,'Diciembre 2023'!$B$2:$G$5822,4,0),"")</f>
        <v>BM</v>
      </c>
    </row>
    <row r="5162" spans="1:7" x14ac:dyDescent="0.25">
      <c r="A5162" s="17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IFERROR(VLOOKUP(B5162,'Diciembre 2023'!$B$2:$G$5822,4,0),"")</f>
        <v>BM</v>
      </c>
    </row>
    <row r="5163" spans="1:7" x14ac:dyDescent="0.25">
      <c r="A5163" s="17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IFERROR(VLOOKUP(B5163,'Diciembre 2023'!$B$2:$G$5822,4,0),"")</f>
        <v>BM</v>
      </c>
    </row>
    <row r="5164" spans="1:7" x14ac:dyDescent="0.25">
      <c r="A5164" s="17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IFERROR(VLOOKUP(B5164,'Diciembre 2023'!$B$2:$G$5822,4,0),"")</f>
        <v>BM</v>
      </c>
    </row>
    <row r="5165" spans="1:7" x14ac:dyDescent="0.25">
      <c r="A5165" s="17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IFERROR(VLOOKUP(B5165,'Diciembre 2023'!$B$2:$G$5822,4,0),"")</f>
        <v>BM</v>
      </c>
    </row>
    <row r="5166" spans="1:7" x14ac:dyDescent="0.25">
      <c r="A5166" s="17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IFERROR(VLOOKUP(B5166,'Diciembre 2023'!$B$2:$G$5822,4,0),"")</f>
        <v>BM</v>
      </c>
    </row>
    <row r="5167" spans="1:7" x14ac:dyDescent="0.25">
      <c r="A5167" s="17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IFERROR(VLOOKUP(B5167,'Diciembre 2023'!$B$2:$G$5822,4,0),"")</f>
        <v>BM</v>
      </c>
    </row>
    <row r="5168" spans="1:7" x14ac:dyDescent="0.25">
      <c r="A5168" s="17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IFERROR(VLOOKUP(B5168,'Diciembre 2023'!$B$2:$G$5822,4,0),"")</f>
        <v>BM</v>
      </c>
    </row>
    <row r="5169" spans="1:7" x14ac:dyDescent="0.25">
      <c r="A5169" s="17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IFERROR(VLOOKUP(B5169,'Diciembre 2023'!$B$2:$G$5822,4,0),"")</f>
        <v>BM</v>
      </c>
    </row>
    <row r="5170" spans="1:7" x14ac:dyDescent="0.25">
      <c r="A5170" s="17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IFERROR(VLOOKUP(B5170,'Diciembre 2023'!$B$2:$G$5822,4,0),"")</f>
        <v>BM</v>
      </c>
    </row>
    <row r="5171" spans="1:7" x14ac:dyDescent="0.25">
      <c r="A5171" s="17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IFERROR(VLOOKUP(B5171,'Diciembre 2023'!$B$2:$G$5822,4,0),"")</f>
        <v>BM</v>
      </c>
    </row>
    <row r="5172" spans="1:7" x14ac:dyDescent="0.25">
      <c r="A5172" s="17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IFERROR(VLOOKUP(B5172,'Diciembre 2023'!$B$2:$G$5822,4,0),"")</f>
        <v>BM</v>
      </c>
    </row>
    <row r="5173" spans="1:7" x14ac:dyDescent="0.25">
      <c r="A5173" s="17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IFERROR(VLOOKUP(B5173,'Diciembre 2023'!$B$2:$G$5822,4,0),"")</f>
        <v>BM</v>
      </c>
    </row>
    <row r="5174" spans="1:7" x14ac:dyDescent="0.25">
      <c r="A5174" s="17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IFERROR(VLOOKUP(B5174,'Diciembre 2023'!$B$2:$G$5822,4,0),"")</f>
        <v>BM</v>
      </c>
    </row>
    <row r="5175" spans="1:7" x14ac:dyDescent="0.25">
      <c r="A5175" s="17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IFERROR(VLOOKUP(B5175,'Diciembre 2023'!$B$2:$G$5822,4,0),"")</f>
        <v>BM</v>
      </c>
    </row>
    <row r="5176" spans="1:7" x14ac:dyDescent="0.25">
      <c r="A5176" s="17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IFERROR(VLOOKUP(B5176,'Diciembre 2023'!$B$2:$G$5822,4,0),"")</f>
        <v>BM</v>
      </c>
    </row>
    <row r="5177" spans="1:7" x14ac:dyDescent="0.25">
      <c r="A5177" s="17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IFERROR(VLOOKUP(B5177,'Diciembre 2023'!$B$2:$G$5822,4,0),"")</f>
        <v>BM</v>
      </c>
    </row>
    <row r="5178" spans="1:7" x14ac:dyDescent="0.25">
      <c r="A5178" s="17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IFERROR(VLOOKUP(B5178,'Diciembre 2023'!$B$2:$G$5822,4,0),"")</f>
        <v>BM</v>
      </c>
    </row>
    <row r="5179" spans="1:7" x14ac:dyDescent="0.25">
      <c r="A5179" s="17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IFERROR(VLOOKUP(B5179,'Diciembre 2023'!$B$2:$G$5822,4,0),"")</f>
        <v>BM</v>
      </c>
    </row>
    <row r="5180" spans="1:7" x14ac:dyDescent="0.25">
      <c r="A5180" s="17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IFERROR(VLOOKUP(B5180,'Diciembre 2023'!$B$2:$G$5822,4,0),"")</f>
        <v>ACTINYA</v>
      </c>
    </row>
    <row r="5181" spans="1:7" x14ac:dyDescent="0.25">
      <c r="A5181" s="17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IFERROR(VLOOKUP(B5181,'Diciembre 2023'!$B$2:$G$5822,4,0),"")</f>
        <v>ACTINYA</v>
      </c>
    </row>
    <row r="5182" spans="1:7" x14ac:dyDescent="0.25">
      <c r="A5182" s="17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IFERROR(VLOOKUP(B5182,'Diciembre 2023'!$B$2:$G$5822,4,0),"")</f>
        <v>BM</v>
      </c>
    </row>
    <row r="5183" spans="1:7" x14ac:dyDescent="0.25">
      <c r="A5183" s="17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IFERROR(VLOOKUP(B5183,'Diciembre 2023'!$B$2:$G$5822,4,0),"")</f>
        <v>INACTBM</v>
      </c>
    </row>
    <row r="5184" spans="1:7" x14ac:dyDescent="0.25">
      <c r="A5184" s="17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IFERROR(VLOOKUP(B5184,'Diciembre 2023'!$B$2:$G$5822,4,0),"")</f>
        <v>INACTINYA</v>
      </c>
    </row>
    <row r="5185" spans="1:7" x14ac:dyDescent="0.25">
      <c r="A5185" s="17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IFERROR(VLOOKUP(B5185,'Diciembre 2023'!$B$2:$G$5822,4,0),"")</f>
        <v>INACTBM</v>
      </c>
    </row>
    <row r="5186" spans="1:7" x14ac:dyDescent="0.25">
      <c r="A5186" s="17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IFERROR(VLOOKUP(B5186,'Diciembre 2023'!$B$2:$G$5822,4,0),"")</f>
        <v>BM</v>
      </c>
    </row>
    <row r="5187" spans="1:7" x14ac:dyDescent="0.25">
      <c r="A5187" s="17"/>
      <c r="B5187" s="4" t="s">
        <v>5856</v>
      </c>
      <c r="C5187" s="4" t="s">
        <v>11</v>
      </c>
      <c r="D5187" s="4" t="s">
        <v>11</v>
      </c>
      <c r="E5187" s="4" t="s">
        <v>11</v>
      </c>
      <c r="F5187" s="4" t="s">
        <v>2014</v>
      </c>
      <c r="G5187" s="5" t="str">
        <f>IFERROR(VLOOKUP(B5187,'Diciembre 2023'!$B$2:$G$5822,4,0),"")</f>
        <v>BM</v>
      </c>
    </row>
    <row r="5188" spans="1:7" x14ac:dyDescent="0.25">
      <c r="A5188" s="17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IFERROR(VLOOKUP(B5188,'Diciembre 2023'!$B$2:$G$5822,4,0),"")</f>
        <v>BM</v>
      </c>
    </row>
    <row r="5189" spans="1:7" x14ac:dyDescent="0.25">
      <c r="A5189" s="17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IFERROR(VLOOKUP(B5189,'Diciembre 2023'!$B$2:$G$5822,4,0),"")</f>
        <v>BM</v>
      </c>
    </row>
    <row r="5190" spans="1:7" x14ac:dyDescent="0.25">
      <c r="A5190" s="17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IFERROR(VLOOKUP(B5190,'Diciembre 2023'!$B$2:$G$5822,4,0),"")</f>
        <v>BM</v>
      </c>
    </row>
    <row r="5191" spans="1:7" x14ac:dyDescent="0.25">
      <c r="A5191" s="17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IFERROR(VLOOKUP(B5191,'Diciembre 2023'!$B$2:$G$5822,4,0),"")</f>
        <v>BM</v>
      </c>
    </row>
    <row r="5192" spans="1:7" x14ac:dyDescent="0.25">
      <c r="A5192" s="17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IFERROR(VLOOKUP(B5192,'Diciembre 2023'!$B$2:$G$5822,4,0),"")</f>
        <v>BM</v>
      </c>
    </row>
    <row r="5193" spans="1:7" x14ac:dyDescent="0.25">
      <c r="A5193" s="17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IFERROR(VLOOKUP(B5193,'Diciembre 2023'!$B$2:$G$5822,4,0),"")</f>
        <v>BM</v>
      </c>
    </row>
    <row r="5194" spans="1:7" x14ac:dyDescent="0.25">
      <c r="A5194" s="17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IFERROR(VLOOKUP(B5194,'Diciembre 2023'!$B$2:$G$5822,4,0),"")</f>
        <v>BM</v>
      </c>
    </row>
    <row r="5195" spans="1:7" x14ac:dyDescent="0.25">
      <c r="A5195" s="17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IFERROR(VLOOKUP(B5195,'Diciembre 2023'!$B$2:$G$5822,4,0),"")</f>
        <v>BM</v>
      </c>
    </row>
    <row r="5196" spans="1:7" x14ac:dyDescent="0.25">
      <c r="A5196" s="17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IFERROR(VLOOKUP(B5196,'Diciembre 2023'!$B$2:$G$5822,4,0),"")</f>
        <v>BM</v>
      </c>
    </row>
    <row r="5197" spans="1:7" x14ac:dyDescent="0.25">
      <c r="A5197" s="17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IFERROR(VLOOKUP(B5197,'Diciembre 2023'!$B$2:$G$5822,4,0),"")</f>
        <v>BM</v>
      </c>
    </row>
    <row r="5198" spans="1:7" x14ac:dyDescent="0.25">
      <c r="A5198" s="17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IFERROR(VLOOKUP(B5198,'Diciembre 2023'!$B$2:$G$5822,4,0),"")</f>
        <v>BM</v>
      </c>
    </row>
    <row r="5199" spans="1:7" x14ac:dyDescent="0.25">
      <c r="A5199" s="17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IFERROR(VLOOKUP(B5199,'Diciembre 2023'!$B$2:$G$5822,4,0),"")</f>
        <v>BM</v>
      </c>
    </row>
    <row r="5200" spans="1:7" x14ac:dyDescent="0.25">
      <c r="A5200" s="17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IFERROR(VLOOKUP(B5200,'Diciembre 2023'!$B$2:$G$5822,4,0),"")</f>
        <v>BM</v>
      </c>
    </row>
    <row r="5201" spans="1:7" x14ac:dyDescent="0.25">
      <c r="A5201" s="17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IFERROR(VLOOKUP(B5201,'Diciembre 2023'!$B$2:$G$5822,4,0),"")</f>
        <v>BM</v>
      </c>
    </row>
    <row r="5202" spans="1:7" x14ac:dyDescent="0.25">
      <c r="A5202" s="17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IFERROR(VLOOKUP(B5202,'Diciembre 2023'!$B$2:$G$5822,4,0),"")</f>
        <v>BM</v>
      </c>
    </row>
    <row r="5203" spans="1:7" x14ac:dyDescent="0.25">
      <c r="A5203" s="17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IFERROR(VLOOKUP(B5203,'Diciembre 2023'!$B$2:$G$5822,4,0),"")</f>
        <v>BM</v>
      </c>
    </row>
    <row r="5204" spans="1:7" x14ac:dyDescent="0.25">
      <c r="A5204" s="17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IFERROR(VLOOKUP(B5204,'Diciembre 2023'!$B$2:$G$5822,4,0),"")</f>
        <v>BM</v>
      </c>
    </row>
    <row r="5205" spans="1:7" x14ac:dyDescent="0.25">
      <c r="A5205" s="17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IFERROR(VLOOKUP(B5205,'Diciembre 2023'!$B$2:$G$5822,4,0),"")</f>
        <v>BM</v>
      </c>
    </row>
    <row r="5206" spans="1:7" x14ac:dyDescent="0.25">
      <c r="A5206" s="17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IFERROR(VLOOKUP(B5206,'Diciembre 2023'!$B$2:$G$5822,4,0),"")</f>
        <v>BM</v>
      </c>
    </row>
    <row r="5207" spans="1:7" x14ac:dyDescent="0.25">
      <c r="A5207" s="17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IFERROR(VLOOKUP(B5207,'Diciembre 2023'!$B$2:$G$5822,4,0),"")</f>
        <v>BM</v>
      </c>
    </row>
    <row r="5208" spans="1:7" x14ac:dyDescent="0.25">
      <c r="A5208" s="17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IFERROR(VLOOKUP(B5208,'Diciembre 2023'!$B$2:$G$5822,4,0),"")</f>
        <v>BM</v>
      </c>
    </row>
    <row r="5209" spans="1:7" x14ac:dyDescent="0.25">
      <c r="A5209" s="17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IFERROR(VLOOKUP(B5209,'Diciembre 2023'!$B$2:$G$5822,4,0),"")</f>
        <v>BM</v>
      </c>
    </row>
    <row r="5210" spans="1:7" x14ac:dyDescent="0.25">
      <c r="A5210" s="17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IFERROR(VLOOKUP(B5210,'Diciembre 2023'!$B$2:$G$5822,4,0),"")</f>
        <v>BM</v>
      </c>
    </row>
    <row r="5211" spans="1:7" x14ac:dyDescent="0.25">
      <c r="A5211" s="17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IFERROR(VLOOKUP(B5211,'Diciembre 2023'!$B$2:$G$5822,4,0),"")</f>
        <v>BM</v>
      </c>
    </row>
    <row r="5212" spans="1:7" x14ac:dyDescent="0.25">
      <c r="A5212" s="17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IFERROR(VLOOKUP(B5212,'Diciembre 2023'!$B$2:$G$5822,4,0),"")</f>
        <v>BM</v>
      </c>
    </row>
    <row r="5213" spans="1:7" x14ac:dyDescent="0.25">
      <c r="A5213" s="17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IFERROR(VLOOKUP(B5213,'Diciembre 2023'!$B$2:$G$5822,4,0),"")</f>
        <v>BM</v>
      </c>
    </row>
    <row r="5214" spans="1:7" x14ac:dyDescent="0.25">
      <c r="A5214" s="17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IFERROR(VLOOKUP(B5214,'Diciembre 2023'!$B$2:$G$5822,4,0),"")</f>
        <v>BM</v>
      </c>
    </row>
    <row r="5215" spans="1:7" x14ac:dyDescent="0.25">
      <c r="A5215" s="17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IFERROR(VLOOKUP(B5215,'Diciembre 2023'!$B$2:$G$5822,4,0),"")</f>
        <v>BM</v>
      </c>
    </row>
    <row r="5216" spans="1:7" x14ac:dyDescent="0.25">
      <c r="A5216" s="17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IFERROR(VLOOKUP(B5216,'Diciembre 2023'!$B$2:$G$5822,4,0),"")</f>
        <v>BM</v>
      </c>
    </row>
    <row r="5217" spans="1:7" x14ac:dyDescent="0.25">
      <c r="A5217" s="17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IFERROR(VLOOKUP(B5217,'Diciembre 2023'!$B$2:$G$5822,4,0),"")</f>
        <v>BM</v>
      </c>
    </row>
    <row r="5218" spans="1:7" x14ac:dyDescent="0.25">
      <c r="A5218" s="17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IFERROR(VLOOKUP(B5218,'Diciembre 2023'!$B$2:$G$5822,4,0),"")</f>
        <v>BM</v>
      </c>
    </row>
    <row r="5219" spans="1:7" x14ac:dyDescent="0.25">
      <c r="A5219" s="17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IFERROR(VLOOKUP(B5219,'Diciembre 2023'!$B$2:$G$5822,4,0),"")</f>
        <v>BM</v>
      </c>
    </row>
    <row r="5220" spans="1:7" x14ac:dyDescent="0.25">
      <c r="A5220" s="17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IFERROR(VLOOKUP(B5220,'Diciembre 2023'!$B$2:$G$5822,4,0),"")</f>
        <v>BM</v>
      </c>
    </row>
    <row r="5221" spans="1:7" x14ac:dyDescent="0.25">
      <c r="A5221" s="17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IFERROR(VLOOKUP(B5221,'Diciembre 2023'!$B$2:$G$5822,4,0),"")</f>
        <v>INACTBM</v>
      </c>
    </row>
    <row r="5222" spans="1:7" x14ac:dyDescent="0.25">
      <c r="A5222" s="17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IFERROR(VLOOKUP(B5222,'Diciembre 2023'!$B$2:$G$5822,4,0),"")</f>
        <v>BM</v>
      </c>
    </row>
    <row r="5223" spans="1:7" x14ac:dyDescent="0.25">
      <c r="A5223" s="17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IFERROR(VLOOKUP(B5223,'Diciembre 2023'!$B$2:$G$5822,4,0),"")</f>
        <v>BM</v>
      </c>
    </row>
    <row r="5224" spans="1:7" x14ac:dyDescent="0.25">
      <c r="A5224" s="17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IFERROR(VLOOKUP(B5224,'Diciembre 2023'!$B$2:$G$5822,4,0),"")</f>
        <v>BM</v>
      </c>
    </row>
    <row r="5225" spans="1:7" x14ac:dyDescent="0.25">
      <c r="A5225" s="17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IFERROR(VLOOKUP(B5225,'Diciembre 2023'!$B$2:$G$5822,4,0),"")</f>
        <v>BM</v>
      </c>
    </row>
    <row r="5226" spans="1:7" x14ac:dyDescent="0.25">
      <c r="A5226" s="17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tr">
        <f>IFERROR(VLOOKUP(B5226,'Diciembre 2023'!$B$2:$G$5822,4,0),"")</f>
        <v>INACTBM</v>
      </c>
    </row>
    <row r="5227" spans="1:7" x14ac:dyDescent="0.25">
      <c r="A5227" s="17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IFERROR(VLOOKUP(B5227,'Diciembre 2023'!$B$2:$G$5822,4,0),"")</f>
        <v>BM</v>
      </c>
    </row>
    <row r="5228" spans="1:7" x14ac:dyDescent="0.25">
      <c r="A5228" s="17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IFERROR(VLOOKUP(B5228,'Diciembre 2023'!$B$2:$G$5822,4,0),"")</f>
        <v>INACTBM</v>
      </c>
    </row>
    <row r="5229" spans="1:7" x14ac:dyDescent="0.25">
      <c r="A5229" s="17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IFERROR(VLOOKUP(B5229,'Diciembre 2023'!$B$2:$G$5822,4,0),"")</f>
        <v>BM</v>
      </c>
    </row>
    <row r="5230" spans="1:7" x14ac:dyDescent="0.25">
      <c r="A5230" s="17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IFERROR(VLOOKUP(B5230,'Diciembre 2023'!$B$2:$G$5822,4,0),"")</f>
        <v>BM</v>
      </c>
    </row>
    <row r="5231" spans="1:7" x14ac:dyDescent="0.25">
      <c r="A5231" s="17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IFERROR(VLOOKUP(B5231,'Diciembre 2023'!$B$2:$G$5822,4,0),"")</f>
        <v>INACTBM</v>
      </c>
    </row>
    <row r="5232" spans="1:7" x14ac:dyDescent="0.25">
      <c r="A5232" s="17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IFERROR(VLOOKUP(B5232,'Diciembre 2023'!$B$2:$G$5822,4,0),"")</f>
        <v>BM</v>
      </c>
    </row>
    <row r="5233" spans="1:7" x14ac:dyDescent="0.25">
      <c r="A5233" s="17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IFERROR(VLOOKUP(B5233,'Diciembre 2023'!$B$2:$G$5822,4,0),"")</f>
        <v>BM</v>
      </c>
    </row>
    <row r="5234" spans="1:7" x14ac:dyDescent="0.25">
      <c r="A5234" s="17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IFERROR(VLOOKUP(B5234,'Diciembre 2023'!$B$2:$G$5822,4,0),"")</f>
        <v>BM</v>
      </c>
    </row>
    <row r="5235" spans="1:7" x14ac:dyDescent="0.25">
      <c r="A5235" s="17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IFERROR(VLOOKUP(B5235,'Diciembre 2023'!$B$2:$G$5822,4,0),"")</f>
        <v>BM</v>
      </c>
    </row>
    <row r="5236" spans="1:7" x14ac:dyDescent="0.25">
      <c r="A5236" s="17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IFERROR(VLOOKUP(B5236,'Diciembre 2023'!$B$2:$G$5822,4,0),"")</f>
        <v>INACTBM</v>
      </c>
    </row>
    <row r="5237" spans="1:7" x14ac:dyDescent="0.25">
      <c r="A5237" s="17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IFERROR(VLOOKUP(B5237,'Diciembre 2023'!$B$2:$G$5822,4,0),"")</f>
        <v>BM</v>
      </c>
    </row>
    <row r="5238" spans="1:7" x14ac:dyDescent="0.25">
      <c r="A5238" s="17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IFERROR(VLOOKUP(B5238,'Diciembre 2023'!$B$2:$G$5822,4,0),"")</f>
        <v>BM</v>
      </c>
    </row>
    <row r="5239" spans="1:7" x14ac:dyDescent="0.25">
      <c r="A5239" s="17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IFERROR(VLOOKUP(B5239,'Diciembre 2023'!$B$2:$G$5822,4,0),"")</f>
        <v>INACTBM</v>
      </c>
    </row>
    <row r="5240" spans="1:7" x14ac:dyDescent="0.25">
      <c r="A5240" s="17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IFERROR(VLOOKUP(B5240,'Diciembre 2023'!$B$2:$G$5822,4,0),"")</f>
        <v>INACTBM</v>
      </c>
    </row>
    <row r="5241" spans="1:7" x14ac:dyDescent="0.25">
      <c r="A5241" s="17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IFERROR(VLOOKUP(B5241,'Diciembre 2023'!$B$2:$G$5822,4,0),"")</f>
        <v>BM</v>
      </c>
    </row>
    <row r="5242" spans="1:7" x14ac:dyDescent="0.25">
      <c r="A5242" s="17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IFERROR(VLOOKUP(B5242,'Diciembre 2023'!$B$2:$G$5822,4,0),"")</f>
        <v>BM</v>
      </c>
    </row>
    <row r="5243" spans="1:7" x14ac:dyDescent="0.25">
      <c r="A5243" s="17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IFERROR(VLOOKUP(B5243,'Diciembre 2023'!$B$2:$G$5822,4,0),"")</f>
        <v>INACTBM</v>
      </c>
    </row>
    <row r="5244" spans="1:7" x14ac:dyDescent="0.25">
      <c r="A5244" s="17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IFERROR(VLOOKUP(B5244,'Diciembre 2023'!$B$2:$G$5822,4,0),"")</f>
        <v>INACTBM</v>
      </c>
    </row>
    <row r="5245" spans="1:7" x14ac:dyDescent="0.25">
      <c r="A5245" s="17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IFERROR(VLOOKUP(B5245,'Diciembre 2023'!$B$2:$G$5822,4,0),"")</f>
        <v>BM</v>
      </c>
    </row>
    <row r="5246" spans="1:7" x14ac:dyDescent="0.25">
      <c r="A5246" s="17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IFERROR(VLOOKUP(B5246,'Diciembre 2023'!$B$2:$G$5822,4,0),"")</f>
        <v>BM</v>
      </c>
    </row>
    <row r="5247" spans="1:7" x14ac:dyDescent="0.25">
      <c r="A5247" s="17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IFERROR(VLOOKUP(B5247,'Diciembre 2023'!$B$2:$G$5822,4,0),"")</f>
        <v>BM</v>
      </c>
    </row>
    <row r="5248" spans="1:7" x14ac:dyDescent="0.25">
      <c r="A5248" s="17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IFERROR(VLOOKUP(B5248,'Diciembre 2023'!$B$2:$G$5822,4,0),"")</f>
        <v>BM</v>
      </c>
    </row>
    <row r="5249" spans="1:7" x14ac:dyDescent="0.25">
      <c r="A5249" s="17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IFERROR(VLOOKUP(B5249,'Diciembre 2023'!$B$2:$G$5822,4,0),"")</f>
        <v>BM</v>
      </c>
    </row>
    <row r="5250" spans="1:7" x14ac:dyDescent="0.25">
      <c r="A5250" s="17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IFERROR(VLOOKUP(B5250,'Diciembre 2023'!$B$2:$G$5822,4,0),"")</f>
        <v>INACTBM</v>
      </c>
    </row>
    <row r="5251" spans="1:7" x14ac:dyDescent="0.25">
      <c r="A5251" s="17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IFERROR(VLOOKUP(B5251,'Diciembre 2023'!$B$2:$G$5822,4,0),"")</f>
        <v>BM</v>
      </c>
    </row>
    <row r="5252" spans="1:7" x14ac:dyDescent="0.25">
      <c r="A5252" s="17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IFERROR(VLOOKUP(B5252,'Diciembre 2023'!$B$2:$G$5822,4,0),"")</f>
        <v>INACTBM</v>
      </c>
    </row>
    <row r="5253" spans="1:7" x14ac:dyDescent="0.25">
      <c r="A5253" s="17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IFERROR(VLOOKUP(B5253,'Diciembre 2023'!$B$2:$G$5822,4,0),"")</f>
        <v>INACTBM</v>
      </c>
    </row>
    <row r="5254" spans="1:7" x14ac:dyDescent="0.25">
      <c r="A5254" s="17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IFERROR(VLOOKUP(B5254,'Diciembre 2023'!$B$2:$G$5822,4,0),"")</f>
        <v>BM</v>
      </c>
    </row>
    <row r="5255" spans="1:7" x14ac:dyDescent="0.25">
      <c r="A5255" s="17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IFERROR(VLOOKUP(B5255,'Diciembre 2023'!$B$2:$G$5822,4,0),"")</f>
        <v>BM</v>
      </c>
    </row>
    <row r="5256" spans="1:7" x14ac:dyDescent="0.25">
      <c r="A5256" s="17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IFERROR(VLOOKUP(B5256,'Diciembre 2023'!$B$2:$G$5822,4,0),"")</f>
        <v>BM</v>
      </c>
    </row>
    <row r="5257" spans="1:7" x14ac:dyDescent="0.25">
      <c r="A5257" s="17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IFERROR(VLOOKUP(B5257,'Diciembre 2023'!$B$2:$G$5822,4,0),"")</f>
        <v>BM</v>
      </c>
    </row>
    <row r="5258" spans="1:7" x14ac:dyDescent="0.25">
      <c r="A5258" s="17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IFERROR(VLOOKUP(B5258,'Diciembre 2023'!$B$2:$G$5822,4,0),"")</f>
        <v>BM</v>
      </c>
    </row>
    <row r="5259" spans="1:7" x14ac:dyDescent="0.25">
      <c r="A5259" s="17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IFERROR(VLOOKUP(B5259,'Diciembre 2023'!$B$2:$G$5822,4,0),"")</f>
        <v>BM</v>
      </c>
    </row>
    <row r="5260" spans="1:7" x14ac:dyDescent="0.25">
      <c r="A5260" s="17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IFERROR(VLOOKUP(B5260,'Diciembre 2023'!$B$2:$G$5822,4,0),"")</f>
        <v>BM</v>
      </c>
    </row>
    <row r="5261" spans="1:7" x14ac:dyDescent="0.25">
      <c r="A5261" s="17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tr">
        <f>IFERROR(VLOOKUP(B5261,'Diciembre 2023'!$B$2:$G$5822,4,0),"")</f>
        <v>BM</v>
      </c>
    </row>
    <row r="5262" spans="1:7" x14ac:dyDescent="0.25">
      <c r="A5262" s="17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IFERROR(VLOOKUP(B5262,'Diciembre 2023'!$B$2:$G$5822,4,0),"")</f>
        <v>BM</v>
      </c>
    </row>
    <row r="5263" spans="1:7" x14ac:dyDescent="0.25">
      <c r="A5263" s="17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IFERROR(VLOOKUP(B5263,'Diciembre 2023'!$B$2:$G$5822,4,0),"")</f>
        <v>BM</v>
      </c>
    </row>
    <row r="5264" spans="1:7" x14ac:dyDescent="0.25">
      <c r="A5264" s="17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IFERROR(VLOOKUP(B5264,'Diciembre 2023'!$B$2:$G$5822,4,0),"")</f>
        <v>BM</v>
      </c>
    </row>
    <row r="5265" spans="1:7" x14ac:dyDescent="0.25">
      <c r="A5265" s="17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IFERROR(VLOOKUP(B5265,'Diciembre 2023'!$B$2:$G$5822,4,0),"")</f>
        <v>BM</v>
      </c>
    </row>
    <row r="5266" spans="1:7" x14ac:dyDescent="0.25">
      <c r="A5266" s="17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IFERROR(VLOOKUP(B5266,'Diciembre 2023'!$B$2:$G$5822,4,0),"")</f>
        <v>INACTBM</v>
      </c>
    </row>
    <row r="5267" spans="1:7" x14ac:dyDescent="0.25">
      <c r="A5267" s="17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IFERROR(VLOOKUP(B5267,'Diciembre 2023'!$B$2:$G$5822,4,0),"")</f>
        <v>BM</v>
      </c>
    </row>
    <row r="5268" spans="1:7" x14ac:dyDescent="0.25">
      <c r="A5268" s="17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IFERROR(VLOOKUP(B5268,'Diciembre 2023'!$B$2:$G$5822,4,0),"")</f>
        <v>BM</v>
      </c>
    </row>
    <row r="5269" spans="1:7" x14ac:dyDescent="0.25">
      <c r="A5269" s="17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IFERROR(VLOOKUP(B5269,'Diciembre 2023'!$B$2:$G$5822,4,0),"")</f>
        <v>BM</v>
      </c>
    </row>
    <row r="5270" spans="1:7" x14ac:dyDescent="0.25">
      <c r="A5270" s="17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IFERROR(VLOOKUP(B5270,'Diciembre 2023'!$B$2:$G$5822,4,0),"")</f>
        <v>BM</v>
      </c>
    </row>
    <row r="5271" spans="1:7" x14ac:dyDescent="0.25">
      <c r="A5271" s="17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IFERROR(VLOOKUP(B5271,'Diciembre 2023'!$B$2:$G$5822,4,0),"")</f>
        <v>BM</v>
      </c>
    </row>
    <row r="5272" spans="1:7" x14ac:dyDescent="0.25">
      <c r="A5272" s="17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IFERROR(VLOOKUP(B5272,'Diciembre 2023'!$B$2:$G$5822,4,0),"")</f>
        <v>BM</v>
      </c>
    </row>
    <row r="5273" spans="1:7" x14ac:dyDescent="0.25">
      <c r="A5273" s="17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tr">
        <f>IFERROR(VLOOKUP(B5273,'Diciembre 2023'!$B$2:$G$5822,4,0),"")</f>
        <v>INACTBM</v>
      </c>
    </row>
    <row r="5274" spans="1:7" x14ac:dyDescent="0.25">
      <c r="A5274" s="17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IFERROR(VLOOKUP(B5274,'Diciembre 2023'!$B$2:$G$5822,4,0),"")</f>
        <v>BM</v>
      </c>
    </row>
    <row r="5275" spans="1:7" x14ac:dyDescent="0.25">
      <c r="A5275" s="17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IFERROR(VLOOKUP(B5275,'Diciembre 2023'!$B$2:$G$5822,4,0),"")</f>
        <v>BM</v>
      </c>
    </row>
    <row r="5276" spans="1:7" x14ac:dyDescent="0.25">
      <c r="A5276" s="17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IFERROR(VLOOKUP(B5276,'Diciembre 2023'!$B$2:$G$5822,4,0),"")</f>
        <v>BM</v>
      </c>
    </row>
    <row r="5277" spans="1:7" x14ac:dyDescent="0.25">
      <c r="A5277" s="17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IFERROR(VLOOKUP(B5277,'Diciembre 2023'!$B$2:$G$5822,4,0),"")</f>
        <v>BM</v>
      </c>
    </row>
    <row r="5278" spans="1:7" x14ac:dyDescent="0.25">
      <c r="A5278" s="17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IFERROR(VLOOKUP(B5278,'Diciembre 2023'!$B$2:$G$5822,4,0),"")</f>
        <v>BM</v>
      </c>
    </row>
    <row r="5279" spans="1:7" x14ac:dyDescent="0.25">
      <c r="A5279" s="17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IFERROR(VLOOKUP(B5279,'Diciembre 2023'!$B$2:$G$5822,4,0),"")</f>
        <v>BM</v>
      </c>
    </row>
    <row r="5280" spans="1:7" x14ac:dyDescent="0.25">
      <c r="A5280" s="17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IFERROR(VLOOKUP(B5280,'Diciembre 2023'!$B$2:$G$5822,4,0),"")</f>
        <v>BM</v>
      </c>
    </row>
    <row r="5281" spans="1:7" x14ac:dyDescent="0.25">
      <c r="A5281" s="17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IFERROR(VLOOKUP(B5281,'Diciembre 2023'!$B$2:$G$5822,4,0),"")</f>
        <v>BM</v>
      </c>
    </row>
    <row r="5282" spans="1:7" x14ac:dyDescent="0.25">
      <c r="A5282" s="17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IFERROR(VLOOKUP(B5282,'Diciembre 2023'!$B$2:$G$5822,4,0),"")</f>
        <v>BM</v>
      </c>
    </row>
    <row r="5283" spans="1:7" x14ac:dyDescent="0.25">
      <c r="A5283" s="17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tr">
        <f>IFERROR(VLOOKUP(B5283,'Diciembre 2023'!$B$2:$G$5822,4,0),"")</f>
        <v>BM</v>
      </c>
    </row>
    <row r="5284" spans="1:7" x14ac:dyDescent="0.25">
      <c r="A5284" s="17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IFERROR(VLOOKUP(B5284,'Diciembre 2023'!$B$2:$G$5822,4,0),"")</f>
        <v>BM</v>
      </c>
    </row>
    <row r="5285" spans="1:7" x14ac:dyDescent="0.25">
      <c r="A5285" s="17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IFERROR(VLOOKUP(B5285,'Diciembre 2023'!$B$2:$G$5822,4,0),"")</f>
        <v>BM</v>
      </c>
    </row>
    <row r="5286" spans="1:7" x14ac:dyDescent="0.25">
      <c r="A5286" s="17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IFERROR(VLOOKUP(B5286,'Diciembre 2023'!$B$2:$G$5822,4,0),"")</f>
        <v>BM</v>
      </c>
    </row>
    <row r="5287" spans="1:7" x14ac:dyDescent="0.25">
      <c r="A5287" s="17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IFERROR(VLOOKUP(B5287,'Diciembre 2023'!$B$2:$G$5822,4,0),"")</f>
        <v>BM</v>
      </c>
    </row>
    <row r="5288" spans="1:7" x14ac:dyDescent="0.25">
      <c r="A5288" s="17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IFERROR(VLOOKUP(B5288,'Diciembre 2023'!$B$2:$G$5822,4,0),"")</f>
        <v>BM</v>
      </c>
    </row>
    <row r="5289" spans="1:7" x14ac:dyDescent="0.25">
      <c r="A5289" s="17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IFERROR(VLOOKUP(B5289,'Diciembre 2023'!$B$2:$G$5822,4,0),"")</f>
        <v>BM</v>
      </c>
    </row>
    <row r="5290" spans="1:7" x14ac:dyDescent="0.25">
      <c r="A5290" s="17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IFERROR(VLOOKUP(B5290,'Diciembre 2023'!$B$2:$G$5822,4,0),"")</f>
        <v>BM</v>
      </c>
    </row>
    <row r="5291" spans="1:7" x14ac:dyDescent="0.25">
      <c r="A5291" s="17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IFERROR(VLOOKUP(B5291,'Diciembre 2023'!$B$2:$G$5822,4,0),"")</f>
        <v>BM</v>
      </c>
    </row>
    <row r="5292" spans="1:7" x14ac:dyDescent="0.25">
      <c r="A5292" s="17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IFERROR(VLOOKUP(B5292,'Diciembre 2023'!$B$2:$G$5822,4,0),"")</f>
        <v>BM</v>
      </c>
    </row>
    <row r="5293" spans="1:7" x14ac:dyDescent="0.25">
      <c r="A5293" s="17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IFERROR(VLOOKUP(B5293,'Diciembre 2023'!$B$2:$G$5822,4,0),"")</f>
        <v>BM</v>
      </c>
    </row>
    <row r="5294" spans="1:7" x14ac:dyDescent="0.25">
      <c r="A5294" s="17"/>
      <c r="B5294" s="4" t="s">
        <v>5772</v>
      </c>
      <c r="C5294" s="4" t="s">
        <v>11</v>
      </c>
      <c r="D5294" s="4" t="s">
        <v>11</v>
      </c>
      <c r="E5294" s="4" t="s">
        <v>11</v>
      </c>
      <c r="F5294" s="4" t="s">
        <v>1191</v>
      </c>
      <c r="G5294" s="5" t="str">
        <f>IFERROR(VLOOKUP(B5294,'Diciembre 2023'!$B$2:$G$5822,4,0),"")</f>
        <v>BM</v>
      </c>
    </row>
    <row r="5295" spans="1:7" x14ac:dyDescent="0.25">
      <c r="A5295" s="17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IFERROR(VLOOKUP(B5295,'Diciembre 2023'!$B$2:$G$5822,4,0),"")</f>
        <v>BM</v>
      </c>
    </row>
    <row r="5296" spans="1:7" x14ac:dyDescent="0.25">
      <c r="A5296" s="17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IFERROR(VLOOKUP(B5296,'Diciembre 2023'!$B$2:$G$5822,4,0),"")</f>
        <v>BM</v>
      </c>
    </row>
    <row r="5297" spans="1:7" x14ac:dyDescent="0.25">
      <c r="A5297" s="17"/>
      <c r="B5297" s="4" t="s">
        <v>5654</v>
      </c>
      <c r="C5297" s="4" t="s">
        <v>11</v>
      </c>
      <c r="D5297" s="4" t="s">
        <v>11</v>
      </c>
      <c r="E5297" s="4" t="s">
        <v>11</v>
      </c>
      <c r="F5297" s="4" t="s">
        <v>1187</v>
      </c>
      <c r="G5297" s="5" t="str">
        <f>IFERROR(VLOOKUP(B5297,'Diciembre 2023'!$B$2:$G$5822,4,0),"")</f>
        <v>BM</v>
      </c>
    </row>
    <row r="5298" spans="1:7" x14ac:dyDescent="0.25">
      <c r="A5298" s="17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IFERROR(VLOOKUP(B5298,'Diciembre 2023'!$B$2:$G$5822,4,0),"")</f>
        <v>BM</v>
      </c>
    </row>
    <row r="5299" spans="1:7" x14ac:dyDescent="0.25">
      <c r="A5299" s="17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IFERROR(VLOOKUP(B5299,'Diciembre 2023'!$B$2:$G$5822,4,0),"")</f>
        <v>BM</v>
      </c>
    </row>
    <row r="5300" spans="1:7" x14ac:dyDescent="0.25">
      <c r="A5300" s="17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IFERROR(VLOOKUP(B5300,'Diciembre 2023'!$B$2:$G$5822,4,0),"")</f>
        <v>BM</v>
      </c>
    </row>
    <row r="5301" spans="1:7" x14ac:dyDescent="0.25">
      <c r="A5301" s="17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IFERROR(VLOOKUP(B5301,'Diciembre 2023'!$B$2:$G$5822,4,0),"")</f>
        <v>BM</v>
      </c>
    </row>
    <row r="5302" spans="1:7" x14ac:dyDescent="0.25">
      <c r="A5302" s="17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IFERROR(VLOOKUP(B5302,'Diciembre 2023'!$B$2:$G$5822,4,0),"")</f>
        <v>BM</v>
      </c>
    </row>
    <row r="5303" spans="1:7" x14ac:dyDescent="0.25">
      <c r="A5303" s="17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IFERROR(VLOOKUP(B5303,'Diciembre 2023'!$B$2:$G$5822,4,0),"")</f>
        <v>BM</v>
      </c>
    </row>
    <row r="5304" spans="1:7" x14ac:dyDescent="0.25">
      <c r="A5304" s="17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IFERROR(VLOOKUP(B5304,'Diciembre 2023'!$B$2:$G$5822,4,0),"")</f>
        <v>BM</v>
      </c>
    </row>
    <row r="5305" spans="1:7" x14ac:dyDescent="0.25">
      <c r="A5305" s="17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IFERROR(VLOOKUP(B5305,'Diciembre 2023'!$B$2:$G$5822,4,0),"")</f>
        <v>BM</v>
      </c>
    </row>
    <row r="5306" spans="1:7" x14ac:dyDescent="0.25">
      <c r="A5306" s="17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IFERROR(VLOOKUP(B5306,'Diciembre 2023'!$B$2:$G$5822,4,0),"")</f>
        <v>BM</v>
      </c>
    </row>
    <row r="5307" spans="1:7" x14ac:dyDescent="0.25">
      <c r="A5307" s="17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IFERROR(VLOOKUP(B5307,'Diciembre 2023'!$B$2:$G$5822,4,0),"")</f>
        <v>BM</v>
      </c>
    </row>
    <row r="5308" spans="1:7" x14ac:dyDescent="0.25">
      <c r="A5308" s="17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IFERROR(VLOOKUP(B5308,'Diciembre 2023'!$B$2:$G$5822,4,0),"")</f>
        <v>BM</v>
      </c>
    </row>
    <row r="5309" spans="1:7" x14ac:dyDescent="0.25">
      <c r="A5309" s="17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IFERROR(VLOOKUP(B5309,'Diciembre 2023'!$B$2:$G$5822,4,0),"")</f>
        <v>BM</v>
      </c>
    </row>
    <row r="5310" spans="1:7" x14ac:dyDescent="0.25">
      <c r="A5310" s="17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IFERROR(VLOOKUP(B5310,'Diciembre 2023'!$B$2:$G$5822,4,0),"")</f>
        <v>BM</v>
      </c>
    </row>
    <row r="5311" spans="1:7" x14ac:dyDescent="0.25">
      <c r="A5311" s="17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IFERROR(VLOOKUP(B5311,'Diciembre 2023'!$B$2:$G$5822,4,0),"")</f>
        <v>BM</v>
      </c>
    </row>
    <row r="5312" spans="1:7" x14ac:dyDescent="0.25">
      <c r="A5312" s="17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IFERROR(VLOOKUP(B5312,'Diciembre 2023'!$B$2:$G$5822,4,0),"")</f>
        <v>BM</v>
      </c>
    </row>
    <row r="5313" spans="1:7" x14ac:dyDescent="0.25">
      <c r="A5313" s="17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IFERROR(VLOOKUP(B5313,'Diciembre 2023'!$B$2:$G$5822,4,0),"")</f>
        <v>BM</v>
      </c>
    </row>
    <row r="5314" spans="1:7" x14ac:dyDescent="0.25">
      <c r="A5314" s="17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IFERROR(VLOOKUP(B5314,'Diciembre 2023'!$B$2:$G$5822,4,0),"")</f>
        <v>BM</v>
      </c>
    </row>
    <row r="5315" spans="1:7" x14ac:dyDescent="0.25">
      <c r="A5315" s="17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IFERROR(VLOOKUP(B5315,'Diciembre 2023'!$B$2:$G$5822,4,0),"")</f>
        <v>BM</v>
      </c>
    </row>
    <row r="5316" spans="1:7" x14ac:dyDescent="0.25">
      <c r="A5316" s="17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IFERROR(VLOOKUP(B5316,'Diciembre 2023'!$B$2:$G$5822,4,0),"")</f>
        <v>BM</v>
      </c>
    </row>
    <row r="5317" spans="1:7" x14ac:dyDescent="0.25">
      <c r="A5317" s="17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IFERROR(VLOOKUP(B5317,'Diciembre 2023'!$B$2:$G$5822,4,0),"")</f>
        <v>BM</v>
      </c>
    </row>
    <row r="5318" spans="1:7" x14ac:dyDescent="0.25">
      <c r="A5318" s="17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IFERROR(VLOOKUP(B5318,'Diciembre 2023'!$B$2:$G$5822,4,0),"")</f>
        <v>BM</v>
      </c>
    </row>
    <row r="5319" spans="1:7" x14ac:dyDescent="0.25">
      <c r="A5319" s="17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IFERROR(VLOOKUP(B5319,'Diciembre 2023'!$B$2:$G$5822,4,0),"")</f>
        <v>BM</v>
      </c>
    </row>
    <row r="5320" spans="1:7" x14ac:dyDescent="0.25">
      <c r="A5320" s="17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IFERROR(VLOOKUP(B5320,'Diciembre 2023'!$B$2:$G$5822,4,0),"")</f>
        <v>INACTBM</v>
      </c>
    </row>
    <row r="5321" spans="1:7" x14ac:dyDescent="0.25">
      <c r="A5321" s="17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IFERROR(VLOOKUP(B5321,'Diciembre 2023'!$B$2:$G$5822,4,0),"")</f>
        <v>BM</v>
      </c>
    </row>
    <row r="5322" spans="1:7" x14ac:dyDescent="0.25">
      <c r="A5322" s="17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IFERROR(VLOOKUP(B5322,'Diciembre 2023'!$B$2:$G$5822,4,0),"")</f>
        <v>BM</v>
      </c>
    </row>
    <row r="5323" spans="1:7" x14ac:dyDescent="0.25">
      <c r="A5323" s="17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IFERROR(VLOOKUP(B5323,'Diciembre 2023'!$B$2:$G$5822,4,0),"")</f>
        <v>BM</v>
      </c>
    </row>
    <row r="5324" spans="1:7" x14ac:dyDescent="0.25">
      <c r="A5324" s="17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IFERROR(VLOOKUP(B5324,'Diciembre 2023'!$B$2:$G$5822,4,0),"")</f>
        <v>BM</v>
      </c>
    </row>
    <row r="5325" spans="1:7" x14ac:dyDescent="0.25">
      <c r="A5325" s="17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IFERROR(VLOOKUP(B5325,'Diciembre 2023'!$B$2:$G$5822,4,0),"")</f>
        <v>BM</v>
      </c>
    </row>
    <row r="5326" spans="1:7" x14ac:dyDescent="0.25">
      <c r="A5326" s="17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IFERROR(VLOOKUP(B5326,'Diciembre 2023'!$B$2:$G$5822,4,0),"")</f>
        <v>BM</v>
      </c>
    </row>
    <row r="5327" spans="1:7" x14ac:dyDescent="0.25">
      <c r="A5327" s="17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IFERROR(VLOOKUP(B5327,'Diciembre 2023'!$B$2:$G$5822,4,0),"")</f>
        <v>BM</v>
      </c>
    </row>
    <row r="5328" spans="1:7" x14ac:dyDescent="0.25">
      <c r="A5328" s="17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IFERROR(VLOOKUP(B5328,'Diciembre 2023'!$B$2:$G$5822,4,0),"")</f>
        <v>BM</v>
      </c>
    </row>
    <row r="5329" spans="1:7" x14ac:dyDescent="0.25">
      <c r="A5329" s="17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IFERROR(VLOOKUP(B5329,'Diciembre 2023'!$B$2:$G$5822,4,0),"")</f>
        <v>BM</v>
      </c>
    </row>
    <row r="5330" spans="1:7" x14ac:dyDescent="0.25">
      <c r="A5330" s="17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IFERROR(VLOOKUP(B5330,'Diciembre 2023'!$B$2:$G$5822,4,0),"")</f>
        <v>BM</v>
      </c>
    </row>
    <row r="5331" spans="1:7" x14ac:dyDescent="0.25">
      <c r="A5331" s="17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IFERROR(VLOOKUP(B5331,'Diciembre 2023'!$B$2:$G$5822,4,0),"")</f>
        <v>BM</v>
      </c>
    </row>
    <row r="5332" spans="1:7" x14ac:dyDescent="0.25">
      <c r="A5332" s="17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IFERROR(VLOOKUP(B5332,'Diciembre 2023'!$B$2:$G$5822,4,0),"")</f>
        <v>BM</v>
      </c>
    </row>
    <row r="5333" spans="1:7" x14ac:dyDescent="0.25">
      <c r="A5333" s="17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IFERROR(VLOOKUP(B5333,'Diciembre 2023'!$B$2:$G$5822,4,0),"")</f>
        <v>BM</v>
      </c>
    </row>
    <row r="5334" spans="1:7" x14ac:dyDescent="0.25">
      <c r="A5334" s="17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IFERROR(VLOOKUP(B5334,'Diciembre 2023'!$B$2:$G$5822,4,0),"")</f>
        <v>BM</v>
      </c>
    </row>
    <row r="5335" spans="1:7" x14ac:dyDescent="0.25">
      <c r="A5335" s="17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IFERROR(VLOOKUP(B5335,'Diciembre 2023'!$B$2:$G$5822,4,0),"")</f>
        <v>BM</v>
      </c>
    </row>
    <row r="5336" spans="1:7" x14ac:dyDescent="0.25">
      <c r="A5336" s="17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IFERROR(VLOOKUP(B5336,'Diciembre 2023'!$B$2:$G$5822,4,0),"")</f>
        <v>BM</v>
      </c>
    </row>
    <row r="5337" spans="1:7" x14ac:dyDescent="0.25">
      <c r="A5337" s="17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IFERROR(VLOOKUP(B5337,'Diciembre 2023'!$B$2:$G$5822,4,0),"")</f>
        <v>BM</v>
      </c>
    </row>
    <row r="5338" spans="1:7" x14ac:dyDescent="0.25">
      <c r="A5338" s="17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IFERROR(VLOOKUP(B5338,'Diciembre 2023'!$B$2:$G$5822,4,0),"")</f>
        <v>BM</v>
      </c>
    </row>
    <row r="5339" spans="1:7" x14ac:dyDescent="0.25">
      <c r="A5339" s="17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IFERROR(VLOOKUP(B5339,'Diciembre 2023'!$B$2:$G$5822,4,0),"")</f>
        <v>BM</v>
      </c>
    </row>
    <row r="5340" spans="1:7" x14ac:dyDescent="0.25">
      <c r="A5340" s="17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IFERROR(VLOOKUP(B5340,'Diciembre 2023'!$B$2:$G$5822,4,0),"")</f>
        <v>BM</v>
      </c>
    </row>
    <row r="5341" spans="1:7" x14ac:dyDescent="0.25">
      <c r="A5341" s="17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IFERROR(VLOOKUP(B5341,'Diciembre 2023'!$B$2:$G$5822,4,0),"")</f>
        <v>BM</v>
      </c>
    </row>
    <row r="5342" spans="1:7" x14ac:dyDescent="0.25">
      <c r="A5342" s="17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IFERROR(VLOOKUP(B5342,'Diciembre 2023'!$B$2:$G$5822,4,0),"")</f>
        <v>BM</v>
      </c>
    </row>
    <row r="5343" spans="1:7" x14ac:dyDescent="0.25">
      <c r="A5343" s="17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IFERROR(VLOOKUP(B5343,'Diciembre 2023'!$B$2:$G$5822,4,0),"")</f>
        <v>BM</v>
      </c>
    </row>
    <row r="5344" spans="1:7" x14ac:dyDescent="0.25">
      <c r="A5344" s="17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IFERROR(VLOOKUP(B5344,'Diciembre 2023'!$B$2:$G$5822,4,0),"")</f>
        <v>BM</v>
      </c>
    </row>
    <row r="5345" spans="1:7" x14ac:dyDescent="0.25">
      <c r="A5345" s="17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IFERROR(VLOOKUP(B5345,'Diciembre 2023'!$B$2:$G$5822,4,0),"")</f>
        <v>BM</v>
      </c>
    </row>
    <row r="5346" spans="1:7" x14ac:dyDescent="0.25">
      <c r="A5346" s="17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IFERROR(VLOOKUP(B5346,'Diciembre 2023'!$B$2:$G$5822,4,0),"")</f>
        <v>BM</v>
      </c>
    </row>
    <row r="5347" spans="1:7" x14ac:dyDescent="0.25">
      <c r="A5347" s="17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IFERROR(VLOOKUP(B5347,'Diciembre 2023'!$B$2:$G$5822,4,0),"")</f>
        <v>BM</v>
      </c>
    </row>
    <row r="5348" spans="1:7" x14ac:dyDescent="0.25">
      <c r="A5348" s="17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IFERROR(VLOOKUP(B5348,'Diciembre 2023'!$B$2:$G$5822,4,0),"")</f>
        <v>BM</v>
      </c>
    </row>
    <row r="5349" spans="1:7" x14ac:dyDescent="0.25">
      <c r="A5349" s="17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IFERROR(VLOOKUP(B5349,'Diciembre 2023'!$B$2:$G$5822,4,0),"")</f>
        <v>BM</v>
      </c>
    </row>
    <row r="5350" spans="1:7" x14ac:dyDescent="0.25">
      <c r="A5350" s="17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IFERROR(VLOOKUP(B5350,'Diciembre 2023'!$B$2:$G$5822,4,0),"")</f>
        <v>BM</v>
      </c>
    </row>
    <row r="5351" spans="1:7" x14ac:dyDescent="0.25">
      <c r="A5351" s="17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IFERROR(VLOOKUP(B5351,'Diciembre 2023'!$B$2:$G$5822,4,0),"")</f>
        <v>BM</v>
      </c>
    </row>
    <row r="5352" spans="1:7" x14ac:dyDescent="0.25">
      <c r="A5352" s="17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IFERROR(VLOOKUP(B5352,'Diciembre 2023'!$B$2:$G$5822,4,0),"")</f>
        <v>BM</v>
      </c>
    </row>
    <row r="5353" spans="1:7" x14ac:dyDescent="0.25">
      <c r="A5353" s="17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IFERROR(VLOOKUP(B5353,'Diciembre 2023'!$B$2:$G$5822,4,0),"")</f>
        <v>BM</v>
      </c>
    </row>
    <row r="5354" spans="1:7" x14ac:dyDescent="0.25">
      <c r="A5354" s="17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IFERROR(VLOOKUP(B5354,'Diciembre 2023'!$B$2:$G$5822,4,0),"")</f>
        <v>BM</v>
      </c>
    </row>
    <row r="5355" spans="1:7" x14ac:dyDescent="0.25">
      <c r="A5355" s="17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tr">
        <f>IFERROR(VLOOKUP(B5355,'Diciembre 2023'!$B$2:$G$5822,4,0),"")</f>
        <v>BM</v>
      </c>
    </row>
    <row r="5356" spans="1:7" x14ac:dyDescent="0.25">
      <c r="A5356" s="17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IFERROR(VLOOKUP(B5356,'Diciembre 2023'!$B$2:$G$5822,4,0),"")</f>
        <v>BM</v>
      </c>
    </row>
    <row r="5357" spans="1:7" x14ac:dyDescent="0.25">
      <c r="A5357" s="17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IFERROR(VLOOKUP(B5357,'Diciembre 2023'!$B$2:$G$5822,4,0),"")</f>
        <v>BM</v>
      </c>
    </row>
    <row r="5358" spans="1:7" x14ac:dyDescent="0.25">
      <c r="A5358" s="17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IFERROR(VLOOKUP(B5358,'Diciembre 2023'!$B$2:$G$5822,4,0),"")</f>
        <v>BM</v>
      </c>
    </row>
    <row r="5359" spans="1:7" x14ac:dyDescent="0.25">
      <c r="A5359" s="17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IFERROR(VLOOKUP(B5359,'Diciembre 2023'!$B$2:$G$5822,4,0),"")</f>
        <v>BM</v>
      </c>
    </row>
    <row r="5360" spans="1:7" x14ac:dyDescent="0.25">
      <c r="A5360" s="17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IFERROR(VLOOKUP(B5360,'Diciembre 2023'!$B$2:$G$5822,4,0),"")</f>
        <v>BM</v>
      </c>
    </row>
    <row r="5361" spans="1:7" x14ac:dyDescent="0.25">
      <c r="A5361" s="17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IFERROR(VLOOKUP(B5361,'Diciembre 2023'!$B$2:$G$5822,4,0),"")</f>
        <v>BM</v>
      </c>
    </row>
    <row r="5362" spans="1:7" x14ac:dyDescent="0.25">
      <c r="A5362" s="17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IFERROR(VLOOKUP(B5362,'Diciembre 2023'!$B$2:$G$5822,4,0),"")</f>
        <v>BM</v>
      </c>
    </row>
    <row r="5363" spans="1:7" x14ac:dyDescent="0.25">
      <c r="A5363" s="17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IFERROR(VLOOKUP(B5363,'Diciembre 2023'!$B$2:$G$5822,4,0),"")</f>
        <v>INACTBM</v>
      </c>
    </row>
    <row r="5364" spans="1:7" x14ac:dyDescent="0.25">
      <c r="A5364" s="17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IFERROR(VLOOKUP(B5364,'Diciembre 2023'!$B$2:$G$5822,4,0),"")</f>
        <v>BM</v>
      </c>
    </row>
    <row r="5365" spans="1:7" x14ac:dyDescent="0.25">
      <c r="A5365" s="17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IFERROR(VLOOKUP(B5365,'Diciembre 2023'!$B$2:$G$5822,4,0),"")</f>
        <v>BM</v>
      </c>
    </row>
    <row r="5366" spans="1:7" x14ac:dyDescent="0.25">
      <c r="A5366" s="17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IFERROR(VLOOKUP(B5366,'Diciembre 2023'!$B$2:$G$5822,4,0),"")</f>
        <v>BM</v>
      </c>
    </row>
    <row r="5367" spans="1:7" x14ac:dyDescent="0.25">
      <c r="A5367" s="17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IFERROR(VLOOKUP(B5367,'Diciembre 2023'!$B$2:$G$5822,4,0),"")</f>
        <v>BM</v>
      </c>
    </row>
    <row r="5368" spans="1:7" x14ac:dyDescent="0.25">
      <c r="A5368" s="17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IFERROR(VLOOKUP(B5368,'Diciembre 2023'!$B$2:$G$5822,4,0),"")</f>
        <v>BM</v>
      </c>
    </row>
    <row r="5369" spans="1:7" x14ac:dyDescent="0.25">
      <c r="A5369" s="17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IFERROR(VLOOKUP(B5369,'Diciembre 2023'!$B$2:$G$5822,4,0),"")</f>
        <v>BM</v>
      </c>
    </row>
    <row r="5370" spans="1:7" x14ac:dyDescent="0.25">
      <c r="A5370" s="17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IFERROR(VLOOKUP(B5370,'Diciembre 2023'!$B$2:$G$5822,4,0),"")</f>
        <v>BM</v>
      </c>
    </row>
    <row r="5371" spans="1:7" x14ac:dyDescent="0.25">
      <c r="A5371" s="17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IFERROR(VLOOKUP(B5371,'Diciembre 2023'!$B$2:$G$5822,4,0),"")</f>
        <v>BM</v>
      </c>
    </row>
    <row r="5372" spans="1:7" x14ac:dyDescent="0.25">
      <c r="A5372" s="17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IFERROR(VLOOKUP(B5372,'Diciembre 2023'!$B$2:$G$5822,4,0),"")</f>
        <v>BM</v>
      </c>
    </row>
    <row r="5373" spans="1:7" x14ac:dyDescent="0.25">
      <c r="A5373" s="17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IFERROR(VLOOKUP(B5373,'Diciembre 2023'!$B$2:$G$5822,4,0),"")</f>
        <v>BM</v>
      </c>
    </row>
    <row r="5374" spans="1:7" x14ac:dyDescent="0.25">
      <c r="A5374" s="17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tr">
        <f>IFERROR(VLOOKUP(B5374,'Diciembre 2023'!$B$2:$G$5822,4,0),"")</f>
        <v>BM</v>
      </c>
    </row>
    <row r="5375" spans="1:7" x14ac:dyDescent="0.25">
      <c r="A5375" s="17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IFERROR(VLOOKUP(B5375,'Diciembre 2023'!$B$2:$G$5822,4,0),"")</f>
        <v>BM</v>
      </c>
    </row>
    <row r="5376" spans="1:7" x14ac:dyDescent="0.25">
      <c r="A5376" s="17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IFERROR(VLOOKUP(B5376,'Diciembre 2023'!$B$2:$G$5822,4,0),"")</f>
        <v>BM</v>
      </c>
    </row>
    <row r="5377" spans="1:7" x14ac:dyDescent="0.25">
      <c r="A5377" s="17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IFERROR(VLOOKUP(B5377,'Diciembre 2023'!$B$2:$G$5822,4,0),"")</f>
        <v>BM</v>
      </c>
    </row>
    <row r="5378" spans="1:7" x14ac:dyDescent="0.25">
      <c r="A5378" s="17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IFERROR(VLOOKUP(B5378,'Diciembre 2023'!$B$2:$G$5822,4,0),"")</f>
        <v>BM</v>
      </c>
    </row>
    <row r="5379" spans="1:7" x14ac:dyDescent="0.25">
      <c r="A5379" s="17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IFERROR(VLOOKUP(B5379,'Diciembre 2023'!$B$2:$G$5822,4,0),"")</f>
        <v>BM</v>
      </c>
    </row>
    <row r="5380" spans="1:7" x14ac:dyDescent="0.25">
      <c r="A5380" s="17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IFERROR(VLOOKUP(B5380,'Diciembre 2023'!$B$2:$G$5822,4,0),"")</f>
        <v>BM</v>
      </c>
    </row>
    <row r="5381" spans="1:7" x14ac:dyDescent="0.25">
      <c r="A5381" s="17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IFERROR(VLOOKUP(B5381,'Diciembre 2023'!$B$2:$G$5822,4,0),"")</f>
        <v>BM</v>
      </c>
    </row>
    <row r="5382" spans="1:7" x14ac:dyDescent="0.25">
      <c r="A5382" s="17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IFERROR(VLOOKUP(B5382,'Diciembre 2023'!$B$2:$G$5822,4,0),"")</f>
        <v>BM</v>
      </c>
    </row>
    <row r="5383" spans="1:7" x14ac:dyDescent="0.25">
      <c r="A5383" s="17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IFERROR(VLOOKUP(B5383,'Diciembre 2023'!$B$2:$G$5822,4,0),"")</f>
        <v>BM</v>
      </c>
    </row>
    <row r="5384" spans="1:7" x14ac:dyDescent="0.25">
      <c r="A5384" s="17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IFERROR(VLOOKUP(B5384,'Diciembre 2023'!$B$2:$G$5822,4,0),"")</f>
        <v>BM</v>
      </c>
    </row>
    <row r="5385" spans="1:7" x14ac:dyDescent="0.25">
      <c r="A5385" s="17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IFERROR(VLOOKUP(B5385,'Diciembre 2023'!$B$2:$G$5822,4,0),"")</f>
        <v>BM</v>
      </c>
    </row>
    <row r="5386" spans="1:7" x14ac:dyDescent="0.25">
      <c r="A5386" s="17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IFERROR(VLOOKUP(B5386,'Diciembre 2023'!$B$2:$G$5822,4,0),"")</f>
        <v>BM</v>
      </c>
    </row>
    <row r="5387" spans="1:7" x14ac:dyDescent="0.25">
      <c r="A5387" s="17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IFERROR(VLOOKUP(B5387,'Diciembre 2023'!$B$2:$G$5822,4,0),"")</f>
        <v>BM</v>
      </c>
    </row>
    <row r="5388" spans="1:7" x14ac:dyDescent="0.25">
      <c r="A5388" s="17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IFERROR(VLOOKUP(B5388,'Diciembre 2023'!$B$2:$G$5822,4,0),"")</f>
        <v>BM</v>
      </c>
    </row>
    <row r="5389" spans="1:7" x14ac:dyDescent="0.25">
      <c r="A5389" s="17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IFERROR(VLOOKUP(B5389,'Diciembre 2023'!$B$2:$G$5822,4,0),"")</f>
        <v>BM</v>
      </c>
    </row>
    <row r="5390" spans="1:7" x14ac:dyDescent="0.25">
      <c r="A5390" s="17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IFERROR(VLOOKUP(B5390,'Diciembre 2023'!$B$2:$G$5822,4,0),"")</f>
        <v>BM</v>
      </c>
    </row>
    <row r="5391" spans="1:7" x14ac:dyDescent="0.25">
      <c r="A5391" s="17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IFERROR(VLOOKUP(B5391,'Diciembre 2023'!$B$2:$G$5822,4,0),"")</f>
        <v>BM</v>
      </c>
    </row>
    <row r="5392" spans="1:7" x14ac:dyDescent="0.25">
      <c r="A5392" s="17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IFERROR(VLOOKUP(B5392,'Diciembre 2023'!$B$2:$G$5822,4,0),"")</f>
        <v>BM</v>
      </c>
    </row>
    <row r="5393" spans="1:7" x14ac:dyDescent="0.25">
      <c r="A5393" s="17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IFERROR(VLOOKUP(B5393,'Diciembre 2023'!$B$2:$G$5822,4,0),"")</f>
        <v>BM</v>
      </c>
    </row>
    <row r="5394" spans="1:7" x14ac:dyDescent="0.25">
      <c r="A5394" s="17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IFERROR(VLOOKUP(B5394,'Diciembre 2023'!$B$2:$G$5822,4,0),"")</f>
        <v>BM</v>
      </c>
    </row>
    <row r="5395" spans="1:7" x14ac:dyDescent="0.25">
      <c r="A5395" s="17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IFERROR(VLOOKUP(B5395,'Diciembre 2023'!$B$2:$G$5822,4,0),"")</f>
        <v>BM</v>
      </c>
    </row>
    <row r="5396" spans="1:7" x14ac:dyDescent="0.25">
      <c r="A5396" s="17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IFERROR(VLOOKUP(B5396,'Diciembre 2023'!$B$2:$G$5822,4,0),"")</f>
        <v>BM</v>
      </c>
    </row>
    <row r="5397" spans="1:7" x14ac:dyDescent="0.25">
      <c r="A5397" s="17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IFERROR(VLOOKUP(B5397,'Diciembre 2023'!$B$2:$G$5822,4,0),"")</f>
        <v>BM</v>
      </c>
    </row>
    <row r="5398" spans="1:7" x14ac:dyDescent="0.25">
      <c r="A5398" s="17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IFERROR(VLOOKUP(B5398,'Diciembre 2023'!$B$2:$G$5822,4,0),"")</f>
        <v>BM</v>
      </c>
    </row>
    <row r="5399" spans="1:7" x14ac:dyDescent="0.25">
      <c r="A5399" s="17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IFERROR(VLOOKUP(B5399,'Diciembre 2023'!$B$2:$G$5822,4,0),"")</f>
        <v>BM</v>
      </c>
    </row>
    <row r="5400" spans="1:7" x14ac:dyDescent="0.25">
      <c r="A5400" s="17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IFERROR(VLOOKUP(B5400,'Diciembre 2023'!$B$2:$G$5822,4,0),"")</f>
        <v>BM</v>
      </c>
    </row>
    <row r="5401" spans="1:7" x14ac:dyDescent="0.25">
      <c r="A5401" s="17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tr">
        <f>IFERROR(VLOOKUP(B5401,'Diciembre 2023'!$B$2:$G$5822,4,0),"")</f>
        <v>BM</v>
      </c>
    </row>
    <row r="5402" spans="1:7" x14ac:dyDescent="0.25">
      <c r="A5402" s="17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IFERROR(VLOOKUP(B5402,'Diciembre 2023'!$B$2:$G$5822,4,0),"")</f>
        <v>BM</v>
      </c>
    </row>
    <row r="5403" spans="1:7" x14ac:dyDescent="0.25">
      <c r="A5403" s="17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IFERROR(VLOOKUP(B5403,'Diciembre 2023'!$B$2:$G$5822,4,0),"")</f>
        <v>BM</v>
      </c>
    </row>
    <row r="5404" spans="1:7" x14ac:dyDescent="0.25">
      <c r="A5404" s="17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IFERROR(VLOOKUP(B5404,'Diciembre 2023'!$B$2:$G$5822,4,0),"")</f>
        <v>BM</v>
      </c>
    </row>
    <row r="5405" spans="1:7" x14ac:dyDescent="0.25">
      <c r="A5405" s="17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IFERROR(VLOOKUP(B5405,'Diciembre 2023'!$B$2:$G$5822,4,0),"")</f>
        <v>BM</v>
      </c>
    </row>
    <row r="5406" spans="1:7" x14ac:dyDescent="0.25">
      <c r="A5406" s="17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IFERROR(VLOOKUP(B5406,'Diciembre 2023'!$B$2:$G$5822,4,0),"")</f>
        <v>BM</v>
      </c>
    </row>
    <row r="5407" spans="1:7" x14ac:dyDescent="0.25">
      <c r="A5407" s="17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IFERROR(VLOOKUP(B5407,'Diciembre 2023'!$B$2:$G$5822,4,0),"")</f>
        <v>BM</v>
      </c>
    </row>
    <row r="5408" spans="1:7" x14ac:dyDescent="0.25">
      <c r="A5408" s="17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IFERROR(VLOOKUP(B5408,'Diciembre 2023'!$B$2:$G$5822,4,0),"")</f>
        <v>INACTBM</v>
      </c>
    </row>
    <row r="5409" spans="1:7" x14ac:dyDescent="0.25">
      <c r="A5409" s="17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IFERROR(VLOOKUP(B5409,'Diciembre 2023'!$B$2:$G$5822,4,0),"")</f>
        <v>BM</v>
      </c>
    </row>
    <row r="5410" spans="1:7" x14ac:dyDescent="0.25">
      <c r="A5410" s="17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IFERROR(VLOOKUP(B5410,'Diciembre 2023'!$B$2:$G$5822,4,0),"")</f>
        <v>BM</v>
      </c>
    </row>
    <row r="5411" spans="1:7" x14ac:dyDescent="0.25">
      <c r="A5411" s="17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IFERROR(VLOOKUP(B5411,'Diciembre 2023'!$B$2:$G$5822,4,0),"")</f>
        <v>BM</v>
      </c>
    </row>
    <row r="5412" spans="1:7" x14ac:dyDescent="0.25">
      <c r="A5412" s="17"/>
      <c r="B5412" s="4" t="s">
        <v>5841</v>
      </c>
      <c r="C5412" s="4" t="s">
        <v>11</v>
      </c>
      <c r="D5412" s="4" t="s">
        <v>11</v>
      </c>
      <c r="E5412" s="4" t="s">
        <v>11</v>
      </c>
      <c r="F5412" s="4" t="s">
        <v>137</v>
      </c>
      <c r="G5412" s="5" t="str">
        <f>IFERROR(VLOOKUP(B5412,'Diciembre 2023'!$B$2:$G$5822,4,0),"")</f>
        <v>BM</v>
      </c>
    </row>
    <row r="5413" spans="1:7" x14ac:dyDescent="0.25">
      <c r="A5413" s="17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IFERROR(VLOOKUP(B5413,'Diciembre 2023'!$B$2:$G$5822,4,0),"")</f>
        <v>BM</v>
      </c>
    </row>
    <row r="5414" spans="1:7" x14ac:dyDescent="0.25">
      <c r="A5414" s="17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IFERROR(VLOOKUP(B5414,'Diciembre 2023'!$B$2:$G$5822,4,0),"")</f>
        <v>BM</v>
      </c>
    </row>
    <row r="5415" spans="1:7" x14ac:dyDescent="0.25">
      <c r="A5415" s="17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IFERROR(VLOOKUP(B5415,'Diciembre 2023'!$B$2:$G$5822,4,0),"")</f>
        <v>BM</v>
      </c>
    </row>
    <row r="5416" spans="1:7" x14ac:dyDescent="0.25">
      <c r="A5416" s="17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IFERROR(VLOOKUP(B5416,'Diciembre 2023'!$B$2:$G$5822,4,0),"")</f>
        <v>INACTBM</v>
      </c>
    </row>
    <row r="5417" spans="1:7" x14ac:dyDescent="0.25">
      <c r="A5417" s="17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IFERROR(VLOOKUP(B5417,'Diciembre 2023'!$B$2:$G$5822,4,0),"")</f>
        <v>BM</v>
      </c>
    </row>
    <row r="5418" spans="1:7" x14ac:dyDescent="0.25">
      <c r="A5418" s="17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IFERROR(VLOOKUP(B5418,'Diciembre 2023'!$B$2:$G$5822,4,0),"")</f>
        <v>BM</v>
      </c>
    </row>
    <row r="5419" spans="1:7" x14ac:dyDescent="0.25">
      <c r="A5419" s="17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IFERROR(VLOOKUP(B5419,'Diciembre 2023'!$B$2:$G$5822,4,0),"")</f>
        <v>BM</v>
      </c>
    </row>
    <row r="5420" spans="1:7" x14ac:dyDescent="0.25">
      <c r="A5420" s="17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IFERROR(VLOOKUP(B5420,'Diciembre 2023'!$B$2:$G$5822,4,0),"")</f>
        <v>APA_PC</v>
      </c>
    </row>
    <row r="5421" spans="1:7" x14ac:dyDescent="0.25">
      <c r="A5421" s="17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IFERROR(VLOOKUP(B5421,'Diciembre 2023'!$B$2:$G$5822,4,0),"")</f>
        <v>APA_PC</v>
      </c>
    </row>
    <row r="5422" spans="1:7" x14ac:dyDescent="0.25">
      <c r="A5422" s="17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IFERROR(VLOOKUP(B5422,'Diciembre 2023'!$B$2:$G$5822,4,0),"")</f>
        <v>APA_PC</v>
      </c>
    </row>
    <row r="5423" spans="1:7" x14ac:dyDescent="0.25">
      <c r="A5423" s="17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IFERROR(VLOOKUP(B5423,'Diciembre 2023'!$B$2:$G$5822,4,0),"")</f>
        <v>APA_PC</v>
      </c>
    </row>
    <row r="5424" spans="1:7" x14ac:dyDescent="0.25">
      <c r="A5424" s="17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IFERROR(VLOOKUP(B5424,'Diciembre 2023'!$B$2:$G$5822,4,0),"")</f>
        <v>BM</v>
      </c>
    </row>
    <row r="5425" spans="1:7" x14ac:dyDescent="0.25">
      <c r="A5425" s="17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IFERROR(VLOOKUP(B5425,'Diciembre 2023'!$B$2:$G$5822,4,0),"")</f>
        <v>APA_PC</v>
      </c>
    </row>
    <row r="5426" spans="1:7" x14ac:dyDescent="0.25">
      <c r="A5426" s="17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IFERROR(VLOOKUP(B5426,'Diciembre 2023'!$B$2:$G$5822,4,0),"")</f>
        <v>APA_PC</v>
      </c>
    </row>
    <row r="5427" spans="1:7" x14ac:dyDescent="0.25">
      <c r="A5427" s="17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IFERROR(VLOOKUP(B5427,'Diciembre 2023'!$B$2:$G$5822,4,0),"")</f>
        <v>APA_PC</v>
      </c>
    </row>
    <row r="5428" spans="1:7" x14ac:dyDescent="0.25">
      <c r="A5428" s="17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IFERROR(VLOOKUP(B5428,'Diciembre 2023'!$B$2:$G$5822,4,0),"")</f>
        <v>APAPET</v>
      </c>
    </row>
    <row r="5429" spans="1:7" x14ac:dyDescent="0.25">
      <c r="A5429" s="17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IFERROR(VLOOKUP(B5429,'Diciembre 2023'!$B$2:$G$5822,4,0),"")</f>
        <v>APA_PC</v>
      </c>
    </row>
    <row r="5430" spans="1:7" x14ac:dyDescent="0.25">
      <c r="A5430" s="17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IFERROR(VLOOKUP(B5430,'Diciembre 2023'!$B$2:$G$5822,4,0),"")</f>
        <v>APA_PC</v>
      </c>
    </row>
    <row r="5431" spans="1:7" x14ac:dyDescent="0.25">
      <c r="A5431" s="17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IFERROR(VLOOKUP(B5431,'Diciembre 2023'!$B$2:$G$5822,4,0),"")</f>
        <v>APA_PC</v>
      </c>
    </row>
    <row r="5432" spans="1:7" x14ac:dyDescent="0.25">
      <c r="A5432" s="17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IFERROR(VLOOKUP(B5432,'Diciembre 2023'!$B$2:$G$5822,4,0),"")</f>
        <v>APA_PC</v>
      </c>
    </row>
    <row r="5433" spans="1:7" x14ac:dyDescent="0.25">
      <c r="A5433" s="17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IFERROR(VLOOKUP(B5433,'Diciembre 2023'!$B$2:$G$5822,4,0),"")</f>
        <v>APA_PC</v>
      </c>
    </row>
    <row r="5434" spans="1:7" x14ac:dyDescent="0.25">
      <c r="A5434" s="17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IFERROR(VLOOKUP(B5434,'Diciembre 2023'!$B$2:$G$5822,4,0),"")</f>
        <v>APA_PC</v>
      </c>
    </row>
    <row r="5435" spans="1:7" x14ac:dyDescent="0.25">
      <c r="A5435" s="17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IFERROR(VLOOKUP(B5435,'Diciembre 2023'!$B$2:$G$5822,4,0),"")</f>
        <v>APA_PC</v>
      </c>
    </row>
    <row r="5436" spans="1:7" x14ac:dyDescent="0.25">
      <c r="A5436" s="17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IFERROR(VLOOKUP(B5436,'Diciembre 2023'!$B$2:$G$5822,4,0),"")</f>
        <v>APA_PC</v>
      </c>
    </row>
    <row r="5437" spans="1:7" x14ac:dyDescent="0.25">
      <c r="A5437" s="17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IFERROR(VLOOKUP(B5437,'Diciembre 2023'!$B$2:$G$5822,4,0),"")</f>
        <v>APAPET</v>
      </c>
    </row>
    <row r="5438" spans="1:7" x14ac:dyDescent="0.25">
      <c r="A5438" s="17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IFERROR(VLOOKUP(B5438,'Diciembre 2023'!$B$2:$G$5822,4,0),"")</f>
        <v>APAPET</v>
      </c>
    </row>
    <row r="5439" spans="1:7" x14ac:dyDescent="0.25">
      <c r="A5439" s="17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IFERROR(VLOOKUP(B5439,'Diciembre 2023'!$B$2:$G$5822,4,0),"")</f>
        <v>ACTPETS</v>
      </c>
    </row>
    <row r="5440" spans="1:7" x14ac:dyDescent="0.25">
      <c r="A5440" s="17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IFERROR(VLOOKUP(B5440,'Diciembre 2023'!$B$2:$G$5822,4,0),"")</f>
        <v>APA_PC</v>
      </c>
    </row>
    <row r="5441" spans="1:7" x14ac:dyDescent="0.25">
      <c r="A5441" s="17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IFERROR(VLOOKUP(B5441,'Diciembre 2023'!$B$2:$G$5822,4,0),"")</f>
        <v>APAPET</v>
      </c>
    </row>
    <row r="5442" spans="1:7" x14ac:dyDescent="0.25">
      <c r="A5442" s="17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IFERROR(VLOOKUP(B5442,'Diciembre 2023'!$B$2:$G$5822,4,0),"")</f>
        <v>ATAPET</v>
      </c>
    </row>
    <row r="5443" spans="1:7" x14ac:dyDescent="0.25">
      <c r="A5443" s="17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IFERROR(VLOOKUP(B5443,'Diciembre 2023'!$B$2:$G$5822,4,0),"")</f>
        <v>DPAPET</v>
      </c>
    </row>
    <row r="5444" spans="1:7" x14ac:dyDescent="0.25">
      <c r="A5444" s="17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IFERROR(VLOOKUP(B5444,'Diciembre 2023'!$B$2:$G$5822,4,0),"")</f>
        <v>APAPET</v>
      </c>
    </row>
    <row r="5445" spans="1:7" x14ac:dyDescent="0.25">
      <c r="A5445" s="17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IFERROR(VLOOKUP(B5445,'Diciembre 2023'!$B$2:$G$5822,4,0),"")</f>
        <v>APA_PC</v>
      </c>
    </row>
    <row r="5446" spans="1:7" x14ac:dyDescent="0.25">
      <c r="A5446" s="17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IFERROR(VLOOKUP(B5446,'Diciembre 2023'!$B$2:$G$5822,4,0),"")</f>
        <v>APA_PC</v>
      </c>
    </row>
    <row r="5447" spans="1:7" x14ac:dyDescent="0.25">
      <c r="A5447" s="17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IFERROR(VLOOKUP(B5447,'Diciembre 2023'!$B$2:$G$5822,4,0),"")</f>
        <v>APAPET</v>
      </c>
    </row>
    <row r="5448" spans="1:7" x14ac:dyDescent="0.25">
      <c r="A5448" s="17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IFERROR(VLOOKUP(B5448,'Diciembre 2023'!$B$2:$G$5822,4,0),"")</f>
        <v>APAPET</v>
      </c>
    </row>
    <row r="5449" spans="1:7" x14ac:dyDescent="0.25">
      <c r="A5449" s="17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IFERROR(VLOOKUP(B5449,'Diciembre 2023'!$B$2:$G$5822,4,0),"")</f>
        <v>APA_PC</v>
      </c>
    </row>
    <row r="5450" spans="1:7" x14ac:dyDescent="0.25">
      <c r="A5450" s="17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IFERROR(VLOOKUP(B5450,'Diciembre 2023'!$B$2:$G$5822,4,0),"")</f>
        <v>APA_PC</v>
      </c>
    </row>
    <row r="5451" spans="1:7" x14ac:dyDescent="0.25">
      <c r="A5451" s="17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IFERROR(VLOOKUP(B5451,'Diciembre 2023'!$B$2:$G$5822,4,0),"")</f>
        <v>ATAPET</v>
      </c>
    </row>
    <row r="5452" spans="1:7" x14ac:dyDescent="0.25">
      <c r="A5452" s="17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IFERROR(VLOOKUP(B5452,'Diciembre 2023'!$B$2:$G$5822,4,0),"")</f>
        <v>APAPET</v>
      </c>
    </row>
    <row r="5453" spans="1:7" x14ac:dyDescent="0.25">
      <c r="A5453" s="17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tr">
        <f>IFERROR(VLOOKUP(B5453,'Diciembre 2023'!$B$2:$G$5822,4,0),"")</f>
        <v>ACTPETS</v>
      </c>
    </row>
    <row r="5454" spans="1:7" x14ac:dyDescent="0.25">
      <c r="A5454" s="17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IFERROR(VLOOKUP(B5454,'Diciembre 2023'!$B$2:$G$5822,4,0),"")</f>
        <v>ACTPETS</v>
      </c>
    </row>
    <row r="5455" spans="1:7" x14ac:dyDescent="0.25">
      <c r="A5455" s="17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IFERROR(VLOOKUP(B5455,'Diciembre 2023'!$B$2:$G$5822,4,0),"")</f>
        <v>APA_PC</v>
      </c>
    </row>
    <row r="5456" spans="1:7" x14ac:dyDescent="0.25">
      <c r="A5456" s="17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IFERROR(VLOOKUP(B5456,'Diciembre 2023'!$B$2:$G$5822,4,0),"")</f>
        <v>ATAPET</v>
      </c>
    </row>
    <row r="5457" spans="1:7" x14ac:dyDescent="0.25">
      <c r="A5457" s="17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IFERROR(VLOOKUP(B5457,'Diciembre 2023'!$B$2:$G$5822,4,0),"")</f>
        <v>APA_PC</v>
      </c>
    </row>
    <row r="5458" spans="1:7" x14ac:dyDescent="0.25">
      <c r="A5458" s="17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IFERROR(VLOOKUP(B5458,'Diciembre 2023'!$B$2:$G$5822,4,0),"")</f>
        <v>APA_PC</v>
      </c>
    </row>
    <row r="5459" spans="1:7" x14ac:dyDescent="0.25">
      <c r="A5459" s="17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IFERROR(VLOOKUP(B5459,'Diciembre 2023'!$B$2:$G$5822,4,0),"")</f>
        <v>APA_PC</v>
      </c>
    </row>
    <row r="5460" spans="1:7" x14ac:dyDescent="0.25">
      <c r="A5460" s="17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IFERROR(VLOOKUP(B5460,'Diciembre 2023'!$B$2:$G$5822,4,0),"")</f>
        <v>APA_PC</v>
      </c>
    </row>
    <row r="5461" spans="1:7" x14ac:dyDescent="0.25">
      <c r="A5461" s="17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IFERROR(VLOOKUP(B5461,'Diciembre 2023'!$B$2:$G$5822,4,0),"")</f>
        <v>APA_PC</v>
      </c>
    </row>
    <row r="5462" spans="1:7" x14ac:dyDescent="0.25">
      <c r="A5462" s="17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IFERROR(VLOOKUP(B5462,'Diciembre 2023'!$B$2:$G$5822,4,0),"")</f>
        <v>ATAPET</v>
      </c>
    </row>
    <row r="5463" spans="1:7" x14ac:dyDescent="0.25">
      <c r="A5463" s="17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IFERROR(VLOOKUP(B5463,'Diciembre 2023'!$B$2:$G$5822,4,0),"")</f>
        <v>APA_PC</v>
      </c>
    </row>
    <row r="5464" spans="1:7" x14ac:dyDescent="0.25">
      <c r="A5464" s="17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IFERROR(VLOOKUP(B5464,'Diciembre 2023'!$B$2:$G$5822,4,0),"")</f>
        <v>INACTPETS</v>
      </c>
    </row>
    <row r="5465" spans="1:7" x14ac:dyDescent="0.25">
      <c r="A5465" s="17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IFERROR(VLOOKUP(B5465,'Diciembre 2023'!$B$2:$G$5822,4,0),"")</f>
        <v>ACTPETS</v>
      </c>
    </row>
    <row r="5466" spans="1:7" x14ac:dyDescent="0.25">
      <c r="A5466" s="17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IFERROR(VLOOKUP(B5466,'Diciembre 2023'!$B$2:$G$5822,4,0),"")</f>
        <v>APA_PC</v>
      </c>
    </row>
    <row r="5467" spans="1:7" x14ac:dyDescent="0.25">
      <c r="A5467" s="17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IFERROR(VLOOKUP(B5467,'Diciembre 2023'!$B$2:$G$5822,4,0),"")</f>
        <v>APA_PC</v>
      </c>
    </row>
    <row r="5468" spans="1:7" x14ac:dyDescent="0.25">
      <c r="A5468" s="17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IFERROR(VLOOKUP(B5468,'Diciembre 2023'!$B$2:$G$5822,4,0),"")</f>
        <v>APA_PC</v>
      </c>
    </row>
    <row r="5469" spans="1:7" x14ac:dyDescent="0.25">
      <c r="A5469" s="17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IFERROR(VLOOKUP(B5469,'Diciembre 2023'!$B$2:$G$5822,4,0),"")</f>
        <v>APA_PC</v>
      </c>
    </row>
    <row r="5470" spans="1:7" x14ac:dyDescent="0.25">
      <c r="A5470" s="17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IFERROR(VLOOKUP(B5470,'Diciembre 2023'!$B$2:$G$5822,4,0),"")</f>
        <v>APAPET</v>
      </c>
    </row>
    <row r="5471" spans="1:7" x14ac:dyDescent="0.25">
      <c r="A5471" s="17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IFERROR(VLOOKUP(B5471,'Diciembre 2023'!$B$2:$G$5822,4,0),"")</f>
        <v>APA_PC</v>
      </c>
    </row>
    <row r="5472" spans="1:7" x14ac:dyDescent="0.25">
      <c r="A5472" s="17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IFERROR(VLOOKUP(B5472,'Diciembre 2023'!$B$2:$G$5822,4,0),"")</f>
        <v>DPAPET</v>
      </c>
    </row>
    <row r="5473" spans="1:7" x14ac:dyDescent="0.25">
      <c r="A5473" s="17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IFERROR(VLOOKUP(B5473,'Diciembre 2023'!$B$2:$G$5822,4,0),"")</f>
        <v>APAPET</v>
      </c>
    </row>
    <row r="5474" spans="1:7" x14ac:dyDescent="0.25">
      <c r="A5474" s="17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IFERROR(VLOOKUP(B5474,'Diciembre 2023'!$B$2:$G$5822,4,0),"")</f>
        <v>APAPET</v>
      </c>
    </row>
    <row r="5475" spans="1:7" x14ac:dyDescent="0.25">
      <c r="A5475" s="17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IFERROR(VLOOKUP(B5475,'Diciembre 2023'!$B$2:$G$5822,4,0),"")</f>
        <v>APA_PC</v>
      </c>
    </row>
    <row r="5476" spans="1:7" x14ac:dyDescent="0.25">
      <c r="A5476" s="17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IFERROR(VLOOKUP(B5476,'Diciembre 2023'!$B$2:$G$5822,4,0),"")</f>
        <v>DPAPET</v>
      </c>
    </row>
    <row r="5477" spans="1:7" x14ac:dyDescent="0.25">
      <c r="A5477" s="17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IFERROR(VLOOKUP(B5477,'Diciembre 2023'!$B$2:$G$5822,4,0),"")</f>
        <v>APA_PC</v>
      </c>
    </row>
    <row r="5478" spans="1:7" x14ac:dyDescent="0.25">
      <c r="A5478" s="17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IFERROR(VLOOKUP(B5478,'Diciembre 2023'!$B$2:$G$5822,4,0),"")</f>
        <v>APAPET</v>
      </c>
    </row>
    <row r="5479" spans="1:7" x14ac:dyDescent="0.25">
      <c r="A5479" s="17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IFERROR(VLOOKUP(B5479,'Diciembre 2023'!$B$2:$G$5822,4,0),"")</f>
        <v>APA_PC</v>
      </c>
    </row>
    <row r="5480" spans="1:7" x14ac:dyDescent="0.25">
      <c r="A5480" s="17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IFERROR(VLOOKUP(B5480,'Diciembre 2023'!$B$2:$G$5822,4,0),"")</f>
        <v>APA_PC</v>
      </c>
    </row>
    <row r="5481" spans="1:7" x14ac:dyDescent="0.25">
      <c r="A5481" s="17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IFERROR(VLOOKUP(B5481,'Diciembre 2023'!$B$2:$G$5822,4,0),"")</f>
        <v>DPAPET</v>
      </c>
    </row>
    <row r="5482" spans="1:7" x14ac:dyDescent="0.25">
      <c r="A5482" s="17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IFERROR(VLOOKUP(B5482,'Diciembre 2023'!$B$2:$G$5822,4,0),"")</f>
        <v>APAPET</v>
      </c>
    </row>
    <row r="5483" spans="1:7" x14ac:dyDescent="0.25">
      <c r="A5483" s="17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IFERROR(VLOOKUP(B5483,'Diciembre 2023'!$B$2:$G$5822,4,0),"")</f>
        <v>APA_PC</v>
      </c>
    </row>
    <row r="5484" spans="1:7" x14ac:dyDescent="0.25">
      <c r="A5484" s="17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IFERROR(VLOOKUP(B5484,'Diciembre 2023'!$B$2:$G$5822,4,0),"")</f>
        <v>APA_PC</v>
      </c>
    </row>
    <row r="5485" spans="1:7" x14ac:dyDescent="0.25">
      <c r="A5485" s="17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IFERROR(VLOOKUP(B5485,'Diciembre 2023'!$B$2:$G$5822,4,0),"")</f>
        <v>APA_PC</v>
      </c>
    </row>
    <row r="5486" spans="1:7" x14ac:dyDescent="0.25">
      <c r="A5486" s="17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IFERROR(VLOOKUP(B5486,'Diciembre 2023'!$B$2:$G$5822,4,0),"")</f>
        <v>APA_PC</v>
      </c>
    </row>
    <row r="5487" spans="1:7" x14ac:dyDescent="0.25">
      <c r="A5487" s="17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IFERROR(VLOOKUP(B5487,'Diciembre 2023'!$B$2:$G$5822,4,0),"")</f>
        <v>APA_PC</v>
      </c>
    </row>
    <row r="5488" spans="1:7" x14ac:dyDescent="0.25">
      <c r="A5488" s="17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IFERROR(VLOOKUP(B5488,'Diciembre 2023'!$B$2:$G$5822,4,0),"")</f>
        <v>APA_PC</v>
      </c>
    </row>
    <row r="5489" spans="1:7" x14ac:dyDescent="0.25">
      <c r="A5489" s="17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IFERROR(VLOOKUP(B5489,'Diciembre 2023'!$B$2:$G$5822,4,0),"")</f>
        <v>APAPET</v>
      </c>
    </row>
    <row r="5490" spans="1:7" x14ac:dyDescent="0.25">
      <c r="A5490" s="17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IFERROR(VLOOKUP(B5490,'Diciembre 2023'!$B$2:$G$5822,4,0),"")</f>
        <v>APA_PC</v>
      </c>
    </row>
    <row r="5491" spans="1:7" x14ac:dyDescent="0.25">
      <c r="A5491" s="17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IFERROR(VLOOKUP(B5491,'Diciembre 2023'!$B$2:$G$5822,4,0),"")</f>
        <v>DPAPET</v>
      </c>
    </row>
    <row r="5492" spans="1:7" x14ac:dyDescent="0.25">
      <c r="A5492" s="17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IFERROR(VLOOKUP(B5492,'Diciembre 2023'!$B$2:$G$5822,4,0),"")</f>
        <v>APA_PC</v>
      </c>
    </row>
    <row r="5493" spans="1:7" x14ac:dyDescent="0.25">
      <c r="A5493" s="17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IFERROR(VLOOKUP(B5493,'Diciembre 2023'!$B$2:$G$5822,4,0),"")</f>
        <v>APAPET</v>
      </c>
    </row>
    <row r="5494" spans="1:7" x14ac:dyDescent="0.25">
      <c r="A5494" s="17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IFERROR(VLOOKUP(B5494,'Diciembre 2023'!$B$2:$G$5822,4,0),"")</f>
        <v>APA_PC</v>
      </c>
    </row>
    <row r="5495" spans="1:7" x14ac:dyDescent="0.25">
      <c r="A5495" s="17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IFERROR(VLOOKUP(B5495,'Diciembre 2023'!$B$2:$G$5822,4,0),"")</f>
        <v>APAPET</v>
      </c>
    </row>
    <row r="5496" spans="1:7" x14ac:dyDescent="0.25">
      <c r="A5496" s="17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IFERROR(VLOOKUP(B5496,'Diciembre 2023'!$B$2:$G$5822,4,0),"")</f>
        <v>ACTPETS</v>
      </c>
    </row>
    <row r="5497" spans="1:7" x14ac:dyDescent="0.25">
      <c r="A5497" s="17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IFERROR(VLOOKUP(B5497,'Diciembre 2023'!$B$2:$G$5822,4,0),"")</f>
        <v>APAPET</v>
      </c>
    </row>
    <row r="5498" spans="1:7" x14ac:dyDescent="0.25">
      <c r="A5498" s="17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IFERROR(VLOOKUP(B5498,'Diciembre 2023'!$B$2:$G$5822,4,0),"")</f>
        <v>APA_PC</v>
      </c>
    </row>
    <row r="5499" spans="1:7" x14ac:dyDescent="0.25">
      <c r="A5499" s="17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IFERROR(VLOOKUP(B5499,'Diciembre 2023'!$B$2:$G$5822,4,0),"")</f>
        <v>APA_PC</v>
      </c>
    </row>
    <row r="5500" spans="1:7" x14ac:dyDescent="0.25">
      <c r="A5500" s="17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IFERROR(VLOOKUP(B5500,'Diciembre 2023'!$B$2:$G$5822,4,0),"")</f>
        <v>APAPET</v>
      </c>
    </row>
    <row r="5501" spans="1:7" x14ac:dyDescent="0.25">
      <c r="A5501" s="17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IFERROR(VLOOKUP(B5501,'Diciembre 2023'!$B$2:$G$5822,4,0),"")</f>
        <v>APA_PC</v>
      </c>
    </row>
    <row r="5502" spans="1:7" x14ac:dyDescent="0.25">
      <c r="A5502" s="17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IFERROR(VLOOKUP(B5502,'Diciembre 2023'!$B$2:$G$5822,4,0),"")</f>
        <v>APA_PC</v>
      </c>
    </row>
    <row r="5503" spans="1:7" x14ac:dyDescent="0.25">
      <c r="A5503" s="17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IFERROR(VLOOKUP(B5503,'Diciembre 2023'!$B$2:$G$5822,4,0),"")</f>
        <v>ATAPET</v>
      </c>
    </row>
    <row r="5504" spans="1:7" x14ac:dyDescent="0.25">
      <c r="A5504" s="17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IFERROR(VLOOKUP(B5504,'Diciembre 2023'!$B$2:$G$5822,4,0),"")</f>
        <v>APA_PC</v>
      </c>
    </row>
    <row r="5505" spans="1:7" x14ac:dyDescent="0.25">
      <c r="A5505" s="17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IFERROR(VLOOKUP(B5505,'Diciembre 2023'!$B$2:$G$5822,4,0),"")</f>
        <v>ATAPET</v>
      </c>
    </row>
    <row r="5506" spans="1:7" x14ac:dyDescent="0.25">
      <c r="A5506" s="17"/>
      <c r="B5506" s="12" t="s">
        <v>5186</v>
      </c>
      <c r="C5506" s="12" t="s">
        <v>28</v>
      </c>
      <c r="D5506" s="12" t="s">
        <v>29</v>
      </c>
      <c r="E5506" s="12" t="s">
        <v>30</v>
      </c>
      <c r="F5506" s="12" t="s">
        <v>9</v>
      </c>
      <c r="G5506" s="5" t="str">
        <f>IFERROR(VLOOKUP(B5506,'Diciembre 2023'!$B$2:$G$5822,4,0),"")</f>
        <v>APA_PC</v>
      </c>
    </row>
    <row r="5507" spans="1:7" x14ac:dyDescent="0.25">
      <c r="A5507" s="17"/>
      <c r="B5507" s="12" t="s">
        <v>5187</v>
      </c>
      <c r="C5507" s="12" t="s">
        <v>28</v>
      </c>
      <c r="D5507" s="12" t="s">
        <v>29</v>
      </c>
      <c r="E5507" s="12" t="s">
        <v>33</v>
      </c>
      <c r="F5507" s="12" t="s">
        <v>9</v>
      </c>
      <c r="G5507" s="5" t="str">
        <f>IFERROR(VLOOKUP(B5507,'Diciembre 2023'!$B$2:$G$5822,4,0),"")</f>
        <v>APAPET</v>
      </c>
    </row>
    <row r="5508" spans="1:7" x14ac:dyDescent="0.25">
      <c r="A5508" s="17"/>
      <c r="B5508" s="12" t="s">
        <v>5188</v>
      </c>
      <c r="C5508" s="12" t="s">
        <v>28</v>
      </c>
      <c r="D5508" s="12" t="s">
        <v>29</v>
      </c>
      <c r="E5508" s="12" t="s">
        <v>30</v>
      </c>
      <c r="F5508" s="12" t="s">
        <v>9</v>
      </c>
      <c r="G5508" s="5" t="str">
        <f>IFERROR(VLOOKUP(B5508,'Diciembre 2023'!$B$2:$G$5822,4,0),"")</f>
        <v>APA_PC</v>
      </c>
    </row>
    <row r="5509" spans="1:7" x14ac:dyDescent="0.25">
      <c r="A5509" s="17"/>
      <c r="B5509" s="12" t="s">
        <v>5189</v>
      </c>
      <c r="C5509" s="12" t="s">
        <v>28</v>
      </c>
      <c r="D5509" s="12" t="s">
        <v>29</v>
      </c>
      <c r="E5509" s="12" t="s">
        <v>30</v>
      </c>
      <c r="F5509" s="12" t="s">
        <v>9</v>
      </c>
      <c r="G5509" s="5" t="str">
        <f>IFERROR(VLOOKUP(B5509,'Diciembre 2023'!$B$2:$G$5822,4,0),"")</f>
        <v>APA_PC</v>
      </c>
    </row>
    <row r="5510" spans="1:7" x14ac:dyDescent="0.25">
      <c r="A5510" s="17"/>
      <c r="B5510" s="12" t="s">
        <v>5190</v>
      </c>
      <c r="C5510" s="12" t="s">
        <v>28</v>
      </c>
      <c r="D5510" s="12" t="s">
        <v>29</v>
      </c>
      <c r="E5510" s="12" t="s">
        <v>30</v>
      </c>
      <c r="F5510" s="12" t="s">
        <v>9</v>
      </c>
      <c r="G5510" s="5" t="str">
        <f>IFERROR(VLOOKUP(B5510,'Diciembre 2023'!$B$2:$G$5822,4,0),"")</f>
        <v>APA_PC</v>
      </c>
    </row>
    <row r="5511" spans="1:7" x14ac:dyDescent="0.25">
      <c r="A5511" s="17"/>
      <c r="B5511" s="12" t="s">
        <v>5191</v>
      </c>
      <c r="C5511" s="12" t="s">
        <v>28</v>
      </c>
      <c r="D5511" s="12" t="s">
        <v>29</v>
      </c>
      <c r="E5511" s="12" t="s">
        <v>30</v>
      </c>
      <c r="F5511" s="12" t="s">
        <v>9</v>
      </c>
      <c r="G5511" s="5" t="str">
        <f>IFERROR(VLOOKUP(B5511,'Diciembre 2023'!$B$2:$G$5822,4,0),"")</f>
        <v>APA_PC</v>
      </c>
    </row>
    <row r="5512" spans="1:7" x14ac:dyDescent="0.25">
      <c r="A5512" s="17"/>
      <c r="B5512" s="12" t="s">
        <v>5192</v>
      </c>
      <c r="C5512" s="12" t="s">
        <v>28</v>
      </c>
      <c r="D5512" s="12" t="s">
        <v>29</v>
      </c>
      <c r="E5512" s="12" t="s">
        <v>30</v>
      </c>
      <c r="F5512" s="12" t="s">
        <v>9</v>
      </c>
      <c r="G5512" s="5" t="str">
        <f>IFERROR(VLOOKUP(B5512,'Diciembre 2023'!$B$2:$G$5822,4,0),"")</f>
        <v>APA_PC</v>
      </c>
    </row>
    <row r="5513" spans="1:7" x14ac:dyDescent="0.25">
      <c r="A5513" s="17"/>
      <c r="B5513" s="12" t="s">
        <v>5193</v>
      </c>
      <c r="C5513" s="12" t="s">
        <v>28</v>
      </c>
      <c r="D5513" s="12" t="s">
        <v>29</v>
      </c>
      <c r="E5513" s="12" t="s">
        <v>30</v>
      </c>
      <c r="F5513" s="12" t="s">
        <v>9</v>
      </c>
      <c r="G5513" s="5" t="str">
        <f>IFERROR(VLOOKUP(B5513,'Diciembre 2023'!$B$2:$G$5822,4,0),"")</f>
        <v>APA_PC</v>
      </c>
    </row>
    <row r="5514" spans="1:7" x14ac:dyDescent="0.25">
      <c r="A5514" s="17"/>
      <c r="B5514" s="12" t="s">
        <v>5194</v>
      </c>
      <c r="C5514" s="12" t="s">
        <v>28</v>
      </c>
      <c r="D5514" s="12" t="s">
        <v>29</v>
      </c>
      <c r="E5514" s="12" t="s">
        <v>30</v>
      </c>
      <c r="F5514" s="12" t="s">
        <v>9</v>
      </c>
      <c r="G5514" s="5" t="str">
        <f>IFERROR(VLOOKUP(B5514,'Diciembre 2023'!$B$2:$G$5822,4,0),"")</f>
        <v>APA_PC</v>
      </c>
    </row>
    <row r="5515" spans="1:7" x14ac:dyDescent="0.25">
      <c r="A5515" s="17"/>
      <c r="B5515" s="12" t="s">
        <v>5195</v>
      </c>
      <c r="C5515" s="12" t="s">
        <v>28</v>
      </c>
      <c r="D5515" s="12" t="s">
        <v>29</v>
      </c>
      <c r="E5515" s="12" t="s">
        <v>30</v>
      </c>
      <c r="F5515" s="12" t="s">
        <v>9</v>
      </c>
      <c r="G5515" s="5" t="str">
        <f>IFERROR(VLOOKUP(B5515,'Diciembre 2023'!$B$2:$G$5822,4,0),"")</f>
        <v>APA_PC</v>
      </c>
    </row>
    <row r="5516" spans="1:7" x14ac:dyDescent="0.25">
      <c r="A5516" s="17"/>
      <c r="B5516" s="12" t="s">
        <v>5196</v>
      </c>
      <c r="C5516" s="12" t="s">
        <v>18</v>
      </c>
      <c r="D5516" s="12" t="s">
        <v>19</v>
      </c>
      <c r="E5516" s="12" t="s">
        <v>20</v>
      </c>
      <c r="F5516" s="12" t="s">
        <v>21</v>
      </c>
      <c r="G5516" s="5" t="str">
        <f>IFERROR(VLOOKUP(B5516,'Diciembre 2023'!$B$2:$G$5822,4,0),"")</f>
        <v>ACTPETS</v>
      </c>
    </row>
    <row r="5517" spans="1:7" x14ac:dyDescent="0.25">
      <c r="A5517" s="17"/>
      <c r="B5517" s="12" t="s">
        <v>5197</v>
      </c>
      <c r="C5517" s="12" t="s">
        <v>28</v>
      </c>
      <c r="D5517" s="12" t="s">
        <v>29</v>
      </c>
      <c r="E5517" s="12" t="s">
        <v>30</v>
      </c>
      <c r="F5517" s="12" t="s">
        <v>9</v>
      </c>
      <c r="G5517" s="5" t="str">
        <f>IFERROR(VLOOKUP(B5517,'Diciembre 2023'!$B$2:$G$5822,4,0),"")</f>
        <v>APA_PC</v>
      </c>
    </row>
    <row r="5518" spans="1:7" x14ac:dyDescent="0.25">
      <c r="A5518" s="17"/>
      <c r="B5518" s="12" t="s">
        <v>5198</v>
      </c>
      <c r="C5518" s="12" t="s">
        <v>14</v>
      </c>
      <c r="D5518" s="12" t="s">
        <v>15</v>
      </c>
      <c r="E5518" s="12" t="s">
        <v>16</v>
      </c>
      <c r="F5518" s="12" t="s">
        <v>14</v>
      </c>
      <c r="G5518" s="5" t="str">
        <f>IFERROR(VLOOKUP(B5518,'Diciembre 2023'!$B$2:$G$5822,4,0),"")</f>
        <v>ATAPET</v>
      </c>
    </row>
    <row r="5519" spans="1:7" x14ac:dyDescent="0.25">
      <c r="A5519" s="17"/>
      <c r="B5519" s="12" t="s">
        <v>5199</v>
      </c>
      <c r="C5519" s="12" t="s">
        <v>6</v>
      </c>
      <c r="D5519" s="12" t="s">
        <v>7</v>
      </c>
      <c r="E5519" s="12" t="s">
        <v>8</v>
      </c>
      <c r="F5519" s="12" t="s">
        <v>9</v>
      </c>
      <c r="G5519" s="5" t="str">
        <f>IFERROR(VLOOKUP(B5519,'Diciembre 2023'!$B$2:$G$5822,4,0),"")</f>
        <v>DPAPET</v>
      </c>
    </row>
    <row r="5520" spans="1:7" x14ac:dyDescent="0.25">
      <c r="A5520" s="17"/>
      <c r="B5520" s="12" t="s">
        <v>5200</v>
      </c>
      <c r="C5520" s="12" t="s">
        <v>18</v>
      </c>
      <c r="D5520" s="12" t="s">
        <v>19</v>
      </c>
      <c r="E5520" s="12" t="s">
        <v>20</v>
      </c>
      <c r="F5520" s="12" t="s">
        <v>21</v>
      </c>
      <c r="G5520" s="5" t="str">
        <f>IFERROR(VLOOKUP(B5520,'Diciembre 2023'!$B$2:$G$5822,4,0),"")</f>
        <v>ACTPETS</v>
      </c>
    </row>
    <row r="5521" spans="1:7" x14ac:dyDescent="0.25">
      <c r="A5521" s="17"/>
      <c r="B5521" s="12" t="s">
        <v>5201</v>
      </c>
      <c r="C5521" s="12" t="s">
        <v>28</v>
      </c>
      <c r="D5521" s="12" t="s">
        <v>29</v>
      </c>
      <c r="E5521" s="12" t="s">
        <v>30</v>
      </c>
      <c r="F5521" s="12" t="s">
        <v>9</v>
      </c>
      <c r="G5521" s="5" t="str">
        <f>IFERROR(VLOOKUP(B5521,'Diciembre 2023'!$B$2:$G$5822,4,0),"")</f>
        <v>APA_PC</v>
      </c>
    </row>
    <row r="5522" spans="1:7" x14ac:dyDescent="0.25">
      <c r="A5522" s="17"/>
      <c r="B5522" s="12" t="s">
        <v>5202</v>
      </c>
      <c r="C5522" s="12" t="s">
        <v>28</v>
      </c>
      <c r="D5522" s="12" t="s">
        <v>29</v>
      </c>
      <c r="E5522" s="12" t="s">
        <v>30</v>
      </c>
      <c r="F5522" s="12" t="s">
        <v>9</v>
      </c>
      <c r="G5522" s="5" t="str">
        <f>IFERROR(VLOOKUP(B5522,'Diciembre 2023'!$B$2:$G$5822,4,0),"")</f>
        <v>APA_PC</v>
      </c>
    </row>
    <row r="5523" spans="1:7" x14ac:dyDescent="0.25">
      <c r="A5523" s="17"/>
      <c r="B5523" s="12" t="s">
        <v>5203</v>
      </c>
      <c r="C5523" s="12" t="s">
        <v>28</v>
      </c>
      <c r="D5523" s="12" t="s">
        <v>29</v>
      </c>
      <c r="E5523" s="12" t="s">
        <v>30</v>
      </c>
      <c r="F5523" s="12" t="s">
        <v>9</v>
      </c>
      <c r="G5523" s="5" t="str">
        <f>IFERROR(VLOOKUP(B5523,'Diciembre 2023'!$B$2:$G$5822,4,0),"")</f>
        <v>APA_PC</v>
      </c>
    </row>
    <row r="5524" spans="1:7" x14ac:dyDescent="0.25">
      <c r="A5524" s="17"/>
      <c r="B5524" s="12" t="s">
        <v>5204</v>
      </c>
      <c r="C5524" s="12" t="s">
        <v>28</v>
      </c>
      <c r="D5524" s="12" t="s">
        <v>29</v>
      </c>
      <c r="E5524" s="12" t="s">
        <v>30</v>
      </c>
      <c r="F5524" s="12" t="s">
        <v>9</v>
      </c>
      <c r="G5524" s="5" t="str">
        <f>IFERROR(VLOOKUP(B5524,'Diciembre 2023'!$B$2:$G$5822,4,0),"")</f>
        <v>APA_PC</v>
      </c>
    </row>
    <row r="5525" spans="1:7" x14ac:dyDescent="0.25">
      <c r="A5525" s="17"/>
      <c r="B5525" s="12" t="s">
        <v>5205</v>
      </c>
      <c r="C5525" s="12" t="s">
        <v>28</v>
      </c>
      <c r="D5525" s="12" t="s">
        <v>29</v>
      </c>
      <c r="E5525" s="12" t="s">
        <v>30</v>
      </c>
      <c r="F5525" s="12" t="s">
        <v>9</v>
      </c>
      <c r="G5525" s="5" t="str">
        <f>IFERROR(VLOOKUP(B5525,'Diciembre 2023'!$B$2:$G$5822,4,0),"")</f>
        <v>APA_PC</v>
      </c>
    </row>
    <row r="5526" spans="1:7" x14ac:dyDescent="0.25">
      <c r="A5526" s="17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IFERROR(VLOOKUP(B5526,'Diciembre 2023'!$B$2:$G$5822,4,0),"")</f>
        <v>APA_PC</v>
      </c>
    </row>
    <row r="5527" spans="1:7" x14ac:dyDescent="0.25">
      <c r="A5527" s="17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IFERROR(VLOOKUP(B5527,'Diciembre 2023'!$B$2:$G$5822,4,0),"")</f>
        <v>APAPET</v>
      </c>
    </row>
    <row r="5528" spans="1:7" x14ac:dyDescent="0.25">
      <c r="A5528" s="17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IFERROR(VLOOKUP(B5528,'Diciembre 2023'!$B$2:$G$5822,4,0),"")</f>
        <v>ATAPET</v>
      </c>
    </row>
    <row r="5529" spans="1:7" x14ac:dyDescent="0.25">
      <c r="A5529" s="17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IFERROR(VLOOKUP(B5529,'Diciembre 2023'!$B$2:$G$5822,4,0),"")</f>
        <v>APA_PC</v>
      </c>
    </row>
    <row r="5530" spans="1:7" x14ac:dyDescent="0.25">
      <c r="A5530" s="17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IFERROR(VLOOKUP(B5530,'Diciembre 2023'!$B$2:$G$5822,4,0),"")</f>
        <v>APA_PC</v>
      </c>
    </row>
    <row r="5531" spans="1:7" x14ac:dyDescent="0.25">
      <c r="A5531" s="17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IFERROR(VLOOKUP(B5531,'Diciembre 2023'!$B$2:$G$5822,4,0),"")</f>
        <v>DPAPET</v>
      </c>
    </row>
    <row r="5532" spans="1:7" x14ac:dyDescent="0.25">
      <c r="A5532" s="17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IFERROR(VLOOKUP(B5532,'Diciembre 2023'!$B$2:$G$5822,4,0),"")</f>
        <v>DPAPET</v>
      </c>
    </row>
    <row r="5533" spans="1:7" x14ac:dyDescent="0.25">
      <c r="A5533" s="17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IFERROR(VLOOKUP(B5533,'Diciembre 2023'!$B$2:$G$5822,4,0),"")</f>
        <v>ACTPETS</v>
      </c>
    </row>
    <row r="5534" spans="1:7" x14ac:dyDescent="0.25">
      <c r="A5534" s="17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IFERROR(VLOOKUP(B5534,'Diciembre 2023'!$B$2:$G$5822,4,0),"")</f>
        <v>ATAPET</v>
      </c>
    </row>
    <row r="5535" spans="1:7" x14ac:dyDescent="0.25">
      <c r="A5535" s="17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IFERROR(VLOOKUP(B5535,'Diciembre 2023'!$B$2:$G$5822,4,0),"")</f>
        <v>APA_PC</v>
      </c>
    </row>
    <row r="5536" spans="1:7" x14ac:dyDescent="0.25">
      <c r="A5536" s="17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IFERROR(VLOOKUP(B5536,'Diciembre 2023'!$B$2:$G$5822,4,0),"")</f>
        <v>ATAPET</v>
      </c>
    </row>
    <row r="5537" spans="1:7" x14ac:dyDescent="0.25">
      <c r="A5537" s="17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IFERROR(VLOOKUP(B5537,'Diciembre 2023'!$B$2:$G$5822,4,0),"")</f>
        <v>APA_PC</v>
      </c>
    </row>
    <row r="5538" spans="1:7" x14ac:dyDescent="0.25">
      <c r="A5538" s="17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IFERROR(VLOOKUP(B5538,'Diciembre 2023'!$B$2:$G$5822,4,0),"")</f>
        <v>APA_PC</v>
      </c>
    </row>
    <row r="5539" spans="1:7" x14ac:dyDescent="0.25">
      <c r="A5539" s="17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IFERROR(VLOOKUP(B5539,'Diciembre 2023'!$B$2:$G$5822,4,0),"")</f>
        <v>ATAPET</v>
      </c>
    </row>
    <row r="5540" spans="1:7" x14ac:dyDescent="0.25">
      <c r="A5540" s="17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IFERROR(VLOOKUP(B5540,'Diciembre 2023'!$B$2:$G$5822,4,0),"")</f>
        <v>APA_PC</v>
      </c>
    </row>
    <row r="5541" spans="1:7" x14ac:dyDescent="0.25">
      <c r="A5541" s="17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IFERROR(VLOOKUP(B5541,'Diciembre 2023'!$B$2:$G$5822,4,0),"")</f>
        <v>ATAPET</v>
      </c>
    </row>
    <row r="5542" spans="1:7" x14ac:dyDescent="0.25">
      <c r="A5542" s="17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IFERROR(VLOOKUP(B5542,'Diciembre 2023'!$B$2:$G$5822,4,0),"")</f>
        <v>DPAPET</v>
      </c>
    </row>
    <row r="5543" spans="1:7" x14ac:dyDescent="0.25">
      <c r="A5543" s="17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IFERROR(VLOOKUP(B5543,'Diciembre 2023'!$B$2:$G$5822,4,0),"")</f>
        <v>APA_PC</v>
      </c>
    </row>
    <row r="5544" spans="1:7" x14ac:dyDescent="0.25">
      <c r="A5544" s="17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IFERROR(VLOOKUP(B5544,'Diciembre 2023'!$B$2:$G$5822,4,0),"")</f>
        <v>ACTPETS</v>
      </c>
    </row>
    <row r="5545" spans="1:7" x14ac:dyDescent="0.25">
      <c r="A5545" s="17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IFERROR(VLOOKUP(B5545,'Diciembre 2023'!$B$2:$G$5822,4,0),"")</f>
        <v>APA_PC</v>
      </c>
    </row>
    <row r="5546" spans="1:7" x14ac:dyDescent="0.25">
      <c r="A5546" s="17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IFERROR(VLOOKUP(B5546,'Diciembre 2023'!$B$2:$G$5822,4,0),"")</f>
        <v>ATAPET</v>
      </c>
    </row>
    <row r="5547" spans="1:7" x14ac:dyDescent="0.25">
      <c r="A5547" s="17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IFERROR(VLOOKUP(B5547,'Diciembre 2023'!$B$2:$G$5822,4,0),"")</f>
        <v>APA_PC</v>
      </c>
    </row>
    <row r="5548" spans="1:7" x14ac:dyDescent="0.25">
      <c r="A5548" s="17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IFERROR(VLOOKUP(B5548,'Diciembre 2023'!$B$2:$G$5822,4,0),"")</f>
        <v>ATAPET</v>
      </c>
    </row>
    <row r="5549" spans="1:7" x14ac:dyDescent="0.25">
      <c r="A5549" s="17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IFERROR(VLOOKUP(B5549,'Diciembre 2023'!$B$2:$G$5822,4,0),"")</f>
        <v>APA_PC</v>
      </c>
    </row>
    <row r="5550" spans="1:7" x14ac:dyDescent="0.25">
      <c r="A5550" s="17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IFERROR(VLOOKUP(B5550,'Diciembre 2023'!$B$2:$G$5822,4,0),"")</f>
        <v>ATAPET</v>
      </c>
    </row>
    <row r="5551" spans="1:7" x14ac:dyDescent="0.25">
      <c r="A5551" s="17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IFERROR(VLOOKUP(B5551,'Diciembre 2023'!$B$2:$G$5822,4,0),"")</f>
        <v>ATAPET</v>
      </c>
    </row>
    <row r="5552" spans="1:7" x14ac:dyDescent="0.25">
      <c r="A5552" s="17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IFERROR(VLOOKUP(B5552,'Diciembre 2023'!$B$2:$G$5822,4,0),"")</f>
        <v>ATAPET</v>
      </c>
    </row>
    <row r="5553" spans="1:7" x14ac:dyDescent="0.25">
      <c r="A5553" s="17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IFERROR(VLOOKUP(B5553,'Diciembre 2023'!$B$2:$G$5822,4,0),"")</f>
        <v>BM</v>
      </c>
    </row>
    <row r="5554" spans="1:7" x14ac:dyDescent="0.25">
      <c r="A5554" s="17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IFERROR(VLOOKUP(B5554,'Diciembre 2023'!$B$2:$G$5822,4,0),"")</f>
        <v>APA_PC</v>
      </c>
    </row>
    <row r="5555" spans="1:7" x14ac:dyDescent="0.25">
      <c r="A5555" s="17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IFERROR(VLOOKUP(B5555,'Diciembre 2023'!$B$2:$G$5822,4,0),"")</f>
        <v>ATAPET</v>
      </c>
    </row>
    <row r="5556" spans="1:7" x14ac:dyDescent="0.25">
      <c r="A5556" s="17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IFERROR(VLOOKUP(B5556,'Diciembre 2023'!$B$2:$G$5822,4,0),"")</f>
        <v>DPAPET</v>
      </c>
    </row>
    <row r="5557" spans="1:7" x14ac:dyDescent="0.25">
      <c r="A5557" s="17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IFERROR(VLOOKUP(B5557,'Diciembre 2023'!$B$2:$G$5822,4,0),"")</f>
        <v>APA_PC</v>
      </c>
    </row>
    <row r="5558" spans="1:7" x14ac:dyDescent="0.25">
      <c r="A5558" s="17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IFERROR(VLOOKUP(B5558,'Diciembre 2023'!$B$2:$G$5822,4,0),"")</f>
        <v>ATAPET</v>
      </c>
    </row>
    <row r="5559" spans="1:7" x14ac:dyDescent="0.25">
      <c r="A5559" s="17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IFERROR(VLOOKUP(B5559,'Diciembre 2023'!$B$2:$G$5822,4,0),"")</f>
        <v>APA_PC</v>
      </c>
    </row>
    <row r="5560" spans="1:7" x14ac:dyDescent="0.25">
      <c r="A5560" s="17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IFERROR(VLOOKUP(B5560,'Diciembre 2023'!$B$2:$G$5822,4,0),"")</f>
        <v>ATAPET</v>
      </c>
    </row>
    <row r="5561" spans="1:7" x14ac:dyDescent="0.25">
      <c r="A5561" s="17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IFERROR(VLOOKUP(B5561,'Diciembre 2023'!$B$2:$G$5822,4,0),"")</f>
        <v>APA_PC</v>
      </c>
    </row>
    <row r="5562" spans="1:7" x14ac:dyDescent="0.25">
      <c r="A5562" s="17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IFERROR(VLOOKUP(B5562,'Diciembre 2023'!$B$2:$G$5822,4,0),"")</f>
        <v>ATAPET</v>
      </c>
    </row>
    <row r="5563" spans="1:7" x14ac:dyDescent="0.25">
      <c r="A5563" s="17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IFERROR(VLOOKUP(B5563,'Diciembre 2023'!$B$2:$G$5822,4,0),"")</f>
        <v>APA_PC</v>
      </c>
    </row>
    <row r="5564" spans="1:7" x14ac:dyDescent="0.25">
      <c r="A5564" s="17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IFERROR(VLOOKUP(B5564,'Diciembre 2023'!$B$2:$G$5822,4,0),"")</f>
        <v>APA_PC</v>
      </c>
    </row>
    <row r="5565" spans="1:7" x14ac:dyDescent="0.25">
      <c r="A5565" s="17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IFERROR(VLOOKUP(B5565,'Diciembre 2023'!$B$2:$G$5822,4,0),"")</f>
        <v>APA_PC</v>
      </c>
    </row>
    <row r="5566" spans="1:7" x14ac:dyDescent="0.25">
      <c r="A5566" s="17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IFERROR(VLOOKUP(B5566,'Diciembre 2023'!$B$2:$G$5822,4,0),"")</f>
        <v>APAPET</v>
      </c>
    </row>
    <row r="5567" spans="1:7" x14ac:dyDescent="0.25">
      <c r="A5567" s="17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IFERROR(VLOOKUP(B5567,'Diciembre 2023'!$B$2:$G$5822,4,0),"")</f>
        <v>APAPET</v>
      </c>
    </row>
    <row r="5568" spans="1:7" x14ac:dyDescent="0.25">
      <c r="A5568" s="17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IFERROR(VLOOKUP(B5568,'Diciembre 2023'!$B$2:$G$5822,4,0),"")</f>
        <v>ACTPETS</v>
      </c>
    </row>
    <row r="5569" spans="1:7" x14ac:dyDescent="0.25">
      <c r="A5569" s="17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IFERROR(VLOOKUP(B5569,'Diciembre 2023'!$B$2:$G$5822,4,0),"")</f>
        <v>APA_PC</v>
      </c>
    </row>
    <row r="5570" spans="1:7" x14ac:dyDescent="0.25">
      <c r="A5570" s="17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IFERROR(VLOOKUP(B5570,'Diciembre 2023'!$B$2:$G$5822,4,0),"")</f>
        <v>APA_PC</v>
      </c>
    </row>
    <row r="5571" spans="1:7" x14ac:dyDescent="0.25">
      <c r="A5571" s="17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IFERROR(VLOOKUP(B5571,'Diciembre 2023'!$B$2:$G$5822,4,0),"")</f>
        <v>APA_PC</v>
      </c>
    </row>
    <row r="5572" spans="1:7" x14ac:dyDescent="0.25">
      <c r="A5572" s="17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IFERROR(VLOOKUP(B5572,'Diciembre 2023'!$B$2:$G$5822,4,0),"")</f>
        <v>APA_PC</v>
      </c>
    </row>
    <row r="5573" spans="1:7" x14ac:dyDescent="0.25">
      <c r="A5573" s="17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IFERROR(VLOOKUP(B5573,'Diciembre 2023'!$B$2:$G$5822,4,0),"")</f>
        <v>APA_PC</v>
      </c>
    </row>
    <row r="5574" spans="1:7" x14ac:dyDescent="0.25">
      <c r="A5574" s="17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IFERROR(VLOOKUP(B5574,'Diciembre 2023'!$B$2:$G$5822,4,0),"")</f>
        <v>ACTPETS</v>
      </c>
    </row>
    <row r="5575" spans="1:7" x14ac:dyDescent="0.25">
      <c r="A5575" s="17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IFERROR(VLOOKUP(B5575,'Diciembre 2023'!$B$2:$G$5822,4,0),"")</f>
        <v>APA_PC</v>
      </c>
    </row>
    <row r="5576" spans="1:7" x14ac:dyDescent="0.25">
      <c r="A5576" s="17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IFERROR(VLOOKUP(B5576,'Diciembre 2023'!$B$2:$G$5822,4,0),"")</f>
        <v>APA_PC</v>
      </c>
    </row>
    <row r="5577" spans="1:7" x14ac:dyDescent="0.25">
      <c r="A5577" s="17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IFERROR(VLOOKUP(B5577,'Diciembre 2023'!$B$2:$G$5822,4,0),"")</f>
        <v>APA_PC</v>
      </c>
    </row>
    <row r="5578" spans="1:7" x14ac:dyDescent="0.25">
      <c r="A5578" s="17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IFERROR(VLOOKUP(B5578,'Diciembre 2023'!$B$2:$G$5822,4,0),"")</f>
        <v>ATAPET</v>
      </c>
    </row>
    <row r="5579" spans="1:7" x14ac:dyDescent="0.25">
      <c r="A5579" s="17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IFERROR(VLOOKUP(B5579,'Diciembre 2023'!$B$2:$G$5822,4,0),"")</f>
        <v>APA_PC</v>
      </c>
    </row>
    <row r="5580" spans="1:7" x14ac:dyDescent="0.25">
      <c r="A5580" s="17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IFERROR(VLOOKUP(B5580,'Diciembre 2023'!$B$2:$G$5822,4,0),"")</f>
        <v>ACTPETS</v>
      </c>
    </row>
    <row r="5581" spans="1:7" x14ac:dyDescent="0.25">
      <c r="A5581" s="17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IFERROR(VLOOKUP(B5581,'Diciembre 2023'!$B$2:$G$5822,4,0),"")</f>
        <v>APA_PC</v>
      </c>
    </row>
    <row r="5582" spans="1:7" x14ac:dyDescent="0.25">
      <c r="A5582" s="17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IFERROR(VLOOKUP(B5582,'Diciembre 2023'!$B$2:$G$5822,4,0),"")</f>
        <v>ATAPET</v>
      </c>
    </row>
    <row r="5583" spans="1:7" x14ac:dyDescent="0.25">
      <c r="A5583" s="17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IFERROR(VLOOKUP(B5583,'Diciembre 2023'!$B$2:$G$5822,4,0),"")</f>
        <v>ACTPETS</v>
      </c>
    </row>
    <row r="5584" spans="1:7" x14ac:dyDescent="0.25">
      <c r="A5584" s="17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IFERROR(VLOOKUP(B5584,'Diciembre 2023'!$B$2:$G$5822,4,0),"")</f>
        <v>ATAPET</v>
      </c>
    </row>
    <row r="5585" spans="1:7" x14ac:dyDescent="0.25">
      <c r="A5585" s="17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IFERROR(VLOOKUP(B5585,'Diciembre 2023'!$B$2:$G$5822,4,0),"")</f>
        <v>APA_PC</v>
      </c>
    </row>
    <row r="5586" spans="1:7" x14ac:dyDescent="0.25">
      <c r="A5586" s="17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IFERROR(VLOOKUP(B5586,'Diciembre 2023'!$B$2:$G$5822,4,0),"")</f>
        <v>ATAPET</v>
      </c>
    </row>
    <row r="5587" spans="1:7" x14ac:dyDescent="0.25">
      <c r="A5587" s="17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tr">
        <f>IFERROR(VLOOKUP(B5587,'Diciembre 2023'!$B$2:$G$5822,4,0),"")</f>
        <v>INACTPETS</v>
      </c>
    </row>
    <row r="5588" spans="1:7" x14ac:dyDescent="0.25">
      <c r="A5588" s="17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IFERROR(VLOOKUP(B5588,'Diciembre 2023'!$B$2:$G$5822,4,0),"")</f>
        <v>APA_PC</v>
      </c>
    </row>
    <row r="5589" spans="1:7" x14ac:dyDescent="0.25">
      <c r="A5589" s="17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IFERROR(VLOOKUP(B5589,'Diciembre 2023'!$B$2:$G$5822,4,0),"")</f>
        <v>ATAPET</v>
      </c>
    </row>
    <row r="5590" spans="1:7" x14ac:dyDescent="0.25">
      <c r="A5590" s="17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IFERROR(VLOOKUP(B5590,'Diciembre 2023'!$B$2:$G$5822,4,0),"")</f>
        <v>APAPET</v>
      </c>
    </row>
    <row r="5591" spans="1:7" x14ac:dyDescent="0.25">
      <c r="A5591" s="17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IFERROR(VLOOKUP(B5591,'Diciembre 2023'!$B$2:$G$5822,4,0),"")</f>
        <v>ATAPET</v>
      </c>
    </row>
    <row r="5592" spans="1:7" x14ac:dyDescent="0.25">
      <c r="A5592" s="17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IFERROR(VLOOKUP(B5592,'Diciembre 2023'!$B$2:$G$5822,4,0),"")</f>
        <v>APA_PC</v>
      </c>
    </row>
    <row r="5593" spans="1:7" x14ac:dyDescent="0.25">
      <c r="A5593" s="17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IFERROR(VLOOKUP(B5593,'Diciembre 2023'!$B$2:$G$5822,4,0),"")</f>
        <v>ACTPETS</v>
      </c>
    </row>
    <row r="5594" spans="1:7" x14ac:dyDescent="0.25">
      <c r="A5594" s="17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IFERROR(VLOOKUP(B5594,'Diciembre 2023'!$B$2:$G$5822,4,0),"")</f>
        <v>BM</v>
      </c>
    </row>
    <row r="5595" spans="1:7" x14ac:dyDescent="0.25">
      <c r="A5595" s="17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IFERROR(VLOOKUP(B5595,'Diciembre 2023'!$B$2:$G$5822,4,0),"")</f>
        <v>ATAPET</v>
      </c>
    </row>
    <row r="5596" spans="1:7" x14ac:dyDescent="0.25">
      <c r="A5596" s="17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IFERROR(VLOOKUP(B5596,'Diciembre 2023'!$B$2:$G$5822,4,0),"")</f>
        <v>APA_PC</v>
      </c>
    </row>
    <row r="5597" spans="1:7" x14ac:dyDescent="0.25">
      <c r="A5597" s="17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IFERROR(VLOOKUP(B5597,'Diciembre 2023'!$B$2:$G$5822,4,0),"")</f>
        <v>ATAPET</v>
      </c>
    </row>
    <row r="5598" spans="1:7" x14ac:dyDescent="0.25">
      <c r="A5598" s="17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IFERROR(VLOOKUP(B5598,'Diciembre 2023'!$B$2:$G$5822,4,0),"")</f>
        <v>APA_PC</v>
      </c>
    </row>
    <row r="5599" spans="1:7" x14ac:dyDescent="0.25">
      <c r="A5599" s="17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IFERROR(VLOOKUP(B5599,'Diciembre 2023'!$B$2:$G$5822,4,0),"")</f>
        <v>ACTPETS</v>
      </c>
    </row>
    <row r="5600" spans="1:7" x14ac:dyDescent="0.25">
      <c r="A5600" s="17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IFERROR(VLOOKUP(B5600,'Diciembre 2023'!$B$2:$G$5822,4,0),"")</f>
        <v>APA_PC</v>
      </c>
    </row>
    <row r="5601" spans="1:7" x14ac:dyDescent="0.25">
      <c r="A5601" s="17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IFERROR(VLOOKUP(B5601,'Diciembre 2023'!$B$2:$G$5822,4,0),"")</f>
        <v>APA_PC</v>
      </c>
    </row>
    <row r="5602" spans="1:7" x14ac:dyDescent="0.25">
      <c r="A5602" s="17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IFERROR(VLOOKUP(B5602,'Diciembre 2023'!$B$2:$G$5822,4,0),"")</f>
        <v>APA_PC</v>
      </c>
    </row>
    <row r="5603" spans="1:7" x14ac:dyDescent="0.25">
      <c r="A5603" s="17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IFERROR(VLOOKUP(B5603,'Diciembre 2023'!$B$2:$G$5822,4,0),"")</f>
        <v>ATAPET</v>
      </c>
    </row>
    <row r="5604" spans="1:7" x14ac:dyDescent="0.25">
      <c r="A5604" s="17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IFERROR(VLOOKUP(B5604,'Diciembre 2023'!$B$2:$G$5822,4,0),"")</f>
        <v>APA_PC</v>
      </c>
    </row>
    <row r="5605" spans="1:7" x14ac:dyDescent="0.25">
      <c r="A5605" s="17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IFERROR(VLOOKUP(B5605,'Diciembre 2023'!$B$2:$G$5822,4,0),"")</f>
        <v>ATAPET</v>
      </c>
    </row>
    <row r="5606" spans="1:7" x14ac:dyDescent="0.25">
      <c r="A5606" s="17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IFERROR(VLOOKUP(B5606,'Diciembre 2023'!$B$2:$G$5822,4,0),"")</f>
        <v>ATAPET</v>
      </c>
    </row>
    <row r="5607" spans="1:7" x14ac:dyDescent="0.25">
      <c r="A5607" s="17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IFERROR(VLOOKUP(B5607,'Diciembre 2023'!$B$2:$G$5822,4,0),"")</f>
        <v>APA_PC</v>
      </c>
    </row>
    <row r="5608" spans="1:7" x14ac:dyDescent="0.25">
      <c r="A5608" s="17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IFERROR(VLOOKUP(B5608,'Diciembre 2023'!$B$2:$G$5822,4,0),"")</f>
        <v>ATAPET</v>
      </c>
    </row>
    <row r="5609" spans="1:7" x14ac:dyDescent="0.25">
      <c r="A5609" s="17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IFERROR(VLOOKUP(B5609,'Diciembre 2023'!$B$2:$G$5822,4,0),"")</f>
        <v>ATAPET</v>
      </c>
    </row>
    <row r="5610" spans="1:7" x14ac:dyDescent="0.25">
      <c r="A5610" s="17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IFERROR(VLOOKUP(B5610,'Diciembre 2023'!$B$2:$G$5822,4,0),"")</f>
        <v>APA_PC</v>
      </c>
    </row>
    <row r="5611" spans="1:7" x14ac:dyDescent="0.25">
      <c r="A5611" s="17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IFERROR(VLOOKUP(B5611,'Diciembre 2023'!$B$2:$G$5822,4,0),"")</f>
        <v>APA_PC</v>
      </c>
    </row>
    <row r="5612" spans="1:7" x14ac:dyDescent="0.25">
      <c r="A5612" s="17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IFERROR(VLOOKUP(B5612,'Diciembre 2023'!$B$2:$G$5822,4,0),"")</f>
        <v>ACTPETF</v>
      </c>
    </row>
    <row r="5613" spans="1:7" x14ac:dyDescent="0.25">
      <c r="A5613" s="17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IFERROR(VLOOKUP(B5613,'Diciembre 2023'!$B$2:$G$5822,4,0),"")</f>
        <v>ATAPET</v>
      </c>
    </row>
    <row r="5614" spans="1:7" x14ac:dyDescent="0.25">
      <c r="A5614" s="17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IFERROR(VLOOKUP(B5614,'Diciembre 2023'!$B$2:$G$5822,4,0),"")</f>
        <v>ACTPETS</v>
      </c>
    </row>
    <row r="5615" spans="1:7" x14ac:dyDescent="0.25">
      <c r="A5615" s="17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IFERROR(VLOOKUP(B5615,'Diciembre 2023'!$B$2:$G$5822,4,0),"")</f>
        <v>ACTPETS</v>
      </c>
    </row>
    <row r="5616" spans="1:7" x14ac:dyDescent="0.25">
      <c r="A5616" s="17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IFERROR(VLOOKUP(B5616,'Diciembre 2023'!$B$2:$G$5822,4,0),"")</f>
        <v>INACTBM</v>
      </c>
    </row>
    <row r="5617" spans="1:7" x14ac:dyDescent="0.25">
      <c r="A5617" s="17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IFERROR(VLOOKUP(B5617,'Diciembre 2023'!$B$2:$G$5822,4,0),"")</f>
        <v>ATAPET</v>
      </c>
    </row>
    <row r="5618" spans="1:7" x14ac:dyDescent="0.25">
      <c r="A5618" s="17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IFERROR(VLOOKUP(B5618,'Diciembre 2023'!$B$2:$G$5822,4,0),"")</f>
        <v>APA_PC</v>
      </c>
    </row>
    <row r="5619" spans="1:7" x14ac:dyDescent="0.25">
      <c r="A5619" s="17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IFERROR(VLOOKUP(B5619,'Diciembre 2023'!$B$2:$G$5822,4,0),"")</f>
        <v>APA_PC</v>
      </c>
    </row>
    <row r="5620" spans="1:7" x14ac:dyDescent="0.25">
      <c r="A5620" s="17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IFERROR(VLOOKUP(B5620,'Diciembre 2023'!$B$2:$G$5822,4,0),"")</f>
        <v>APA_PC</v>
      </c>
    </row>
    <row r="5621" spans="1:7" x14ac:dyDescent="0.25">
      <c r="A5621" s="17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IFERROR(VLOOKUP(B5621,'Diciembre 2023'!$B$2:$G$5822,4,0),"")</f>
        <v>APA_PC</v>
      </c>
    </row>
    <row r="5622" spans="1:7" x14ac:dyDescent="0.25">
      <c r="A5622" s="17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IFERROR(VLOOKUP(B5622,'Diciembre 2023'!$B$2:$G$5822,4,0),"")</f>
        <v>BM</v>
      </c>
    </row>
    <row r="5623" spans="1:7" x14ac:dyDescent="0.25">
      <c r="A5623" s="17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IFERROR(VLOOKUP(B5623,'Diciembre 2023'!$B$2:$G$5822,4,0),"")</f>
        <v>ATAPET</v>
      </c>
    </row>
    <row r="5624" spans="1:7" x14ac:dyDescent="0.25">
      <c r="A5624" s="17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IFERROR(VLOOKUP(B5624,'Diciembre 2023'!$B$2:$G$5822,4,0),"")</f>
        <v>APA_PC</v>
      </c>
    </row>
    <row r="5625" spans="1:7" x14ac:dyDescent="0.25">
      <c r="A5625" s="17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IFERROR(VLOOKUP(B5625,'Diciembre 2023'!$B$2:$G$5822,4,0),"")</f>
        <v>APA_PC</v>
      </c>
    </row>
    <row r="5626" spans="1:7" x14ac:dyDescent="0.25">
      <c r="A5626" s="17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IFERROR(VLOOKUP(B5626,'Diciembre 2023'!$B$2:$G$5822,4,0),"")</f>
        <v>ACTPETS</v>
      </c>
    </row>
    <row r="5627" spans="1:7" x14ac:dyDescent="0.25">
      <c r="A5627" s="17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IFERROR(VLOOKUP(B5627,'Diciembre 2023'!$B$2:$G$5822,4,0),"")</f>
        <v>APA_PC</v>
      </c>
    </row>
    <row r="5628" spans="1:7" x14ac:dyDescent="0.25">
      <c r="A5628" s="17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IFERROR(VLOOKUP(B5628,'Diciembre 2023'!$B$2:$G$5822,4,0),"")</f>
        <v>ACTPETS</v>
      </c>
    </row>
    <row r="5629" spans="1:7" x14ac:dyDescent="0.25">
      <c r="A5629" s="17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IFERROR(VLOOKUP(B5629,'Diciembre 2023'!$B$2:$G$5822,4,0),"")</f>
        <v>ACTPETS</v>
      </c>
    </row>
    <row r="5630" spans="1:7" x14ac:dyDescent="0.25">
      <c r="A5630" s="17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tr">
        <f>IFERROR(VLOOKUP(B5630,'Diciembre 2023'!$B$2:$G$5822,4,0),"")</f>
        <v>ACTPETS</v>
      </c>
    </row>
    <row r="5631" spans="1:7" x14ac:dyDescent="0.25">
      <c r="A5631" s="17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IFERROR(VLOOKUP(B5631,'Diciembre 2023'!$B$2:$G$5822,4,0),"")</f>
        <v>APA_PC</v>
      </c>
    </row>
    <row r="5632" spans="1:7" x14ac:dyDescent="0.25">
      <c r="A5632" s="17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IFERROR(VLOOKUP(B5632,'Diciembre 2023'!$B$2:$G$5822,4,0),"")</f>
        <v>BM</v>
      </c>
    </row>
    <row r="5633" spans="1:7" x14ac:dyDescent="0.25">
      <c r="A5633" s="17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IFERROR(VLOOKUP(B5633,'Diciembre 2023'!$B$2:$G$5822,4,0),"")</f>
        <v>INACTPETF</v>
      </c>
    </row>
    <row r="5634" spans="1:7" x14ac:dyDescent="0.25">
      <c r="A5634" s="17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IFERROR(VLOOKUP(B5634,'Diciembre 2023'!$B$2:$G$5822,4,0),"")</f>
        <v>APA_PC</v>
      </c>
    </row>
    <row r="5635" spans="1:7" x14ac:dyDescent="0.25">
      <c r="A5635" s="17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IFERROR(VLOOKUP(B5635,'Diciembre 2023'!$B$2:$G$5822,4,0),"")</f>
        <v>ACTPETS</v>
      </c>
    </row>
    <row r="5636" spans="1:7" x14ac:dyDescent="0.25">
      <c r="A5636" s="17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IFERROR(VLOOKUP(B5636,'Diciembre 2023'!$B$2:$G$5822,4,0),"")</f>
        <v>APA_PC</v>
      </c>
    </row>
    <row r="5637" spans="1:7" x14ac:dyDescent="0.25">
      <c r="A5637" s="17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IFERROR(VLOOKUP(B5637,'Diciembre 2023'!$B$2:$G$5822,4,0),"")</f>
        <v>ACTPETS</v>
      </c>
    </row>
    <row r="5638" spans="1:7" x14ac:dyDescent="0.25">
      <c r="A5638" s="17"/>
      <c r="B5638" s="4" t="s">
        <v>5318</v>
      </c>
      <c r="C5638" s="4" t="s">
        <v>35</v>
      </c>
      <c r="D5638" s="4" t="s">
        <v>35</v>
      </c>
      <c r="E5638" s="4" t="s">
        <v>163</v>
      </c>
      <c r="F5638" s="4" t="s">
        <v>21</v>
      </c>
      <c r="G5638" s="5" t="str">
        <f>IFERROR(VLOOKUP(B5638,'Diciembre 2023'!$B$2:$G$5822,4,0),"")</f>
        <v>INACTPETS</v>
      </c>
    </row>
    <row r="5639" spans="1:7" x14ac:dyDescent="0.25">
      <c r="A5639" s="17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IFERROR(VLOOKUP(B5639,'Diciembre 2023'!$B$2:$G$5822,4,0),"")</f>
        <v>ACTPETS</v>
      </c>
    </row>
    <row r="5640" spans="1:7" x14ac:dyDescent="0.25">
      <c r="A5640" s="17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IFERROR(VLOOKUP(B5640,'Diciembre 2023'!$B$2:$G$5822,4,0),"")</f>
        <v>ATAPET</v>
      </c>
    </row>
    <row r="5641" spans="1:7" x14ac:dyDescent="0.25">
      <c r="A5641" s="17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IFERROR(VLOOKUP(B5641,'Diciembre 2023'!$B$2:$G$5822,4,0),"")</f>
        <v>APA_PC</v>
      </c>
    </row>
    <row r="5642" spans="1:7" x14ac:dyDescent="0.25">
      <c r="A5642" s="17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IFERROR(VLOOKUP(B5642,'Diciembre 2023'!$B$2:$G$5822,4,0),"")</f>
        <v>APA_PC</v>
      </c>
    </row>
    <row r="5643" spans="1:7" x14ac:dyDescent="0.25">
      <c r="A5643" s="17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IFERROR(VLOOKUP(B5643,'Diciembre 2023'!$B$2:$G$5822,4,0),"")</f>
        <v>INACTPETS</v>
      </c>
    </row>
    <row r="5644" spans="1:7" x14ac:dyDescent="0.25">
      <c r="A5644" s="17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IFERROR(VLOOKUP(B5644,'Diciembre 2023'!$B$2:$G$5822,4,0),"")</f>
        <v>APA_PC</v>
      </c>
    </row>
    <row r="5645" spans="1:7" x14ac:dyDescent="0.25">
      <c r="A5645" s="17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IFERROR(VLOOKUP(B5645,'Diciembre 2023'!$B$2:$G$5822,4,0),"")</f>
        <v>ACTPETS</v>
      </c>
    </row>
    <row r="5646" spans="1:7" x14ac:dyDescent="0.25">
      <c r="A5646" s="17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IFERROR(VLOOKUP(B5646,'Diciembre 2023'!$B$2:$G$5822,4,0),"")</f>
        <v>APA_PC</v>
      </c>
    </row>
    <row r="5647" spans="1:7" x14ac:dyDescent="0.25">
      <c r="A5647" s="17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IFERROR(VLOOKUP(B5647,'Diciembre 2023'!$B$2:$G$5822,4,0),"")</f>
        <v>ATAPET</v>
      </c>
    </row>
    <row r="5648" spans="1:7" x14ac:dyDescent="0.25">
      <c r="A5648" s="17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IFERROR(VLOOKUP(B5648,'Diciembre 2023'!$B$2:$G$5822,4,0),"")</f>
        <v>ATAPET</v>
      </c>
    </row>
    <row r="5649" spans="1:7" x14ac:dyDescent="0.25">
      <c r="A5649" s="17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IFERROR(VLOOKUP(B5649,'Diciembre 2023'!$B$2:$G$5822,4,0),"")</f>
        <v>APA_PC</v>
      </c>
    </row>
    <row r="5650" spans="1:7" x14ac:dyDescent="0.25">
      <c r="A5650" s="17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IFERROR(VLOOKUP(B5650,'Diciembre 2023'!$B$2:$G$5822,4,0),"")</f>
        <v>ACTPETS</v>
      </c>
    </row>
    <row r="5651" spans="1:7" x14ac:dyDescent="0.25">
      <c r="A5651" s="17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IFERROR(VLOOKUP(B5651,'Diciembre 2023'!$B$2:$G$5822,4,0),"")</f>
        <v>ACTPETS</v>
      </c>
    </row>
    <row r="5652" spans="1:7" x14ac:dyDescent="0.25">
      <c r="A5652" s="17"/>
      <c r="B5652" s="4" t="s">
        <v>5332</v>
      </c>
      <c r="C5652" s="4" t="s">
        <v>14</v>
      </c>
      <c r="D5652" s="4" t="s">
        <v>15</v>
      </c>
      <c r="E5652" s="4" t="s">
        <v>16</v>
      </c>
      <c r="F5652" s="4" t="s">
        <v>14</v>
      </c>
      <c r="G5652" s="5" t="str">
        <f>IFERROR(VLOOKUP(B5652,'Diciembre 2023'!$B$2:$G$5822,4,0),"")</f>
        <v>ATAPET</v>
      </c>
    </row>
    <row r="5653" spans="1:7" x14ac:dyDescent="0.25">
      <c r="A5653" s="17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IFERROR(VLOOKUP(B5653,'Diciembre 2023'!$B$2:$G$5822,4,0),"")</f>
        <v>APA_PC</v>
      </c>
    </row>
    <row r="5654" spans="1:7" x14ac:dyDescent="0.25">
      <c r="A5654" s="17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IFERROR(VLOOKUP(B5654,'Diciembre 2023'!$B$2:$G$5822,4,0),"")</f>
        <v>ACTPETS</v>
      </c>
    </row>
    <row r="5655" spans="1:7" x14ac:dyDescent="0.25">
      <c r="A5655" s="17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IFERROR(VLOOKUP(B5655,'Diciembre 2023'!$B$2:$G$5822,4,0),"")</f>
        <v>ATAPET</v>
      </c>
    </row>
    <row r="5656" spans="1:7" x14ac:dyDescent="0.25">
      <c r="A5656" s="17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IFERROR(VLOOKUP(B5656,'Diciembre 2023'!$B$2:$G$5822,4,0),"")</f>
        <v>DPAPET</v>
      </c>
    </row>
    <row r="5657" spans="1:7" x14ac:dyDescent="0.25">
      <c r="A5657" s="17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IFERROR(VLOOKUP(B5657,'Diciembre 2023'!$B$2:$G$5822,4,0),"")</f>
        <v>BM</v>
      </c>
    </row>
    <row r="5658" spans="1:7" x14ac:dyDescent="0.25">
      <c r="A5658" s="17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IFERROR(VLOOKUP(B5658,'Diciembre 2023'!$B$2:$G$5822,4,0),"")</f>
        <v>APA_PC</v>
      </c>
    </row>
    <row r="5659" spans="1:7" x14ac:dyDescent="0.25">
      <c r="A5659" s="17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IFERROR(VLOOKUP(B5659,'Diciembre 2023'!$B$2:$G$5822,4,0),"")</f>
        <v>ATAPET</v>
      </c>
    </row>
    <row r="5660" spans="1:7" x14ac:dyDescent="0.25">
      <c r="A5660" s="17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IFERROR(VLOOKUP(B5660,'Diciembre 2023'!$B$2:$G$5822,4,0),"")</f>
        <v>ACTPETF</v>
      </c>
    </row>
    <row r="5661" spans="1:7" x14ac:dyDescent="0.25">
      <c r="A5661" s="17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IFERROR(VLOOKUP(B5661,'Diciembre 2023'!$B$2:$G$5822,4,0),"")</f>
        <v>ACTPETS</v>
      </c>
    </row>
    <row r="5662" spans="1:7" x14ac:dyDescent="0.25">
      <c r="A5662" s="17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IFERROR(VLOOKUP(B5662,'Diciembre 2023'!$B$2:$G$5822,4,0),"")</f>
        <v>ATAPET</v>
      </c>
    </row>
    <row r="5663" spans="1:7" x14ac:dyDescent="0.25">
      <c r="A5663" s="17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IFERROR(VLOOKUP(B5663,'Diciembre 2023'!$B$2:$G$5822,4,0),"")</f>
        <v>APA_CNPC</v>
      </c>
    </row>
    <row r="5664" spans="1:7" x14ac:dyDescent="0.25">
      <c r="A5664" s="17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IFERROR(VLOOKUP(B5664,'Diciembre 2023'!$B$2:$G$5822,4,0),"")</f>
        <v>APA_PC</v>
      </c>
    </row>
    <row r="5665" spans="1:7" x14ac:dyDescent="0.25">
      <c r="A5665" s="17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IFERROR(VLOOKUP(B5665,'Diciembre 2023'!$B$2:$G$5822,4,0),"")</f>
        <v>ATAPET</v>
      </c>
    </row>
    <row r="5666" spans="1:7" x14ac:dyDescent="0.25">
      <c r="A5666" s="17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IFERROR(VLOOKUP(B5666,'Diciembre 2023'!$B$2:$G$5822,4,0),"")</f>
        <v>BM</v>
      </c>
    </row>
    <row r="5667" spans="1:7" x14ac:dyDescent="0.25">
      <c r="A5667" s="17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IFERROR(VLOOKUP(B5667,'Diciembre 2023'!$B$2:$G$5822,4,0),"")</f>
        <v>BM</v>
      </c>
    </row>
    <row r="5668" spans="1:7" x14ac:dyDescent="0.25">
      <c r="A5668" s="17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IFERROR(VLOOKUP(B5668,'Diciembre 2023'!$B$2:$G$5822,4,0),"")</f>
        <v>ACTPETF</v>
      </c>
    </row>
    <row r="5669" spans="1:7" x14ac:dyDescent="0.25">
      <c r="A5669" s="17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IFERROR(VLOOKUP(B5669,'Diciembre 2023'!$B$2:$G$5822,4,0),"")</f>
        <v>ACTPETS</v>
      </c>
    </row>
    <row r="5670" spans="1:7" x14ac:dyDescent="0.25">
      <c r="A5670" s="17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IFERROR(VLOOKUP(B5670,'Diciembre 2023'!$B$2:$G$5822,4,0),"")</f>
        <v>ATAPET</v>
      </c>
    </row>
    <row r="5671" spans="1:7" x14ac:dyDescent="0.25">
      <c r="A5671" s="17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IFERROR(VLOOKUP(B5671,'Diciembre 2023'!$B$2:$G$5822,4,0),"")</f>
        <v>ACTPETF</v>
      </c>
    </row>
    <row r="5672" spans="1:7" x14ac:dyDescent="0.25">
      <c r="A5672" s="17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IFERROR(VLOOKUP(B5672,'Diciembre 2023'!$B$2:$G$5822,4,0),"")</f>
        <v>ACTPETS</v>
      </c>
    </row>
    <row r="5673" spans="1:7" x14ac:dyDescent="0.25">
      <c r="A5673" s="17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IFERROR(VLOOKUP(B5673,'Diciembre 2023'!$B$2:$G$5822,4,0),"")</f>
        <v>ACTPETS</v>
      </c>
    </row>
    <row r="5674" spans="1:7" x14ac:dyDescent="0.25">
      <c r="A5674" s="17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IFERROR(VLOOKUP(B5674,'Diciembre 2023'!$B$2:$G$5822,4,0),"")</f>
        <v>APA_PC</v>
      </c>
    </row>
    <row r="5675" spans="1:7" x14ac:dyDescent="0.25">
      <c r="A5675" s="17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IFERROR(VLOOKUP(B5675,'Diciembre 2023'!$B$2:$G$5822,4,0),"")</f>
        <v>ACTPETF</v>
      </c>
    </row>
    <row r="5676" spans="1:7" x14ac:dyDescent="0.25">
      <c r="A5676" s="17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IFERROR(VLOOKUP(B5676,'Diciembre 2023'!$B$2:$G$5822,4,0),"")</f>
        <v>BM</v>
      </c>
    </row>
    <row r="5677" spans="1:7" x14ac:dyDescent="0.25">
      <c r="A5677" s="17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IFERROR(VLOOKUP(B5677,'Diciembre 2023'!$B$2:$G$5822,4,0),"")</f>
        <v>BM</v>
      </c>
    </row>
    <row r="5678" spans="1:7" x14ac:dyDescent="0.25">
      <c r="A5678" s="17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IFERROR(VLOOKUP(B5678,'Diciembre 2023'!$B$2:$G$5822,4,0),"")</f>
        <v>INACTBM</v>
      </c>
    </row>
    <row r="5679" spans="1:7" x14ac:dyDescent="0.25">
      <c r="A5679" s="17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IFERROR(VLOOKUP(B5679,'Diciembre 2023'!$B$2:$G$5822,4,0),"")</f>
        <v>INACTPETF</v>
      </c>
    </row>
    <row r="5680" spans="1:7" x14ac:dyDescent="0.25">
      <c r="A5680" s="17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IFERROR(VLOOKUP(B5680,'Diciembre 2023'!$B$2:$G$5822,4,0),"")</f>
        <v>ATAPET</v>
      </c>
    </row>
    <row r="5681" spans="1:7" x14ac:dyDescent="0.25">
      <c r="A5681" s="17"/>
      <c r="B5681" s="4" t="s">
        <v>5361</v>
      </c>
      <c r="C5681" s="4" t="s">
        <v>35</v>
      </c>
      <c r="D5681" s="4" t="s">
        <v>35</v>
      </c>
      <c r="E5681" s="4" t="s">
        <v>57</v>
      </c>
      <c r="F5681" s="4" t="s">
        <v>1653</v>
      </c>
      <c r="G5681" s="5" t="str">
        <f>IFERROR(VLOOKUP(B5681,'Diciembre 2023'!$B$2:$G$5822,4,0),"")</f>
        <v>BM</v>
      </c>
    </row>
    <row r="5682" spans="1:7" x14ac:dyDescent="0.25">
      <c r="A5682" s="17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IFERROR(VLOOKUP(B5682,'Diciembre 2023'!$B$2:$G$5822,4,0),"")</f>
        <v>BM</v>
      </c>
    </row>
    <row r="5683" spans="1:7" x14ac:dyDescent="0.25">
      <c r="A5683" s="17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IFERROR(VLOOKUP(B5683,'Diciembre 2023'!$B$2:$G$5822,4,0),"")</f>
        <v>ATAPET</v>
      </c>
    </row>
    <row r="5684" spans="1:7" x14ac:dyDescent="0.25">
      <c r="A5684" s="17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IFERROR(VLOOKUP(B5684,'Diciembre 2023'!$B$2:$G$5822,4,0),"")</f>
        <v>BM</v>
      </c>
    </row>
    <row r="5685" spans="1:7" x14ac:dyDescent="0.25">
      <c r="A5685" s="17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IFERROR(VLOOKUP(B5685,'Diciembre 2023'!$B$2:$G$5822,4,0),"")</f>
        <v>INACTPETF</v>
      </c>
    </row>
    <row r="5686" spans="1:7" x14ac:dyDescent="0.25">
      <c r="A5686" s="17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IFERROR(VLOOKUP(B5686,'Diciembre 2023'!$B$2:$G$5822,4,0),"")</f>
        <v>ACTPETS</v>
      </c>
    </row>
    <row r="5687" spans="1:7" x14ac:dyDescent="0.25">
      <c r="A5687" s="17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IFERROR(VLOOKUP(B5687,'Diciembre 2023'!$B$2:$G$5822,4,0),"")</f>
        <v>BM</v>
      </c>
    </row>
    <row r="5688" spans="1:7" x14ac:dyDescent="0.25">
      <c r="A5688" s="17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IFERROR(VLOOKUP(B5688,'Diciembre 2023'!$B$2:$G$5822,4,0),"")</f>
        <v>BM</v>
      </c>
    </row>
    <row r="5689" spans="1:7" x14ac:dyDescent="0.25">
      <c r="A5689" s="17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IFERROR(VLOOKUP(B5689,'Diciembre 2023'!$B$2:$G$5822,4,0),"")</f>
        <v>APA_CNPC</v>
      </c>
    </row>
    <row r="5690" spans="1:7" x14ac:dyDescent="0.25">
      <c r="A5690" s="17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IFERROR(VLOOKUP(B5690,'Diciembre 2023'!$B$2:$G$5822,4,0),"")</f>
        <v>INACTBM</v>
      </c>
    </row>
    <row r="5691" spans="1:7" x14ac:dyDescent="0.25">
      <c r="A5691" s="17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IFERROR(VLOOKUP(B5691,'Diciembre 2023'!$B$2:$G$5822,4,0),"")</f>
        <v>APA_PC</v>
      </c>
    </row>
    <row r="5692" spans="1:7" x14ac:dyDescent="0.25">
      <c r="A5692" s="17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IFERROR(VLOOKUP(B5692,'Diciembre 2023'!$B$2:$G$5822,4,0),"")</f>
        <v>ACTPETS</v>
      </c>
    </row>
    <row r="5693" spans="1:7" x14ac:dyDescent="0.25">
      <c r="A5693" s="17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IFERROR(VLOOKUP(B5693,'Diciembre 2023'!$B$2:$G$5822,4,0),"")</f>
        <v>ACTPETF</v>
      </c>
    </row>
    <row r="5694" spans="1:7" x14ac:dyDescent="0.25">
      <c r="A5694" s="17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IFERROR(VLOOKUP(B5694,'Diciembre 2023'!$B$2:$G$5822,4,0),"")</f>
        <v>BM</v>
      </c>
    </row>
    <row r="5695" spans="1:7" x14ac:dyDescent="0.25">
      <c r="A5695" s="17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IFERROR(VLOOKUP(B5695,'Diciembre 2023'!$B$2:$G$5822,4,0),"")</f>
        <v>INACTPETF</v>
      </c>
    </row>
    <row r="5696" spans="1:7" x14ac:dyDescent="0.25">
      <c r="A5696" s="17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IFERROR(VLOOKUP(B5696,'Diciembre 2023'!$B$2:$G$5822,4,0),"")</f>
        <v>ATAPET</v>
      </c>
    </row>
    <row r="5697" spans="1:7" x14ac:dyDescent="0.25">
      <c r="A5697" s="17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IFERROR(VLOOKUP(B5697,'Diciembre 2023'!$B$2:$G$5822,4,0),"")</f>
        <v>APA_PC</v>
      </c>
    </row>
    <row r="5698" spans="1:7" x14ac:dyDescent="0.25">
      <c r="A5698" s="17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IFERROR(VLOOKUP(B5698,'Diciembre 2023'!$B$2:$G$5822,4,0),"")</f>
        <v>ACTPETS</v>
      </c>
    </row>
    <row r="5699" spans="1:7" x14ac:dyDescent="0.25">
      <c r="A5699" s="17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IFERROR(VLOOKUP(B5699,'Diciembre 2023'!$B$2:$G$5822,4,0),"")</f>
        <v>ATAPET</v>
      </c>
    </row>
    <row r="5700" spans="1:7" x14ac:dyDescent="0.25">
      <c r="A5700" s="17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IFERROR(VLOOKUP(B5700,'Diciembre 2023'!$B$2:$G$5822,4,0),"")</f>
        <v>BM</v>
      </c>
    </row>
    <row r="5701" spans="1:7" x14ac:dyDescent="0.25">
      <c r="A5701" s="17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IFERROR(VLOOKUP(B5701,'Diciembre 2023'!$B$2:$G$5822,4,0),"")</f>
        <v>ATAPET</v>
      </c>
    </row>
    <row r="5702" spans="1:7" x14ac:dyDescent="0.25">
      <c r="A5702" s="17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IFERROR(VLOOKUP(B5702,'Diciembre 2023'!$B$2:$G$5822,4,0),"")</f>
        <v>DPAPET</v>
      </c>
    </row>
    <row r="5703" spans="1:7" x14ac:dyDescent="0.25">
      <c r="A5703" s="17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IFERROR(VLOOKUP(B5703,'Diciembre 2023'!$B$2:$G$5822,4,0),"")</f>
        <v>ACTPETS</v>
      </c>
    </row>
    <row r="5704" spans="1:7" x14ac:dyDescent="0.25">
      <c r="A5704" s="17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IFERROR(VLOOKUP(B5704,'Diciembre 2023'!$B$2:$G$5822,4,0),"")</f>
        <v>APA_PC</v>
      </c>
    </row>
    <row r="5705" spans="1:7" x14ac:dyDescent="0.25">
      <c r="A5705" s="17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IFERROR(VLOOKUP(B5705,'Diciembre 2023'!$B$2:$G$5822,4,0),"")</f>
        <v>ATAPET</v>
      </c>
    </row>
    <row r="5706" spans="1:7" x14ac:dyDescent="0.25">
      <c r="A5706" s="17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IFERROR(VLOOKUP(B5706,'Diciembre 2023'!$B$2:$G$5822,4,0),"")</f>
        <v>APA_PC</v>
      </c>
    </row>
    <row r="5707" spans="1:7" x14ac:dyDescent="0.25">
      <c r="A5707" s="17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IFERROR(VLOOKUP(B5707,'Diciembre 2023'!$B$2:$G$5822,4,0),"")</f>
        <v>APA_PC</v>
      </c>
    </row>
    <row r="5708" spans="1:7" x14ac:dyDescent="0.25">
      <c r="A5708" s="17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IFERROR(VLOOKUP(B5708,'Diciembre 2023'!$B$2:$G$5822,4,0),"")</f>
        <v>APA_PC</v>
      </c>
    </row>
    <row r="5709" spans="1:7" x14ac:dyDescent="0.25">
      <c r="A5709" s="17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IFERROR(VLOOKUP(B5709,'Diciembre 2023'!$B$2:$G$5822,4,0),"")</f>
        <v>ACTPETF</v>
      </c>
    </row>
    <row r="5710" spans="1:7" x14ac:dyDescent="0.25">
      <c r="A5710" s="17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IFERROR(VLOOKUP(B5710,'Diciembre 2023'!$B$2:$G$5822,4,0),"")</f>
        <v>APA_PC</v>
      </c>
    </row>
    <row r="5711" spans="1:7" x14ac:dyDescent="0.25">
      <c r="A5711" s="17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IFERROR(VLOOKUP(B5711,'Diciembre 2023'!$B$2:$G$5822,4,0),"")</f>
        <v>ATAPET</v>
      </c>
    </row>
    <row r="5712" spans="1:7" x14ac:dyDescent="0.25">
      <c r="A5712" s="17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IFERROR(VLOOKUP(B5712,'Diciembre 2023'!$B$2:$G$5822,4,0),"")</f>
        <v>APA_PC</v>
      </c>
    </row>
    <row r="5713" spans="1:7" x14ac:dyDescent="0.25">
      <c r="A5713" s="17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IFERROR(VLOOKUP(B5713,'Diciembre 2023'!$B$2:$G$5822,4,0),"")</f>
        <v>APA_PC</v>
      </c>
    </row>
    <row r="5714" spans="1:7" x14ac:dyDescent="0.25">
      <c r="A5714" s="17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IFERROR(VLOOKUP(B5714,'Diciembre 2023'!$B$2:$G$5822,4,0),"")</f>
        <v>ATAPET</v>
      </c>
    </row>
    <row r="5715" spans="1:7" x14ac:dyDescent="0.25">
      <c r="A5715" s="17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IFERROR(VLOOKUP(B5715,'Diciembre 2023'!$B$2:$G$5822,4,0),"")</f>
        <v>APA_PC</v>
      </c>
    </row>
    <row r="5716" spans="1:7" x14ac:dyDescent="0.25">
      <c r="A5716" s="17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IFERROR(VLOOKUP(B5716,'Diciembre 2023'!$B$2:$G$5822,4,0),"")</f>
        <v>ATAPET</v>
      </c>
    </row>
    <row r="5717" spans="1:7" x14ac:dyDescent="0.25">
      <c r="A5717" s="17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IFERROR(VLOOKUP(B5717,'Diciembre 2023'!$B$2:$G$5822,4,0),"")</f>
        <v>APA_PC</v>
      </c>
    </row>
    <row r="5718" spans="1:7" x14ac:dyDescent="0.25">
      <c r="A5718" s="17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IFERROR(VLOOKUP(B5718,'Diciembre 2023'!$B$2:$G$5822,4,0),"")</f>
        <v>ACTPETS</v>
      </c>
    </row>
    <row r="5719" spans="1:7" x14ac:dyDescent="0.25">
      <c r="A5719" s="17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IFERROR(VLOOKUP(B5719,'Diciembre 2023'!$B$2:$G$5822,4,0),"")</f>
        <v>ATAPET</v>
      </c>
    </row>
    <row r="5720" spans="1:7" x14ac:dyDescent="0.25">
      <c r="A5720" s="17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IFERROR(VLOOKUP(B5720,'Diciembre 2023'!$B$2:$G$5822,4,0),"")</f>
        <v>APA_PC</v>
      </c>
    </row>
    <row r="5721" spans="1:7" x14ac:dyDescent="0.25">
      <c r="A5721" s="17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IFERROR(VLOOKUP(B5721,'Diciembre 2023'!$B$2:$G$5822,4,0),"")</f>
        <v>ATAPET</v>
      </c>
    </row>
    <row r="5722" spans="1:7" x14ac:dyDescent="0.25">
      <c r="A5722" s="17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IFERROR(VLOOKUP(B5722,'Diciembre 2023'!$B$2:$G$5822,4,0),"")</f>
        <v>ACTPETS</v>
      </c>
    </row>
    <row r="5723" spans="1:7" x14ac:dyDescent="0.25">
      <c r="A5723" s="17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IFERROR(VLOOKUP(B5723,'Diciembre 2023'!$B$2:$G$5822,4,0),"")</f>
        <v>ATAPET</v>
      </c>
    </row>
    <row r="5724" spans="1:7" x14ac:dyDescent="0.25">
      <c r="A5724" s="17"/>
      <c r="B5724" s="4" t="s">
        <v>5404</v>
      </c>
      <c r="C5724" s="4" t="s">
        <v>14</v>
      </c>
      <c r="D5724" s="4" t="s">
        <v>15</v>
      </c>
      <c r="E5724" s="4" t="s">
        <v>16</v>
      </c>
      <c r="F5724" s="4" t="s">
        <v>14</v>
      </c>
      <c r="G5724" s="5" t="str">
        <f>IFERROR(VLOOKUP(B5724,'Diciembre 2023'!$B$2:$G$5822,4,0),"")</f>
        <v>ATAPET</v>
      </c>
    </row>
    <row r="5725" spans="1:7" x14ac:dyDescent="0.25">
      <c r="A5725" s="17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IFERROR(VLOOKUP(B5725,'Diciembre 2023'!$B$2:$G$5822,4,0),"")</f>
        <v>APA_PC</v>
      </c>
    </row>
    <row r="5726" spans="1:7" x14ac:dyDescent="0.25">
      <c r="A5726" s="17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IFERROR(VLOOKUP(B5726,'Diciembre 2023'!$B$2:$G$5822,4,0),"")</f>
        <v>APA_PC</v>
      </c>
    </row>
    <row r="5727" spans="1:7" x14ac:dyDescent="0.25">
      <c r="A5727" s="17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IFERROR(VLOOKUP(B5727,'Diciembre 2023'!$B$2:$G$5822,4,0),"")</f>
        <v>ACTPETS</v>
      </c>
    </row>
    <row r="5728" spans="1:7" x14ac:dyDescent="0.25">
      <c r="A5728" s="17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IFERROR(VLOOKUP(B5728,'Diciembre 2023'!$B$2:$G$5822,4,0),"")</f>
        <v>APA_PC</v>
      </c>
    </row>
    <row r="5729" spans="1:7" x14ac:dyDescent="0.25">
      <c r="A5729" s="17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IFERROR(VLOOKUP(B5729,'Diciembre 2023'!$B$2:$G$5822,4,0),"")</f>
        <v>ATAPET</v>
      </c>
    </row>
    <row r="5730" spans="1:7" x14ac:dyDescent="0.25">
      <c r="A5730" s="17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IFERROR(VLOOKUP(B5730,'Diciembre 2023'!$B$2:$G$5822,4,0),"")</f>
        <v>APA_PC</v>
      </c>
    </row>
    <row r="5731" spans="1:7" x14ac:dyDescent="0.25">
      <c r="A5731" s="17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IFERROR(VLOOKUP(B5731,'Diciembre 2023'!$B$2:$G$5822,4,0),"")</f>
        <v>INACTPETF</v>
      </c>
    </row>
    <row r="5732" spans="1:7" x14ac:dyDescent="0.25">
      <c r="A5732" s="17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IFERROR(VLOOKUP(B5732,'Diciembre 2023'!$B$2:$G$5822,4,0),"")</f>
        <v>APA_PC</v>
      </c>
    </row>
    <row r="5733" spans="1:7" x14ac:dyDescent="0.25">
      <c r="A5733" s="17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IFERROR(VLOOKUP(B5733,'Diciembre 2023'!$B$2:$G$5822,4,0),"")</f>
        <v>ACTPETS</v>
      </c>
    </row>
    <row r="5734" spans="1:7" x14ac:dyDescent="0.25">
      <c r="A5734" s="17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IFERROR(VLOOKUP(B5734,'Diciembre 2023'!$B$2:$G$5822,4,0),"")</f>
        <v>BM</v>
      </c>
    </row>
    <row r="5735" spans="1:7" x14ac:dyDescent="0.25">
      <c r="A5735" s="17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IFERROR(VLOOKUP(B5735,'Diciembre 2023'!$B$2:$G$5822,4,0),"")</f>
        <v>ATAPET</v>
      </c>
    </row>
    <row r="5736" spans="1:7" x14ac:dyDescent="0.25">
      <c r="A5736" s="17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IFERROR(VLOOKUP(B5736,'Diciembre 2023'!$B$2:$G$5822,4,0),"")</f>
        <v>ATAPET</v>
      </c>
    </row>
    <row r="5737" spans="1:7" x14ac:dyDescent="0.25">
      <c r="A5737" s="17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IFERROR(VLOOKUP(B5737,'Diciembre 2023'!$B$2:$G$5822,4,0),"")</f>
        <v>APA_PC</v>
      </c>
    </row>
    <row r="5738" spans="1:7" x14ac:dyDescent="0.25">
      <c r="A5738" s="17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IFERROR(VLOOKUP(B5738,'Diciembre 2023'!$B$2:$G$5822,4,0),"")</f>
        <v>ATAPET</v>
      </c>
    </row>
    <row r="5739" spans="1:7" x14ac:dyDescent="0.25">
      <c r="A5739" s="17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IFERROR(VLOOKUP(B5739,'Diciembre 2023'!$B$2:$G$5822,4,0),"")</f>
        <v>APA_PC</v>
      </c>
    </row>
    <row r="5740" spans="1:7" x14ac:dyDescent="0.25">
      <c r="A5740" s="17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IFERROR(VLOOKUP(B5740,'Diciembre 2023'!$B$2:$G$5822,4,0),"")</f>
        <v>ATAPET</v>
      </c>
    </row>
    <row r="5741" spans="1:7" x14ac:dyDescent="0.25">
      <c r="A5741" s="17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IFERROR(VLOOKUP(B5741,'Diciembre 2023'!$B$2:$G$5822,4,0),"")</f>
        <v>APA_PC</v>
      </c>
    </row>
    <row r="5742" spans="1:7" x14ac:dyDescent="0.25">
      <c r="A5742" s="17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IFERROR(VLOOKUP(B5742,'Diciembre 2023'!$B$2:$G$5822,4,0),"")</f>
        <v>APA_PC</v>
      </c>
    </row>
    <row r="5743" spans="1:7" x14ac:dyDescent="0.25">
      <c r="A5743" s="17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IFERROR(VLOOKUP(B5743,'Diciembre 2023'!$B$2:$G$5822,4,0),"")</f>
        <v>APA_PC</v>
      </c>
    </row>
    <row r="5744" spans="1:7" x14ac:dyDescent="0.25">
      <c r="A5744" s="17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IFERROR(VLOOKUP(B5744,'Diciembre 2023'!$B$2:$G$5822,4,0),"")</f>
        <v>ATAPET</v>
      </c>
    </row>
    <row r="5745" spans="1:7" x14ac:dyDescent="0.25">
      <c r="A5745" s="17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IFERROR(VLOOKUP(B5745,'Diciembre 2023'!$B$2:$G$5822,4,0),"")</f>
        <v>ATAPET</v>
      </c>
    </row>
    <row r="5746" spans="1:7" x14ac:dyDescent="0.25">
      <c r="A5746" s="17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IFERROR(VLOOKUP(B5746,'Diciembre 2023'!$B$2:$G$5822,4,0),"")</f>
        <v>ATAPET</v>
      </c>
    </row>
    <row r="5747" spans="1:7" x14ac:dyDescent="0.25">
      <c r="A5747" s="17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IFERROR(VLOOKUP(B5747,'Diciembre 2023'!$B$2:$G$5822,4,0),"")</f>
        <v>ATAPET</v>
      </c>
    </row>
    <row r="5748" spans="1:7" x14ac:dyDescent="0.25">
      <c r="A5748" s="17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IFERROR(VLOOKUP(B5748,'Diciembre 2023'!$B$2:$G$5822,4,0),"")</f>
        <v>BM</v>
      </c>
    </row>
    <row r="5749" spans="1:7" x14ac:dyDescent="0.25">
      <c r="A5749" s="17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IFERROR(VLOOKUP(B5749,'Diciembre 2023'!$B$2:$G$5822,4,0),"")</f>
        <v>ATAPET</v>
      </c>
    </row>
    <row r="5750" spans="1:7" x14ac:dyDescent="0.25">
      <c r="A5750" s="17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IFERROR(VLOOKUP(B5750,'Diciembre 2023'!$B$2:$G$5822,4,0),"")</f>
        <v>ACTPETF</v>
      </c>
    </row>
    <row r="5751" spans="1:7" x14ac:dyDescent="0.25">
      <c r="A5751" s="17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IFERROR(VLOOKUP(B5751,'Diciembre 2023'!$B$2:$G$5822,4,0),"")</f>
        <v>ACTPETS</v>
      </c>
    </row>
    <row r="5752" spans="1:7" x14ac:dyDescent="0.25">
      <c r="A5752" s="17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IFERROR(VLOOKUP(B5752,'Diciembre 2023'!$B$2:$G$5822,4,0),"")</f>
        <v>ATAGAS</v>
      </c>
    </row>
    <row r="5753" spans="1:7" x14ac:dyDescent="0.25">
      <c r="A5753" s="17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IFERROR(VLOOKUP(B5753,'Diciembre 2023'!$B$2:$G$5822,4,0),"")</f>
        <v>ATAPET</v>
      </c>
    </row>
    <row r="5754" spans="1:7" x14ac:dyDescent="0.25">
      <c r="A5754" s="17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IFERROR(VLOOKUP(B5754,'Diciembre 2023'!$B$2:$G$5822,4,0),"")</f>
        <v>BM</v>
      </c>
    </row>
    <row r="5755" spans="1:7" x14ac:dyDescent="0.25">
      <c r="A5755" s="17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IFERROR(VLOOKUP(B5755,'Diciembre 2023'!$B$2:$G$5822,4,0),"")</f>
        <v>ATAGAS</v>
      </c>
    </row>
    <row r="5756" spans="1:7" x14ac:dyDescent="0.25">
      <c r="A5756" s="17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IFERROR(VLOOKUP(B5756,'Diciembre 2023'!$B$2:$G$5822,4,0),"")</f>
        <v>APA_PC</v>
      </c>
    </row>
    <row r="5757" spans="1:7" x14ac:dyDescent="0.25">
      <c r="A5757" s="17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IFERROR(VLOOKUP(B5757,'Diciembre 2023'!$B$2:$G$5822,4,0),"")</f>
        <v>ATAGAS</v>
      </c>
    </row>
    <row r="5758" spans="1:7" x14ac:dyDescent="0.25">
      <c r="A5758" s="17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IFERROR(VLOOKUP(B5758,'Diciembre 2023'!$B$2:$G$5822,4,0),"")</f>
        <v>BM</v>
      </c>
    </row>
    <row r="5759" spans="1:7" x14ac:dyDescent="0.25">
      <c r="A5759" s="17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IFERROR(VLOOKUP(B5759,'Diciembre 2023'!$B$2:$G$5822,4,0),"")</f>
        <v>BM</v>
      </c>
    </row>
    <row r="5760" spans="1:7" x14ac:dyDescent="0.25">
      <c r="A5760" s="17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IFERROR(VLOOKUP(B5760,'Diciembre 2023'!$B$2:$G$5822,4,0),"")</f>
        <v>BM</v>
      </c>
    </row>
    <row r="5761" spans="1:7" x14ac:dyDescent="0.25">
      <c r="A5761" s="17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IFERROR(VLOOKUP(B5761,'Diciembre 2023'!$B$2:$G$5822,4,0),"")</f>
        <v>ATAPET</v>
      </c>
    </row>
    <row r="5762" spans="1:7" x14ac:dyDescent="0.25">
      <c r="A5762" s="17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IFERROR(VLOOKUP(B5762,'Diciembre 2023'!$B$2:$G$5822,4,0),"")</f>
        <v>ATAPET</v>
      </c>
    </row>
    <row r="5763" spans="1:7" x14ac:dyDescent="0.25">
      <c r="A5763" s="17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IFERROR(VLOOKUP(B5763,'Diciembre 2023'!$B$2:$G$5822,4,0),"")</f>
        <v>ATAPET</v>
      </c>
    </row>
    <row r="5764" spans="1:7" x14ac:dyDescent="0.25">
      <c r="A5764" s="17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IFERROR(VLOOKUP(B5764,'Diciembre 2023'!$B$2:$G$5822,4,0),"")</f>
        <v>BM</v>
      </c>
    </row>
    <row r="5765" spans="1:7" x14ac:dyDescent="0.25">
      <c r="A5765" s="17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IFERROR(VLOOKUP(B5765,'Diciembre 2023'!$B$2:$G$5822,4,0),"")</f>
        <v>INACTINYG</v>
      </c>
    </row>
    <row r="5766" spans="1:7" x14ac:dyDescent="0.25">
      <c r="A5766" s="17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IFERROR(VLOOKUP(B5766,'Diciembre 2023'!$B$2:$G$5822,4,0),"")</f>
        <v>ATAPET</v>
      </c>
    </row>
    <row r="5767" spans="1:7" x14ac:dyDescent="0.25">
      <c r="A5767" s="17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IFERROR(VLOOKUP(B5767,'Diciembre 2023'!$B$2:$G$5822,4,0),"")</f>
        <v>INACTINYG</v>
      </c>
    </row>
    <row r="5768" spans="1:7" x14ac:dyDescent="0.25">
      <c r="A5768" s="17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IFERROR(VLOOKUP(B5768,'Diciembre 2023'!$B$2:$G$5822,4,0),"")</f>
        <v>INACTINYG</v>
      </c>
    </row>
    <row r="5769" spans="1:7" x14ac:dyDescent="0.25">
      <c r="A5769" s="17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IFERROR(VLOOKUP(B5769,'Diciembre 2023'!$B$2:$G$5822,4,0),"")</f>
        <v>ACTPETS</v>
      </c>
    </row>
    <row r="5770" spans="1:7" x14ac:dyDescent="0.25">
      <c r="A5770" s="17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IFERROR(VLOOKUP(B5770,'Diciembre 2023'!$B$2:$G$5822,4,0),"")</f>
        <v>ATAGAS</v>
      </c>
    </row>
    <row r="5771" spans="1:7" x14ac:dyDescent="0.25">
      <c r="A5771" s="17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IFERROR(VLOOKUP(B5771,'Diciembre 2023'!$B$2:$G$5822,4,0),"")</f>
        <v>INACTINYG</v>
      </c>
    </row>
    <row r="5772" spans="1:7" x14ac:dyDescent="0.25">
      <c r="A5772" s="17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IFERROR(VLOOKUP(B5772,'Diciembre 2023'!$B$2:$G$5822,4,0),"")</f>
        <v>ATAPET</v>
      </c>
    </row>
    <row r="5773" spans="1:7" x14ac:dyDescent="0.25">
      <c r="A5773" s="17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IFERROR(VLOOKUP(B5773,'Diciembre 2023'!$B$2:$G$5822,4,0),"")</f>
        <v>ATAPET</v>
      </c>
    </row>
    <row r="5774" spans="1:7" x14ac:dyDescent="0.25">
      <c r="A5774" s="17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IFERROR(VLOOKUP(B5774,'Diciembre 2023'!$B$2:$G$5822,4,0),"")</f>
        <v>INACTPETS</v>
      </c>
    </row>
    <row r="5775" spans="1:7" x14ac:dyDescent="0.25">
      <c r="A5775" s="17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IFERROR(VLOOKUP(B5775,'Diciembre 2023'!$B$2:$G$5822,4,0),"")</f>
        <v>ATAPET</v>
      </c>
    </row>
    <row r="5776" spans="1:7" x14ac:dyDescent="0.25">
      <c r="A5776" s="17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IFERROR(VLOOKUP(B5776,'Diciembre 2023'!$B$2:$G$5822,4,0),"")</f>
        <v>APA_PC</v>
      </c>
    </row>
    <row r="5777" spans="1:7" x14ac:dyDescent="0.25">
      <c r="A5777" s="17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IFERROR(VLOOKUP(B5777,'Diciembre 2023'!$B$2:$G$5822,4,0),"")</f>
        <v>ATAPET</v>
      </c>
    </row>
    <row r="5778" spans="1:7" x14ac:dyDescent="0.25">
      <c r="A5778" s="17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IFERROR(VLOOKUP(B5778,'Diciembre 2023'!$B$2:$G$5822,4,0),"")</f>
        <v>DPAPET</v>
      </c>
    </row>
    <row r="5779" spans="1:7" x14ac:dyDescent="0.25">
      <c r="A5779" s="17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IFERROR(VLOOKUP(B5779,'Diciembre 2023'!$B$2:$G$5822,4,0),"")</f>
        <v>ATAPET</v>
      </c>
    </row>
    <row r="5780" spans="1:7" x14ac:dyDescent="0.25">
      <c r="A5780" s="17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IFERROR(VLOOKUP(B5780,'Diciembre 2023'!$B$2:$G$5822,4,0),"")</f>
        <v>ATAPET</v>
      </c>
    </row>
    <row r="5781" spans="1:7" x14ac:dyDescent="0.25">
      <c r="A5781" s="17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IFERROR(VLOOKUP(B5781,'Diciembre 2023'!$B$2:$G$5822,4,0),"")</f>
        <v>BM</v>
      </c>
    </row>
    <row r="5782" spans="1:7" x14ac:dyDescent="0.25">
      <c r="A5782" s="17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IFERROR(VLOOKUP(B5782,'Diciembre 2023'!$B$2:$G$5822,4,0),"")</f>
        <v>INACTGAS</v>
      </c>
    </row>
    <row r="5783" spans="1:7" x14ac:dyDescent="0.25">
      <c r="A5783" s="17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IFERROR(VLOOKUP(B5783,'Diciembre 2023'!$B$2:$G$5822,4,0),"")</f>
        <v>BM</v>
      </c>
    </row>
    <row r="5784" spans="1:7" x14ac:dyDescent="0.25">
      <c r="A5784" s="17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IFERROR(VLOOKUP(B5784,'Diciembre 2023'!$B$2:$G$5822,4,0),"")</f>
        <v>BM</v>
      </c>
    </row>
    <row r="5785" spans="1:7" x14ac:dyDescent="0.25">
      <c r="A5785" s="17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IFERROR(VLOOKUP(B5785,'Diciembre 2023'!$B$2:$G$5822,4,0),"")</f>
        <v>INACTPETS</v>
      </c>
    </row>
    <row r="5786" spans="1:7" x14ac:dyDescent="0.25">
      <c r="A5786" s="17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IFERROR(VLOOKUP(B5786,'Diciembre 2023'!$B$2:$G$5822,4,0),"")</f>
        <v>ATAPET</v>
      </c>
    </row>
    <row r="5787" spans="1:7" x14ac:dyDescent="0.25">
      <c r="A5787" s="17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IFERROR(VLOOKUP(B5787,'Diciembre 2023'!$B$2:$G$5822,4,0),"")</f>
        <v>INACTBM</v>
      </c>
    </row>
    <row r="5788" spans="1:7" x14ac:dyDescent="0.25">
      <c r="A5788" s="17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IFERROR(VLOOKUP(B5788,'Diciembre 2023'!$B$2:$G$5822,4,0),"")</f>
        <v>DPAPET</v>
      </c>
    </row>
    <row r="5789" spans="1:7" x14ac:dyDescent="0.25">
      <c r="A5789" s="17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IFERROR(VLOOKUP(B5789,'Diciembre 2023'!$B$2:$G$5822,4,0),"")</f>
        <v>INACTBM</v>
      </c>
    </row>
    <row r="5790" spans="1:7" x14ac:dyDescent="0.25">
      <c r="A5790" s="17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IFERROR(VLOOKUP(B5790,'Diciembre 2023'!$B$2:$G$5822,4,0),"")</f>
        <v>DPAPET</v>
      </c>
    </row>
    <row r="5791" spans="1:7" x14ac:dyDescent="0.25">
      <c r="A5791" s="17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IFERROR(VLOOKUP(B5791,'Diciembre 2023'!$B$2:$G$5822,4,0),"")</f>
        <v>BM</v>
      </c>
    </row>
    <row r="5792" spans="1:7" x14ac:dyDescent="0.25">
      <c r="A5792" s="17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IFERROR(VLOOKUP(B5792,'Diciembre 2023'!$B$2:$G$5822,4,0),"")</f>
        <v>ATAPET</v>
      </c>
    </row>
    <row r="5793" spans="1:7" x14ac:dyDescent="0.25">
      <c r="A5793" s="17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IFERROR(VLOOKUP(B5793,'Diciembre 2023'!$B$2:$G$5822,4,0),"")</f>
        <v>BM</v>
      </c>
    </row>
    <row r="5794" spans="1:7" x14ac:dyDescent="0.25">
      <c r="A5794" s="17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IFERROR(VLOOKUP(B5794,'Diciembre 2023'!$B$2:$G$5822,4,0),"")</f>
        <v>BM</v>
      </c>
    </row>
    <row r="5795" spans="1:7" x14ac:dyDescent="0.25">
      <c r="A5795" s="17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IFERROR(VLOOKUP(B5795,'Diciembre 2023'!$B$2:$G$5822,4,0),"")</f>
        <v>ATAPET</v>
      </c>
    </row>
    <row r="5796" spans="1:7" x14ac:dyDescent="0.25">
      <c r="A5796" s="17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IFERROR(VLOOKUP(B5796,'Diciembre 2023'!$B$2:$G$5822,4,0),"")</f>
        <v>ATAPET</v>
      </c>
    </row>
    <row r="5797" spans="1:7" x14ac:dyDescent="0.25">
      <c r="A5797" s="17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IFERROR(VLOOKUP(B5797,'Diciembre 2023'!$B$2:$G$5822,4,0),"")</f>
        <v>ATAPET</v>
      </c>
    </row>
    <row r="5798" spans="1:7" x14ac:dyDescent="0.25">
      <c r="A5798" s="17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IFERROR(VLOOKUP(B5798,'Diciembre 2023'!$B$2:$G$5822,4,0),"")</f>
        <v>APA_CNPC</v>
      </c>
    </row>
    <row r="5799" spans="1:7" x14ac:dyDescent="0.25">
      <c r="A5799" s="17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IFERROR(VLOOKUP(B5799,'Diciembre 2023'!$B$2:$G$5822,4,0),"")</f>
        <v>ATAPET</v>
      </c>
    </row>
    <row r="5800" spans="1:7" x14ac:dyDescent="0.25">
      <c r="A5800" s="17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IFERROR(VLOOKUP(B5800,'Diciembre 2023'!$B$2:$G$5822,4,0),"")</f>
        <v>APA_CNPC</v>
      </c>
    </row>
    <row r="5801" spans="1:7" x14ac:dyDescent="0.25">
      <c r="A5801" s="17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IFERROR(VLOOKUP(B5801,'Diciembre 2023'!$B$2:$G$5822,4,0),"")</f>
        <v>APA_CNPC</v>
      </c>
    </row>
    <row r="5802" spans="1:7" x14ac:dyDescent="0.25">
      <c r="A5802" s="17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IFERROR(VLOOKUP(B5802,'Diciembre 2023'!$B$2:$G$5822,4,0),"")</f>
        <v>APA_CNPC</v>
      </c>
    </row>
    <row r="5803" spans="1:7" x14ac:dyDescent="0.25">
      <c r="A5803" s="17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IFERROR(VLOOKUP(B5803,'Diciembre 2023'!$B$2:$G$5822,4,0),"")</f>
        <v>ATAPET</v>
      </c>
    </row>
    <row r="5804" spans="1:7" x14ac:dyDescent="0.25">
      <c r="A5804" s="17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IFERROR(VLOOKUP(B5804,'Diciembre 2023'!$B$2:$G$5822,4,0),"")</f>
        <v>ATAPET</v>
      </c>
    </row>
    <row r="5805" spans="1:7" x14ac:dyDescent="0.25">
      <c r="A5805" s="17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IFERROR(VLOOKUP(B5805,'Diciembre 2023'!$B$2:$G$5822,4,0),"")</f>
        <v>ATAPET</v>
      </c>
    </row>
    <row r="5806" spans="1:7" x14ac:dyDescent="0.25">
      <c r="A5806" s="17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IFERROR(VLOOKUP(B5806,'Diciembre 2023'!$B$2:$G$5822,4,0),"")</f>
        <v>ATAPET</v>
      </c>
    </row>
    <row r="5807" spans="1:7" x14ac:dyDescent="0.25">
      <c r="A5807" s="17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IFERROR(VLOOKUP(B5807,'Diciembre 2023'!$B$2:$G$5822,4,0),"")</f>
        <v>ATAPET</v>
      </c>
    </row>
    <row r="5808" spans="1:7" x14ac:dyDescent="0.25">
      <c r="A5808" s="17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IFERROR(VLOOKUP(B5808,'Diciembre 2023'!$B$2:$G$5822,4,0),"")</f>
        <v>APA_CNPC</v>
      </c>
    </row>
    <row r="5809" spans="1:7" x14ac:dyDescent="0.25">
      <c r="A5809" s="17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IFERROR(VLOOKUP(B5809,'Diciembre 2023'!$B$2:$G$5822,4,0),"")</f>
        <v>ATAPET</v>
      </c>
    </row>
    <row r="5810" spans="1:7" x14ac:dyDescent="0.25">
      <c r="A5810" s="17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IFERROR(VLOOKUP(B5810,'Diciembre 2023'!$B$2:$G$5822,4,0),"")</f>
        <v>DPAPET</v>
      </c>
    </row>
    <row r="5811" spans="1:7" x14ac:dyDescent="0.25">
      <c r="A5811" s="17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IFERROR(VLOOKUP(B5811,'Diciembre 2023'!$B$2:$G$5822,4,0),"")</f>
        <v>INACTPETF</v>
      </c>
    </row>
    <row r="5812" spans="1:7" x14ac:dyDescent="0.25">
      <c r="A5812" s="17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IFERROR(VLOOKUP(B5812,'Diciembre 2023'!$B$2:$G$5822,4,0),"")</f>
        <v>APAPET</v>
      </c>
    </row>
    <row r="5813" spans="1:7" x14ac:dyDescent="0.25">
      <c r="A5813" s="17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IFERROR(VLOOKUP(B5813,'Diciembre 2023'!$B$2:$G$5822,4,0),"")</f>
        <v>DPAPET</v>
      </c>
    </row>
    <row r="5814" spans="1:7" x14ac:dyDescent="0.25">
      <c r="A5814" s="17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IFERROR(VLOOKUP(B5814,'Diciembre 2023'!$B$2:$G$5822,4,0),"")</f>
        <v>DPAPET</v>
      </c>
    </row>
    <row r="5815" spans="1:7" x14ac:dyDescent="0.25">
      <c r="A5815" s="17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IFERROR(VLOOKUP(B5815,'Diciembre 2023'!$B$2:$G$5822,4,0),"")</f>
        <v>DPAPET</v>
      </c>
    </row>
    <row r="5816" spans="1:7" x14ac:dyDescent="0.25">
      <c r="A5816" s="17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IFERROR(VLOOKUP(B5816,'Diciembre 2023'!$B$2:$G$5822,4,0),"")</f>
        <v>DPAPET</v>
      </c>
    </row>
    <row r="5817" spans="1:7" x14ac:dyDescent="0.25">
      <c r="A5817" s="17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IFERROR(VLOOKUP(B5817,'Diciembre 2023'!$B$2:$G$5822,4,0),"")</f>
        <v>DPAPET</v>
      </c>
    </row>
    <row r="5818" spans="1:7" x14ac:dyDescent="0.25">
      <c r="A5818" s="17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IFERROR(VLOOKUP(B5818,'Diciembre 2023'!$B$2:$G$5822,4,0),"")</f>
        <v>ATAPET</v>
      </c>
    </row>
    <row r="5819" spans="1:7" x14ac:dyDescent="0.25">
      <c r="A5819" s="17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IFERROR(VLOOKUP(B5819,'Diciembre 2023'!$B$2:$G$5822,4,0),"")</f>
        <v>BM</v>
      </c>
    </row>
    <row r="5820" spans="1:7" x14ac:dyDescent="0.25">
      <c r="A5820" s="17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IFERROR(VLOOKUP(B5820,'Diciembre 2023'!$B$2:$G$5822,4,0),"")</f>
        <v>BM</v>
      </c>
    </row>
    <row r="5821" spans="1:7" x14ac:dyDescent="0.25">
      <c r="A5821" s="17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IFERROR(VLOOKUP(B5821,'Diciembre 2023'!$B$2:$G$5822,4,0),"")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IFERROR(VLOOKUP(B5822,'Diciembre 2023'!$B$2:$G$5822,4,0),"")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" sqref="G3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20" ht="15.75" x14ac:dyDescent="0.25">
      <c r="B1" s="6" t="s">
        <v>5902</v>
      </c>
      <c r="C1" s="7"/>
      <c r="D1" s="7"/>
      <c r="E1" s="7"/>
      <c r="F1" s="7"/>
      <c r="G1" s="7"/>
      <c r="J1" s="19">
        <v>45261</v>
      </c>
      <c r="M1" s="19">
        <v>45231</v>
      </c>
    </row>
    <row r="2" spans="1:20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5903</v>
      </c>
      <c r="J2" s="20" t="s">
        <v>5503</v>
      </c>
      <c r="K2" s="21"/>
      <c r="M2" s="16" t="s">
        <v>5503</v>
      </c>
      <c r="N2" s="16"/>
    </row>
    <row r="3" spans="1:20" x14ac:dyDescent="0.25">
      <c r="A3" s="17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J3" s="20" t="s">
        <v>3</v>
      </c>
      <c r="K3" s="21" t="s">
        <v>5502</v>
      </c>
      <c r="M3" s="16" t="s">
        <v>3</v>
      </c>
      <c r="N3" s="16" t="s">
        <v>5502</v>
      </c>
    </row>
    <row r="4" spans="1:20" x14ac:dyDescent="0.25">
      <c r="A4" s="17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J4" s="23" t="s">
        <v>111</v>
      </c>
      <c r="K4" s="23">
        <v>50</v>
      </c>
      <c r="M4" s="9" t="s">
        <v>111</v>
      </c>
      <c r="N4" s="9">
        <v>51</v>
      </c>
      <c r="O4">
        <f>+K4-N4</f>
        <v>-1</v>
      </c>
    </row>
    <row r="5" spans="1:20" x14ac:dyDescent="0.25">
      <c r="A5" s="17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J5" s="22" t="s">
        <v>26</v>
      </c>
      <c r="K5" s="27">
        <v>179</v>
      </c>
      <c r="M5" s="10" t="s">
        <v>5901</v>
      </c>
      <c r="N5" s="10">
        <v>3</v>
      </c>
      <c r="O5">
        <f>+L4-N5</f>
        <v>-3</v>
      </c>
    </row>
    <row r="6" spans="1:20" x14ac:dyDescent="0.25">
      <c r="A6" s="17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J6" s="22" t="s">
        <v>20</v>
      </c>
      <c r="K6" s="27">
        <v>504</v>
      </c>
      <c r="M6" s="10" t="s">
        <v>26</v>
      </c>
      <c r="N6" s="15">
        <v>176</v>
      </c>
      <c r="O6">
        <f>+K5-N6</f>
        <v>3</v>
      </c>
      <c r="S6">
        <f>+GETPIVOTDATA("*PFORMACION",$J$2,"*ULT_EST","ACTPETF")+GETPIVOTDATA("*PFORMACION",$J$2,"*ULT_EST","ACTPETS")</f>
        <v>683</v>
      </c>
      <c r="T6">
        <f>+N6+N7</f>
        <v>681</v>
      </c>
    </row>
    <row r="7" spans="1:20" x14ac:dyDescent="0.25">
      <c r="A7" s="17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J7" s="22" t="s">
        <v>5900</v>
      </c>
      <c r="K7" s="22">
        <v>104</v>
      </c>
      <c r="M7" s="10" t="s">
        <v>20</v>
      </c>
      <c r="N7" s="15">
        <v>505</v>
      </c>
      <c r="O7">
        <f t="shared" ref="O7:O31" si="0">+K6-N7</f>
        <v>-1</v>
      </c>
      <c r="S7">
        <f>+GETPIVOTDATA("*PFORMACION",$J$2,"*ULT_EST","INACTPETF")+GETPIVOTDATA("*PFORMACION",$J$2,"*ULT_EST","INACTPETS")</f>
        <v>169</v>
      </c>
      <c r="T7">
        <f>+N27+N28</f>
        <v>170</v>
      </c>
    </row>
    <row r="8" spans="1:20" x14ac:dyDescent="0.25">
      <c r="A8" s="17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J8" s="22" t="s">
        <v>776</v>
      </c>
      <c r="K8" s="22">
        <v>14</v>
      </c>
      <c r="M8" s="10" t="s">
        <v>5900</v>
      </c>
      <c r="N8" s="10">
        <v>79</v>
      </c>
      <c r="O8">
        <f t="shared" si="0"/>
        <v>25</v>
      </c>
      <c r="S8">
        <f>+S7+S6</f>
        <v>852</v>
      </c>
      <c r="T8">
        <f>+T7+T6</f>
        <v>851</v>
      </c>
    </row>
    <row r="9" spans="1:20" x14ac:dyDescent="0.25">
      <c r="A9" s="17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J9" s="22" t="s">
        <v>30</v>
      </c>
      <c r="K9" s="22">
        <v>1013</v>
      </c>
      <c r="M9" s="10" t="s">
        <v>776</v>
      </c>
      <c r="N9" s="10">
        <v>14</v>
      </c>
      <c r="O9">
        <f t="shared" si="0"/>
        <v>0</v>
      </c>
    </row>
    <row r="10" spans="1:20" x14ac:dyDescent="0.25">
      <c r="A10" s="17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J10" s="22" t="s">
        <v>33</v>
      </c>
      <c r="K10" s="22">
        <v>290</v>
      </c>
      <c r="M10" s="10" t="s">
        <v>30</v>
      </c>
      <c r="N10" s="10">
        <v>1013</v>
      </c>
      <c r="O10">
        <f t="shared" si="0"/>
        <v>0</v>
      </c>
    </row>
    <row r="11" spans="1:20" x14ac:dyDescent="0.25">
      <c r="A11" s="17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J11" s="22" t="s">
        <v>263</v>
      </c>
      <c r="K11" s="22">
        <v>9</v>
      </c>
      <c r="M11" s="10" t="s">
        <v>33</v>
      </c>
      <c r="N11" s="10">
        <v>290</v>
      </c>
      <c r="O11">
        <f t="shared" si="0"/>
        <v>0</v>
      </c>
    </row>
    <row r="12" spans="1:20" x14ac:dyDescent="0.25">
      <c r="A12" s="17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J12" s="22" t="s">
        <v>98</v>
      </c>
      <c r="K12" s="22">
        <v>16</v>
      </c>
      <c r="M12" s="10" t="s">
        <v>263</v>
      </c>
      <c r="N12" s="10">
        <v>9</v>
      </c>
      <c r="O12">
        <f t="shared" si="0"/>
        <v>0</v>
      </c>
    </row>
    <row r="13" spans="1:20" x14ac:dyDescent="0.25">
      <c r="A13" s="17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J13" s="22" t="s">
        <v>16</v>
      </c>
      <c r="K13" s="22">
        <v>539</v>
      </c>
      <c r="M13" s="10" t="s">
        <v>98</v>
      </c>
      <c r="N13" s="10">
        <v>17</v>
      </c>
      <c r="O13">
        <f t="shared" si="0"/>
        <v>-1</v>
      </c>
    </row>
    <row r="14" spans="1:20" x14ac:dyDescent="0.25">
      <c r="A14" s="17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J14" s="22" t="s">
        <v>75</v>
      </c>
      <c r="K14" s="25">
        <v>11</v>
      </c>
      <c r="M14" s="10" t="s">
        <v>16</v>
      </c>
      <c r="N14" s="10">
        <v>563</v>
      </c>
      <c r="O14">
        <f t="shared" si="0"/>
        <v>-24</v>
      </c>
    </row>
    <row r="15" spans="1:20" x14ac:dyDescent="0.25">
      <c r="A15" s="17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J15" s="22" t="s">
        <v>11</v>
      </c>
      <c r="K15" s="25">
        <v>2281</v>
      </c>
      <c r="M15" s="10" t="s">
        <v>75</v>
      </c>
      <c r="N15" s="13">
        <v>10</v>
      </c>
      <c r="O15">
        <f t="shared" si="0"/>
        <v>1</v>
      </c>
    </row>
    <row r="16" spans="1:20" x14ac:dyDescent="0.25">
      <c r="A16" s="17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J16" s="22" t="s">
        <v>308</v>
      </c>
      <c r="K16" s="25">
        <v>20</v>
      </c>
      <c r="M16" s="10" t="s">
        <v>11</v>
      </c>
      <c r="N16" s="13">
        <v>2307</v>
      </c>
      <c r="O16">
        <f t="shared" si="0"/>
        <v>-26</v>
      </c>
    </row>
    <row r="17" spans="1:20" x14ac:dyDescent="0.25">
      <c r="A17" s="17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J17" s="22" t="s">
        <v>8</v>
      </c>
      <c r="K17" s="22">
        <v>209</v>
      </c>
      <c r="M17" s="10" t="s">
        <v>308</v>
      </c>
      <c r="N17" s="13">
        <v>20</v>
      </c>
      <c r="O17">
        <f t="shared" si="0"/>
        <v>0</v>
      </c>
    </row>
    <row r="18" spans="1:20" x14ac:dyDescent="0.25">
      <c r="A18" s="17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J18" s="22" t="s">
        <v>1089</v>
      </c>
      <c r="K18" s="25">
        <v>1</v>
      </c>
      <c r="M18" s="10" t="s">
        <v>8</v>
      </c>
      <c r="N18" s="10">
        <v>209</v>
      </c>
      <c r="O18">
        <f t="shared" si="0"/>
        <v>0</v>
      </c>
    </row>
    <row r="19" spans="1:20" x14ac:dyDescent="0.25">
      <c r="A19" s="17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J19" s="22" t="s">
        <v>118</v>
      </c>
      <c r="K19" s="22">
        <v>3</v>
      </c>
      <c r="M19" s="10" t="s">
        <v>1089</v>
      </c>
      <c r="N19" s="13">
        <v>1</v>
      </c>
      <c r="O19">
        <f t="shared" si="0"/>
        <v>0</v>
      </c>
    </row>
    <row r="20" spans="1:20" x14ac:dyDescent="0.25">
      <c r="A20" s="17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J20" s="22" t="s">
        <v>57</v>
      </c>
      <c r="K20" s="22">
        <v>269</v>
      </c>
      <c r="M20" s="10" t="s">
        <v>118</v>
      </c>
      <c r="N20" s="10">
        <v>4</v>
      </c>
      <c r="O20">
        <f t="shared" si="0"/>
        <v>-1</v>
      </c>
      <c r="S20">
        <f>+GETPIVOTDATA("*PFORMACION",$J$2,"*ULT_EST","BM")+GETPIVOTDATA("*PFORMACION",$J$2,"*ULT_EST","INACTBM")</f>
        <v>2550</v>
      </c>
      <c r="T20">
        <f>+N16+N21</f>
        <v>2551</v>
      </c>
    </row>
    <row r="21" spans="1:20" x14ac:dyDescent="0.25">
      <c r="A21" s="17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J21" s="22" t="s">
        <v>824</v>
      </c>
      <c r="K21" s="22">
        <v>1</v>
      </c>
      <c r="M21" s="10" t="s">
        <v>57</v>
      </c>
      <c r="N21" s="10">
        <v>244</v>
      </c>
      <c r="O21">
        <f t="shared" si="0"/>
        <v>25</v>
      </c>
    </row>
    <row r="22" spans="1:20" x14ac:dyDescent="0.25">
      <c r="A22" s="17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J22" s="22" t="s">
        <v>170</v>
      </c>
      <c r="K22" s="22">
        <v>16</v>
      </c>
      <c r="M22" s="10" t="s">
        <v>824</v>
      </c>
      <c r="N22" s="10">
        <v>1</v>
      </c>
      <c r="O22">
        <f t="shared" si="0"/>
        <v>0</v>
      </c>
    </row>
    <row r="23" spans="1:20" x14ac:dyDescent="0.25">
      <c r="A23" s="17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J23" s="22" t="s">
        <v>5631</v>
      </c>
      <c r="K23" s="22">
        <v>3</v>
      </c>
      <c r="M23" s="10" t="s">
        <v>170</v>
      </c>
      <c r="N23" s="10">
        <v>16</v>
      </c>
      <c r="O23">
        <f t="shared" si="0"/>
        <v>0</v>
      </c>
    </row>
    <row r="24" spans="1:20" x14ac:dyDescent="0.25">
      <c r="A24" s="17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J24" s="22" t="s">
        <v>686</v>
      </c>
      <c r="K24" s="22">
        <v>37</v>
      </c>
      <c r="M24" s="10" t="s">
        <v>5631</v>
      </c>
      <c r="N24" s="10">
        <v>3</v>
      </c>
      <c r="O24">
        <f t="shared" si="0"/>
        <v>0</v>
      </c>
    </row>
    <row r="25" spans="1:20" x14ac:dyDescent="0.25">
      <c r="A25" s="17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J25" s="22" t="s">
        <v>2458</v>
      </c>
      <c r="K25" s="22">
        <v>6</v>
      </c>
      <c r="M25" s="10" t="s">
        <v>686</v>
      </c>
      <c r="N25" s="10">
        <v>36</v>
      </c>
      <c r="O25">
        <f t="shared" si="0"/>
        <v>1</v>
      </c>
    </row>
    <row r="26" spans="1:20" x14ac:dyDescent="0.25">
      <c r="A26" s="17"/>
      <c r="B26" s="4" t="s">
        <v>50</v>
      </c>
      <c r="C26" s="4" t="s">
        <v>14</v>
      </c>
      <c r="D26" s="4" t="s">
        <v>15</v>
      </c>
      <c r="E26" s="4" t="s">
        <v>16</v>
      </c>
      <c r="F26" s="4" t="s">
        <v>14</v>
      </c>
      <c r="G26" s="5" t="s">
        <v>16</v>
      </c>
      <c r="J26" s="22" t="s">
        <v>36</v>
      </c>
      <c r="K26" s="22">
        <v>62</v>
      </c>
      <c r="M26" s="10" t="s">
        <v>2458</v>
      </c>
      <c r="N26" s="10">
        <v>3</v>
      </c>
      <c r="O26">
        <f t="shared" si="0"/>
        <v>3</v>
      </c>
    </row>
    <row r="27" spans="1:20" x14ac:dyDescent="0.25">
      <c r="A27" s="17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J27" s="22" t="s">
        <v>163</v>
      </c>
      <c r="K27" s="22">
        <v>107</v>
      </c>
      <c r="M27" s="10" t="s">
        <v>36</v>
      </c>
      <c r="N27" s="10">
        <v>65</v>
      </c>
      <c r="O27">
        <f t="shared" si="0"/>
        <v>-3</v>
      </c>
    </row>
    <row r="28" spans="1:20" x14ac:dyDescent="0.25">
      <c r="A28" s="17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J28" s="22" t="s">
        <v>2266</v>
      </c>
      <c r="K28" s="22">
        <v>16</v>
      </c>
      <c r="M28" s="10" t="s">
        <v>163</v>
      </c>
      <c r="N28" s="10">
        <v>105</v>
      </c>
      <c r="O28">
        <f t="shared" si="0"/>
        <v>2</v>
      </c>
    </row>
    <row r="29" spans="1:20" x14ac:dyDescent="0.25">
      <c r="A29" s="17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J29" s="24" t="s">
        <v>549</v>
      </c>
      <c r="K29" s="26">
        <v>60</v>
      </c>
      <c r="M29" s="10" t="s">
        <v>2266</v>
      </c>
      <c r="N29" s="10">
        <v>15</v>
      </c>
      <c r="O29">
        <f t="shared" si="0"/>
        <v>1</v>
      </c>
    </row>
    <row r="30" spans="1:20" x14ac:dyDescent="0.25">
      <c r="A30" s="17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J30" s="21" t="s">
        <v>5899</v>
      </c>
      <c r="K30" s="21">
        <v>5820</v>
      </c>
      <c r="M30" s="11" t="s">
        <v>549</v>
      </c>
      <c r="N30" s="14">
        <v>61</v>
      </c>
      <c r="O30">
        <f t="shared" si="0"/>
        <v>-1</v>
      </c>
    </row>
    <row r="31" spans="1:20" x14ac:dyDescent="0.25">
      <c r="A31" s="17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M31" s="16" t="s">
        <v>5899</v>
      </c>
      <c r="N31" s="16">
        <v>5820</v>
      </c>
      <c r="O31">
        <f t="shared" si="0"/>
        <v>0</v>
      </c>
    </row>
    <row r="32" spans="1:20" x14ac:dyDescent="0.25">
      <c r="A32" s="17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</row>
    <row r="33" spans="1:7" x14ac:dyDescent="0.25">
      <c r="A33" s="17"/>
      <c r="B33" s="4" t="s">
        <v>58</v>
      </c>
      <c r="C33" s="4" t="s">
        <v>14</v>
      </c>
      <c r="D33" s="4" t="s">
        <v>15</v>
      </c>
      <c r="E33" s="4" t="s">
        <v>16</v>
      </c>
      <c r="F33" s="4" t="s">
        <v>14</v>
      </c>
      <c r="G33" s="5" t="s">
        <v>16</v>
      </c>
    </row>
    <row r="34" spans="1:7" x14ac:dyDescent="0.25">
      <c r="A34" s="17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</row>
    <row r="35" spans="1:7" x14ac:dyDescent="0.25">
      <c r="A35" s="17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</row>
    <row r="36" spans="1:7" x14ac:dyDescent="0.25">
      <c r="A36" s="17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</row>
    <row r="37" spans="1:7" x14ac:dyDescent="0.25">
      <c r="A37" s="17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</row>
    <row r="38" spans="1:7" x14ac:dyDescent="0.25">
      <c r="A38" s="17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20</v>
      </c>
    </row>
    <row r="39" spans="1:7" x14ac:dyDescent="0.25">
      <c r="A39" s="17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</row>
    <row r="40" spans="1:7" x14ac:dyDescent="0.25">
      <c r="A40" s="17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11</v>
      </c>
    </row>
    <row r="41" spans="1:7" x14ac:dyDescent="0.25">
      <c r="A41" s="17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</row>
    <row r="42" spans="1:7" x14ac:dyDescent="0.25">
      <c r="A42" s="17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</row>
    <row r="43" spans="1:7" x14ac:dyDescent="0.25">
      <c r="A43" s="17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</row>
    <row r="44" spans="1:7" x14ac:dyDescent="0.25">
      <c r="A44" s="17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</row>
    <row r="45" spans="1:7" x14ac:dyDescent="0.25">
      <c r="A45" s="17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</row>
    <row r="46" spans="1:7" x14ac:dyDescent="0.25">
      <c r="A46" s="17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</row>
    <row r="47" spans="1:7" x14ac:dyDescent="0.25">
      <c r="A47" s="17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11</v>
      </c>
    </row>
    <row r="48" spans="1:7" x14ac:dyDescent="0.25">
      <c r="A48" s="17"/>
      <c r="B48" s="4" t="s">
        <v>74</v>
      </c>
      <c r="C48" s="4" t="s">
        <v>75</v>
      </c>
      <c r="D48" s="4" t="s">
        <v>76</v>
      </c>
      <c r="E48" s="4" t="s">
        <v>75</v>
      </c>
      <c r="F48" s="4" t="s">
        <v>77</v>
      </c>
      <c r="G48" s="5" t="s">
        <v>75</v>
      </c>
    </row>
    <row r="49" spans="1:7" x14ac:dyDescent="0.25">
      <c r="A49" s="17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</row>
    <row r="50" spans="1:7" x14ac:dyDescent="0.25">
      <c r="A50" s="17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</row>
    <row r="51" spans="1:7" x14ac:dyDescent="0.25">
      <c r="A51" s="17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</row>
    <row r="52" spans="1:7" x14ac:dyDescent="0.25">
      <c r="A52" s="17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</row>
    <row r="53" spans="1:7" x14ac:dyDescent="0.25">
      <c r="A53" s="17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</row>
    <row r="54" spans="1:7" x14ac:dyDescent="0.25">
      <c r="A54" s="17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</row>
    <row r="55" spans="1:7" x14ac:dyDescent="0.25">
      <c r="A55" s="17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</row>
    <row r="56" spans="1:7" x14ac:dyDescent="0.25">
      <c r="A56" s="17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</row>
    <row r="57" spans="1:7" x14ac:dyDescent="0.25">
      <c r="A57" s="17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</row>
    <row r="58" spans="1:7" x14ac:dyDescent="0.25">
      <c r="A58" s="17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</row>
    <row r="59" spans="1:7" x14ac:dyDescent="0.25">
      <c r="A59" s="17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</row>
    <row r="60" spans="1:7" x14ac:dyDescent="0.25">
      <c r="A60" s="17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</row>
    <row r="61" spans="1:7" x14ac:dyDescent="0.25">
      <c r="A61" s="17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</row>
    <row r="62" spans="1:7" x14ac:dyDescent="0.25">
      <c r="A62" s="17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</row>
    <row r="63" spans="1:7" x14ac:dyDescent="0.25">
      <c r="A63" s="17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</row>
    <row r="64" spans="1:7" x14ac:dyDescent="0.25">
      <c r="A64" s="17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">
        <v>11</v>
      </c>
    </row>
    <row r="65" spans="1:7" x14ac:dyDescent="0.25">
      <c r="A65" s="17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</row>
    <row r="66" spans="1:7" x14ac:dyDescent="0.25">
      <c r="A66" s="17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</row>
    <row r="67" spans="1:7" x14ac:dyDescent="0.25">
      <c r="A67" s="17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</row>
    <row r="68" spans="1:7" x14ac:dyDescent="0.25">
      <c r="A68" s="17"/>
      <c r="B68" s="4" t="s">
        <v>97</v>
      </c>
      <c r="C68" s="4" t="s">
        <v>14</v>
      </c>
      <c r="D68" s="4" t="s">
        <v>15</v>
      </c>
      <c r="E68" s="4" t="s">
        <v>98</v>
      </c>
      <c r="F68" s="4" t="s">
        <v>14</v>
      </c>
      <c r="G68" s="5" t="s">
        <v>98</v>
      </c>
    </row>
    <row r="69" spans="1:7" x14ac:dyDescent="0.25">
      <c r="A69" s="17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</row>
    <row r="70" spans="1:7" x14ac:dyDescent="0.25">
      <c r="A70" s="17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</row>
    <row r="71" spans="1:7" x14ac:dyDescent="0.25">
      <c r="A71" s="17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</row>
    <row r="72" spans="1:7" x14ac:dyDescent="0.25">
      <c r="A72" s="17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</row>
    <row r="73" spans="1:7" x14ac:dyDescent="0.25">
      <c r="A73" s="17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</row>
    <row r="74" spans="1:7" x14ac:dyDescent="0.25">
      <c r="A74" s="17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</row>
    <row r="75" spans="1:7" x14ac:dyDescent="0.25">
      <c r="A75" s="17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</row>
    <row r="76" spans="1:7" x14ac:dyDescent="0.25">
      <c r="A76" s="17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</row>
    <row r="77" spans="1:7" x14ac:dyDescent="0.25">
      <c r="A77" s="17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</row>
    <row r="78" spans="1:7" x14ac:dyDescent="0.25">
      <c r="A78" s="17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</row>
    <row r="79" spans="1:7" x14ac:dyDescent="0.25">
      <c r="A79" s="17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</row>
    <row r="80" spans="1:7" x14ac:dyDescent="0.25">
      <c r="A80" s="17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</row>
    <row r="81" spans="1:7" x14ac:dyDescent="0.25">
      <c r="A81" s="17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</row>
    <row r="82" spans="1:7" x14ac:dyDescent="0.25">
      <c r="A82" s="17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">
        <v>111</v>
      </c>
    </row>
    <row r="83" spans="1:7" x14ac:dyDescent="0.25">
      <c r="A83" s="17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</row>
    <row r="84" spans="1:7" x14ac:dyDescent="0.25">
      <c r="A84" s="17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</row>
    <row r="85" spans="1:7" x14ac:dyDescent="0.25">
      <c r="A85" s="17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</row>
    <row r="86" spans="1:7" x14ac:dyDescent="0.25">
      <c r="A86" s="17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</row>
    <row r="87" spans="1:7" x14ac:dyDescent="0.25">
      <c r="A87" s="17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</row>
    <row r="88" spans="1:7" x14ac:dyDescent="0.25">
      <c r="A88" s="17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</row>
    <row r="89" spans="1:7" x14ac:dyDescent="0.25">
      <c r="A89" s="17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</row>
    <row r="90" spans="1:7" x14ac:dyDescent="0.25">
      <c r="A90" s="17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</row>
    <row r="91" spans="1:7" x14ac:dyDescent="0.25">
      <c r="A91" s="17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</row>
    <row r="92" spans="1:7" x14ac:dyDescent="0.25">
      <c r="A92" s="17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</row>
    <row r="93" spans="1:7" x14ac:dyDescent="0.25">
      <c r="A93" s="17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</row>
    <row r="94" spans="1:7" x14ac:dyDescent="0.25">
      <c r="A94" s="17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</row>
    <row r="95" spans="1:7" x14ac:dyDescent="0.25">
      <c r="A95" s="17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</row>
    <row r="96" spans="1:7" x14ac:dyDescent="0.25">
      <c r="A96" s="17"/>
      <c r="B96" s="4" t="s">
        <v>133</v>
      </c>
      <c r="C96" s="4" t="s">
        <v>14</v>
      </c>
      <c r="D96" s="4" t="s">
        <v>15</v>
      </c>
      <c r="E96" s="4" t="s">
        <v>16</v>
      </c>
      <c r="F96" s="4" t="s">
        <v>14</v>
      </c>
      <c r="G96" s="5" t="s">
        <v>16</v>
      </c>
    </row>
    <row r="97" spans="1:7" x14ac:dyDescent="0.25">
      <c r="A97" s="17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</row>
    <row r="98" spans="1:7" x14ac:dyDescent="0.25">
      <c r="A98" s="17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</row>
    <row r="99" spans="1:7" x14ac:dyDescent="0.25">
      <c r="A99" s="17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</row>
    <row r="100" spans="1:7" x14ac:dyDescent="0.25">
      <c r="A100" s="17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</row>
    <row r="101" spans="1:7" x14ac:dyDescent="0.25">
      <c r="A101" s="17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</row>
    <row r="102" spans="1:7" x14ac:dyDescent="0.25">
      <c r="A102" s="17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</row>
    <row r="103" spans="1:7" x14ac:dyDescent="0.25">
      <c r="A103" s="17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</row>
    <row r="104" spans="1:7" x14ac:dyDescent="0.25">
      <c r="A104" s="17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</row>
    <row r="105" spans="1:7" x14ac:dyDescent="0.25">
      <c r="A105" s="17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</row>
    <row r="106" spans="1:7" x14ac:dyDescent="0.25">
      <c r="A106" s="17"/>
      <c r="B106" s="4" t="s">
        <v>144</v>
      </c>
      <c r="C106" s="4" t="s">
        <v>14</v>
      </c>
      <c r="D106" s="4" t="s">
        <v>15</v>
      </c>
      <c r="E106" s="4" t="s">
        <v>16</v>
      </c>
      <c r="F106" s="4" t="s">
        <v>14</v>
      </c>
      <c r="G106" s="5" t="s">
        <v>16</v>
      </c>
    </row>
    <row r="107" spans="1:7" x14ac:dyDescent="0.25">
      <c r="A107" s="17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</row>
    <row r="108" spans="1:7" x14ac:dyDescent="0.25">
      <c r="A108" s="17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</row>
    <row r="109" spans="1:7" x14ac:dyDescent="0.25">
      <c r="A109" s="17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</row>
    <row r="110" spans="1:7" x14ac:dyDescent="0.25">
      <c r="A110" s="17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</row>
    <row r="111" spans="1:7" x14ac:dyDescent="0.25">
      <c r="A111" s="17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</row>
    <row r="112" spans="1:7" x14ac:dyDescent="0.25">
      <c r="A112" s="17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</row>
    <row r="113" spans="1:7" x14ac:dyDescent="0.25">
      <c r="A113" s="17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</row>
    <row r="114" spans="1:7" x14ac:dyDescent="0.25">
      <c r="A114" s="17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</row>
    <row r="115" spans="1:7" x14ac:dyDescent="0.25">
      <c r="A115" s="17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</row>
    <row r="116" spans="1:7" x14ac:dyDescent="0.25">
      <c r="A116" s="17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</row>
    <row r="117" spans="1:7" x14ac:dyDescent="0.25">
      <c r="A117" s="17"/>
      <c r="B117" s="4" t="s">
        <v>155</v>
      </c>
      <c r="C117" s="4" t="s">
        <v>14</v>
      </c>
      <c r="D117" s="4" t="s">
        <v>15</v>
      </c>
      <c r="E117" s="4" t="s">
        <v>16</v>
      </c>
      <c r="F117" s="4" t="s">
        <v>14</v>
      </c>
      <c r="G117" s="5" t="s">
        <v>16</v>
      </c>
    </row>
    <row r="118" spans="1:7" x14ac:dyDescent="0.25">
      <c r="A118" s="17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</row>
    <row r="119" spans="1:7" x14ac:dyDescent="0.25">
      <c r="A119" s="17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</row>
    <row r="120" spans="1:7" x14ac:dyDescent="0.25">
      <c r="A120" s="17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</row>
    <row r="121" spans="1:7" x14ac:dyDescent="0.25">
      <c r="A121" s="17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</row>
    <row r="122" spans="1:7" x14ac:dyDescent="0.25">
      <c r="A122" s="17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</row>
    <row r="123" spans="1:7" x14ac:dyDescent="0.25">
      <c r="A123" s="17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</row>
    <row r="124" spans="1:7" x14ac:dyDescent="0.25">
      <c r="A124" s="17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</row>
    <row r="125" spans="1:7" x14ac:dyDescent="0.25">
      <c r="A125" s="17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</row>
    <row r="126" spans="1:7" x14ac:dyDescent="0.25">
      <c r="A126" s="17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</row>
    <row r="127" spans="1:7" x14ac:dyDescent="0.25">
      <c r="A127" s="17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</row>
    <row r="128" spans="1:7" x14ac:dyDescent="0.25">
      <c r="A128" s="17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</row>
    <row r="129" spans="1:7" x14ac:dyDescent="0.25">
      <c r="A129" s="17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</row>
    <row r="130" spans="1:7" x14ac:dyDescent="0.25">
      <c r="A130" s="17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</row>
    <row r="131" spans="1:7" x14ac:dyDescent="0.25">
      <c r="A131" s="17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</row>
    <row r="132" spans="1:7" x14ac:dyDescent="0.25">
      <c r="A132" s="17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</row>
    <row r="133" spans="1:7" x14ac:dyDescent="0.25">
      <c r="A133" s="17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</row>
    <row r="134" spans="1:7" x14ac:dyDescent="0.25">
      <c r="A134" s="17"/>
      <c r="B134" s="4" t="s">
        <v>176</v>
      </c>
      <c r="C134" s="4" t="s">
        <v>11</v>
      </c>
      <c r="D134" s="4" t="s">
        <v>11</v>
      </c>
      <c r="E134" s="4" t="s">
        <v>11</v>
      </c>
      <c r="F134" s="4" t="s">
        <v>100</v>
      </c>
      <c r="G134" s="5" t="s">
        <v>11</v>
      </c>
    </row>
    <row r="135" spans="1:7" x14ac:dyDescent="0.25">
      <c r="A135" s="17"/>
      <c r="B135" s="4" t="s">
        <v>177</v>
      </c>
      <c r="C135" s="4" t="s">
        <v>35</v>
      </c>
      <c r="D135" s="4" t="s">
        <v>35</v>
      </c>
      <c r="E135" s="4" t="s">
        <v>686</v>
      </c>
      <c r="F135" s="4" t="s">
        <v>112</v>
      </c>
      <c r="G135" s="5" t="s">
        <v>111</v>
      </c>
    </row>
    <row r="136" spans="1:7" x14ac:dyDescent="0.25">
      <c r="A136" s="17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</row>
    <row r="137" spans="1:7" x14ac:dyDescent="0.25">
      <c r="A137" s="17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</row>
    <row r="138" spans="1:7" x14ac:dyDescent="0.25">
      <c r="A138" s="17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</row>
    <row r="139" spans="1:7" x14ac:dyDescent="0.25">
      <c r="A139" s="17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</row>
    <row r="140" spans="1:7" x14ac:dyDescent="0.25">
      <c r="A140" s="17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</row>
    <row r="141" spans="1:7" x14ac:dyDescent="0.25">
      <c r="A141" s="17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</row>
    <row r="142" spans="1:7" x14ac:dyDescent="0.25">
      <c r="A142" s="17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</row>
    <row r="143" spans="1:7" x14ac:dyDescent="0.25">
      <c r="A143" s="17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</row>
    <row r="144" spans="1:7" x14ac:dyDescent="0.25">
      <c r="A144" s="17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</row>
    <row r="145" spans="1:7" x14ac:dyDescent="0.25">
      <c r="A145" s="17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</row>
    <row r="146" spans="1:7" x14ac:dyDescent="0.25">
      <c r="A146" s="17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</row>
    <row r="147" spans="1:7" x14ac:dyDescent="0.25">
      <c r="A147" s="17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</row>
    <row r="148" spans="1:7" x14ac:dyDescent="0.25">
      <c r="A148" s="17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</row>
    <row r="149" spans="1:7" x14ac:dyDescent="0.25">
      <c r="A149" s="17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</row>
    <row r="150" spans="1:7" x14ac:dyDescent="0.25">
      <c r="A150" s="17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</row>
    <row r="151" spans="1:7" x14ac:dyDescent="0.25">
      <c r="A151" s="17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</row>
    <row r="152" spans="1:7" x14ac:dyDescent="0.25">
      <c r="A152" s="17"/>
      <c r="B152" s="4" t="s">
        <v>194</v>
      </c>
      <c r="C152" s="4" t="s">
        <v>14</v>
      </c>
      <c r="D152" s="4" t="s">
        <v>15</v>
      </c>
      <c r="E152" s="4" t="s">
        <v>16</v>
      </c>
      <c r="F152" s="4" t="s">
        <v>14</v>
      </c>
      <c r="G152" s="5" t="s">
        <v>16</v>
      </c>
    </row>
    <row r="153" spans="1:7" x14ac:dyDescent="0.25">
      <c r="A153" s="17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</row>
    <row r="154" spans="1:7" x14ac:dyDescent="0.25">
      <c r="A154" s="17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</row>
    <row r="155" spans="1:7" x14ac:dyDescent="0.25">
      <c r="A155" s="17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</row>
    <row r="156" spans="1:7" x14ac:dyDescent="0.25">
      <c r="A156" s="17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</row>
    <row r="157" spans="1:7" x14ac:dyDescent="0.25">
      <c r="A157" s="17"/>
      <c r="B157" s="4" t="s">
        <v>199</v>
      </c>
      <c r="C157" s="4" t="s">
        <v>14</v>
      </c>
      <c r="D157" s="4" t="s">
        <v>15</v>
      </c>
      <c r="E157" s="4" t="s">
        <v>16</v>
      </c>
      <c r="F157" s="4" t="s">
        <v>14</v>
      </c>
      <c r="G157" s="5" t="s">
        <v>16</v>
      </c>
    </row>
    <row r="158" spans="1:7" x14ac:dyDescent="0.25">
      <c r="A158" s="17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</row>
    <row r="159" spans="1:7" x14ac:dyDescent="0.25">
      <c r="A159" s="17"/>
      <c r="B159" s="4" t="s">
        <v>201</v>
      </c>
      <c r="C159" s="4" t="s">
        <v>14</v>
      </c>
      <c r="D159" s="4" t="s">
        <v>15</v>
      </c>
      <c r="E159" s="4" t="s">
        <v>16</v>
      </c>
      <c r="F159" s="4" t="s">
        <v>14</v>
      </c>
      <c r="G159" s="5" t="s">
        <v>16</v>
      </c>
    </row>
    <row r="160" spans="1:7" x14ac:dyDescent="0.25">
      <c r="A160" s="17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</row>
    <row r="161" spans="1:7" x14ac:dyDescent="0.25">
      <c r="A161" s="17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</row>
    <row r="162" spans="1:7" x14ac:dyDescent="0.25">
      <c r="A162" s="17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</row>
    <row r="163" spans="1:7" x14ac:dyDescent="0.25">
      <c r="A163" s="17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</row>
    <row r="164" spans="1:7" x14ac:dyDescent="0.25">
      <c r="A164" s="17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</row>
    <row r="165" spans="1:7" x14ac:dyDescent="0.25">
      <c r="A165" s="17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</row>
    <row r="166" spans="1:7" x14ac:dyDescent="0.25">
      <c r="A166" s="17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</row>
    <row r="167" spans="1:7" x14ac:dyDescent="0.25">
      <c r="A167" s="17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</row>
    <row r="168" spans="1:7" x14ac:dyDescent="0.25">
      <c r="A168" s="17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</row>
    <row r="169" spans="1:7" x14ac:dyDescent="0.25">
      <c r="A169" s="17"/>
      <c r="B169" s="4" t="s">
        <v>211</v>
      </c>
      <c r="C169" s="4" t="s">
        <v>14</v>
      </c>
      <c r="D169" s="4" t="s">
        <v>15</v>
      </c>
      <c r="E169" s="4" t="s">
        <v>16</v>
      </c>
      <c r="F169" s="4" t="s">
        <v>14</v>
      </c>
      <c r="G169" s="5" t="s">
        <v>16</v>
      </c>
    </row>
    <row r="170" spans="1:7" x14ac:dyDescent="0.25">
      <c r="A170" s="17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</row>
    <row r="171" spans="1:7" x14ac:dyDescent="0.25">
      <c r="A171" s="17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</row>
    <row r="172" spans="1:7" x14ac:dyDescent="0.25">
      <c r="A172" s="17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</row>
    <row r="173" spans="1:7" x14ac:dyDescent="0.25">
      <c r="A173" s="17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</row>
    <row r="174" spans="1:7" x14ac:dyDescent="0.25">
      <c r="A174" s="17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</row>
    <row r="175" spans="1:7" x14ac:dyDescent="0.25">
      <c r="A175" s="17"/>
      <c r="B175" s="4" t="s">
        <v>217</v>
      </c>
      <c r="C175" s="4" t="s">
        <v>14</v>
      </c>
      <c r="D175" s="4" t="s">
        <v>15</v>
      </c>
      <c r="E175" s="4" t="s">
        <v>16</v>
      </c>
      <c r="F175" s="4" t="s">
        <v>14</v>
      </c>
      <c r="G175" s="5" t="s">
        <v>16</v>
      </c>
    </row>
    <row r="176" spans="1:7" x14ac:dyDescent="0.25">
      <c r="A176" s="17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</row>
    <row r="177" spans="1:7" x14ac:dyDescent="0.25">
      <c r="A177" s="17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</row>
    <row r="178" spans="1:7" x14ac:dyDescent="0.25">
      <c r="A178" s="17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</row>
    <row r="179" spans="1:7" x14ac:dyDescent="0.25">
      <c r="A179" s="17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</row>
    <row r="180" spans="1:7" x14ac:dyDescent="0.25">
      <c r="A180" s="17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</row>
    <row r="181" spans="1:7" x14ac:dyDescent="0.25">
      <c r="A181" s="17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</row>
    <row r="182" spans="1:7" x14ac:dyDescent="0.25">
      <c r="A182" s="17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</row>
    <row r="183" spans="1:7" x14ac:dyDescent="0.25">
      <c r="A183" s="17"/>
      <c r="B183" s="4" t="s">
        <v>225</v>
      </c>
      <c r="C183" s="4" t="s">
        <v>35</v>
      </c>
      <c r="D183" s="4" t="s">
        <v>35</v>
      </c>
      <c r="E183" s="4" t="s">
        <v>57</v>
      </c>
      <c r="F183" s="4" t="s">
        <v>77</v>
      </c>
      <c r="G183" s="5" t="s">
        <v>57</v>
      </c>
    </row>
    <row r="184" spans="1:7" x14ac:dyDescent="0.25">
      <c r="A184" s="17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</row>
    <row r="185" spans="1:7" x14ac:dyDescent="0.25">
      <c r="A185" s="17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</row>
    <row r="186" spans="1:7" x14ac:dyDescent="0.25">
      <c r="A186" s="17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</row>
    <row r="187" spans="1:7" x14ac:dyDescent="0.25">
      <c r="A187" s="17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</row>
    <row r="188" spans="1:7" x14ac:dyDescent="0.25">
      <c r="A188" s="17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</row>
    <row r="189" spans="1:7" x14ac:dyDescent="0.25">
      <c r="A189" s="17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</row>
    <row r="190" spans="1:7" x14ac:dyDescent="0.25">
      <c r="A190" s="17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</row>
    <row r="191" spans="1:7" x14ac:dyDescent="0.25">
      <c r="A191" s="17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</row>
    <row r="192" spans="1:7" x14ac:dyDescent="0.25">
      <c r="A192" s="17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</row>
    <row r="193" spans="1:7" x14ac:dyDescent="0.25">
      <c r="A193" s="17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</row>
    <row r="194" spans="1:7" x14ac:dyDescent="0.25">
      <c r="A194" s="17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</row>
    <row r="195" spans="1:7" x14ac:dyDescent="0.25">
      <c r="A195" s="17"/>
      <c r="B195" s="4" t="s">
        <v>237</v>
      </c>
      <c r="C195" s="4" t="s">
        <v>14</v>
      </c>
      <c r="D195" s="4" t="s">
        <v>15</v>
      </c>
      <c r="E195" s="4" t="s">
        <v>16</v>
      </c>
      <c r="F195" s="4" t="s">
        <v>14</v>
      </c>
      <c r="G195" s="5" t="s">
        <v>16</v>
      </c>
    </row>
    <row r="196" spans="1:7" x14ac:dyDescent="0.25">
      <c r="A196" s="17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</row>
    <row r="197" spans="1:7" x14ac:dyDescent="0.25">
      <c r="A197" s="17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</row>
    <row r="198" spans="1:7" x14ac:dyDescent="0.25">
      <c r="A198" s="17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</row>
    <row r="199" spans="1:7" x14ac:dyDescent="0.25">
      <c r="A199" s="17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</row>
    <row r="200" spans="1:7" x14ac:dyDescent="0.25">
      <c r="A200" s="17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</row>
    <row r="201" spans="1:7" x14ac:dyDescent="0.25">
      <c r="A201" s="17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</row>
    <row r="202" spans="1:7" x14ac:dyDescent="0.25">
      <c r="A202" s="17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</row>
    <row r="203" spans="1:7" x14ac:dyDescent="0.25">
      <c r="A203" s="17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</row>
    <row r="204" spans="1:7" x14ac:dyDescent="0.25">
      <c r="A204" s="17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</row>
    <row r="205" spans="1:7" x14ac:dyDescent="0.25">
      <c r="A205" s="17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</row>
    <row r="206" spans="1:7" x14ac:dyDescent="0.25">
      <c r="A206" s="17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</row>
    <row r="207" spans="1:7" x14ac:dyDescent="0.25">
      <c r="A207" s="17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</row>
    <row r="208" spans="1:7" x14ac:dyDescent="0.25">
      <c r="A208" s="17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</row>
    <row r="209" spans="1:7" x14ac:dyDescent="0.25">
      <c r="A209" s="17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</row>
    <row r="210" spans="1:7" x14ac:dyDescent="0.25">
      <c r="A210" s="17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</row>
    <row r="211" spans="1:7" x14ac:dyDescent="0.25">
      <c r="A211" s="17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</row>
    <row r="212" spans="1:7" x14ac:dyDescent="0.25">
      <c r="A212" s="17"/>
      <c r="B212" s="4" t="s">
        <v>255</v>
      </c>
      <c r="C212" s="4" t="s">
        <v>14</v>
      </c>
      <c r="D212" s="4" t="s">
        <v>15</v>
      </c>
      <c r="E212" s="4" t="s">
        <v>16</v>
      </c>
      <c r="F212" s="4" t="s">
        <v>14</v>
      </c>
      <c r="G212" s="5" t="s">
        <v>16</v>
      </c>
    </row>
    <row r="213" spans="1:7" x14ac:dyDescent="0.25">
      <c r="A213" s="17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</row>
    <row r="214" spans="1:7" x14ac:dyDescent="0.25">
      <c r="A214" s="17"/>
      <c r="B214" s="4" t="s">
        <v>257</v>
      </c>
      <c r="C214" s="4" t="s">
        <v>14</v>
      </c>
      <c r="D214" s="4" t="s">
        <v>15</v>
      </c>
      <c r="E214" s="4" t="s">
        <v>98</v>
      </c>
      <c r="F214" s="4" t="s">
        <v>14</v>
      </c>
      <c r="G214" s="5" t="s">
        <v>98</v>
      </c>
    </row>
    <row r="215" spans="1:7" x14ac:dyDescent="0.25">
      <c r="A215" s="17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</row>
    <row r="216" spans="1:7" x14ac:dyDescent="0.25">
      <c r="A216" s="17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</row>
    <row r="217" spans="1:7" x14ac:dyDescent="0.25">
      <c r="A217" s="17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</row>
    <row r="218" spans="1:7" x14ac:dyDescent="0.25">
      <c r="A218" s="17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</row>
    <row r="219" spans="1:7" x14ac:dyDescent="0.25">
      <c r="A219" s="17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</row>
    <row r="220" spans="1:7" x14ac:dyDescent="0.25">
      <c r="A220" s="17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</row>
    <row r="221" spans="1:7" x14ac:dyDescent="0.25">
      <c r="A221" s="17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</row>
    <row r="222" spans="1:7" x14ac:dyDescent="0.25">
      <c r="A222" s="17"/>
      <c r="B222" s="4" t="s">
        <v>266</v>
      </c>
      <c r="C222" s="4" t="s">
        <v>14</v>
      </c>
      <c r="D222" s="4" t="s">
        <v>15</v>
      </c>
      <c r="E222" s="4" t="s">
        <v>16</v>
      </c>
      <c r="F222" s="4" t="s">
        <v>14</v>
      </c>
      <c r="G222" s="5" t="s">
        <v>16</v>
      </c>
    </row>
    <row r="223" spans="1:7" x14ac:dyDescent="0.25">
      <c r="A223" s="17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</row>
    <row r="224" spans="1:7" x14ac:dyDescent="0.25">
      <c r="A224" s="17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</row>
    <row r="225" spans="1:7" x14ac:dyDescent="0.25">
      <c r="A225" s="17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</row>
    <row r="226" spans="1:7" x14ac:dyDescent="0.25">
      <c r="A226" s="17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</row>
    <row r="227" spans="1:7" x14ac:dyDescent="0.25">
      <c r="A227" s="17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</row>
    <row r="228" spans="1:7" x14ac:dyDescent="0.25">
      <c r="A228" s="17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</row>
    <row r="229" spans="1:7" x14ac:dyDescent="0.25">
      <c r="A229" s="17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</row>
    <row r="230" spans="1:7" x14ac:dyDescent="0.25">
      <c r="A230" s="17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</row>
    <row r="231" spans="1:7" x14ac:dyDescent="0.25">
      <c r="A231" s="17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</row>
    <row r="232" spans="1:7" x14ac:dyDescent="0.25">
      <c r="A232" s="17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</row>
    <row r="233" spans="1:7" x14ac:dyDescent="0.25">
      <c r="A233" s="17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</row>
    <row r="234" spans="1:7" x14ac:dyDescent="0.25">
      <c r="A234" s="17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</row>
    <row r="235" spans="1:7" x14ac:dyDescent="0.25">
      <c r="A235" s="17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</row>
    <row r="236" spans="1:7" x14ac:dyDescent="0.25">
      <c r="A236" s="17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</row>
    <row r="237" spans="1:7" x14ac:dyDescent="0.25">
      <c r="A237" s="17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</row>
    <row r="238" spans="1:7" x14ac:dyDescent="0.25">
      <c r="A238" s="17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</row>
    <row r="239" spans="1:7" x14ac:dyDescent="0.25">
      <c r="A239" s="17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">
        <v>20</v>
      </c>
    </row>
    <row r="240" spans="1:7" x14ac:dyDescent="0.25">
      <c r="A240" s="17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</row>
    <row r="241" spans="1:7" x14ac:dyDescent="0.25">
      <c r="A241" s="17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</row>
    <row r="242" spans="1:7" x14ac:dyDescent="0.25">
      <c r="A242" s="17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</row>
    <row r="243" spans="1:7" x14ac:dyDescent="0.25">
      <c r="A243" s="17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</row>
    <row r="244" spans="1:7" x14ac:dyDescent="0.25">
      <c r="A244" s="17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</row>
    <row r="245" spans="1:7" x14ac:dyDescent="0.25">
      <c r="A245" s="17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</row>
    <row r="246" spans="1:7" x14ac:dyDescent="0.25">
      <c r="A246" s="17"/>
      <c r="B246" s="4" t="s">
        <v>290</v>
      </c>
      <c r="C246" s="4" t="s">
        <v>14</v>
      </c>
      <c r="D246" s="4" t="s">
        <v>15</v>
      </c>
      <c r="E246" s="4" t="s">
        <v>16</v>
      </c>
      <c r="F246" s="4" t="s">
        <v>14</v>
      </c>
      <c r="G246" s="5" t="s">
        <v>16</v>
      </c>
    </row>
    <row r="247" spans="1:7" x14ac:dyDescent="0.25">
      <c r="A247" s="17"/>
      <c r="B247" s="4" t="s">
        <v>291</v>
      </c>
      <c r="C247" s="4" t="s">
        <v>14</v>
      </c>
      <c r="D247" s="4" t="s">
        <v>15</v>
      </c>
      <c r="E247" s="4" t="s">
        <v>16</v>
      </c>
      <c r="F247" s="4" t="s">
        <v>14</v>
      </c>
      <c r="G247" s="5" t="s">
        <v>16</v>
      </c>
    </row>
    <row r="248" spans="1:7" x14ac:dyDescent="0.25">
      <c r="A248" s="17"/>
      <c r="B248" s="4" t="s">
        <v>292</v>
      </c>
      <c r="C248" s="4" t="s">
        <v>14</v>
      </c>
      <c r="D248" s="4" t="s">
        <v>15</v>
      </c>
      <c r="E248" s="4" t="s">
        <v>263</v>
      </c>
      <c r="F248" s="4" t="s">
        <v>14</v>
      </c>
      <c r="G248" s="5" t="s">
        <v>263</v>
      </c>
    </row>
    <row r="249" spans="1:7" x14ac:dyDescent="0.25">
      <c r="A249" s="17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</row>
    <row r="250" spans="1:7" x14ac:dyDescent="0.25">
      <c r="A250" s="17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</row>
    <row r="251" spans="1:7" x14ac:dyDescent="0.25">
      <c r="A251" s="17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</row>
    <row r="252" spans="1:7" x14ac:dyDescent="0.25">
      <c r="A252" s="17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</row>
    <row r="253" spans="1:7" x14ac:dyDescent="0.25">
      <c r="A253" s="17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</row>
    <row r="254" spans="1:7" x14ac:dyDescent="0.25">
      <c r="A254" s="17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</row>
    <row r="255" spans="1:7" x14ac:dyDescent="0.25">
      <c r="A255" s="17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</row>
    <row r="256" spans="1:7" x14ac:dyDescent="0.25">
      <c r="A256" s="17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</row>
    <row r="257" spans="1:7" x14ac:dyDescent="0.25">
      <c r="A257" s="17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</row>
    <row r="258" spans="1:7" x14ac:dyDescent="0.25">
      <c r="A258" s="17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</row>
    <row r="259" spans="1:7" x14ac:dyDescent="0.25">
      <c r="A259" s="17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</row>
    <row r="260" spans="1:7" x14ac:dyDescent="0.25">
      <c r="A260" s="17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</row>
    <row r="261" spans="1:7" x14ac:dyDescent="0.25">
      <c r="A261" s="17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</row>
    <row r="262" spans="1:7" x14ac:dyDescent="0.25">
      <c r="A262" s="17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</row>
    <row r="263" spans="1:7" x14ac:dyDescent="0.25">
      <c r="A263" s="17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</row>
    <row r="264" spans="1:7" x14ac:dyDescent="0.25">
      <c r="A264" s="17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</row>
    <row r="265" spans="1:7" x14ac:dyDescent="0.25">
      <c r="A265" s="17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</row>
    <row r="266" spans="1:7" x14ac:dyDescent="0.25">
      <c r="A266" s="17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</row>
    <row r="267" spans="1:7" x14ac:dyDescent="0.25">
      <c r="A267" s="17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</row>
    <row r="268" spans="1:7" x14ac:dyDescent="0.25">
      <c r="A268" s="17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</row>
    <row r="269" spans="1:7" x14ac:dyDescent="0.25">
      <c r="A269" s="17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</row>
    <row r="270" spans="1:7" x14ac:dyDescent="0.25">
      <c r="A270" s="17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</row>
    <row r="271" spans="1:7" x14ac:dyDescent="0.25">
      <c r="A271" s="17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</row>
    <row r="272" spans="1:7" x14ac:dyDescent="0.25">
      <c r="A272" s="17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</row>
    <row r="273" spans="1:7" x14ac:dyDescent="0.25">
      <c r="A273" s="17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</row>
    <row r="274" spans="1:7" x14ac:dyDescent="0.25">
      <c r="A274" s="17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</row>
    <row r="275" spans="1:7" x14ac:dyDescent="0.25">
      <c r="A275" s="17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</row>
    <row r="276" spans="1:7" x14ac:dyDescent="0.25">
      <c r="A276" s="17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</row>
    <row r="277" spans="1:7" x14ac:dyDescent="0.25">
      <c r="A277" s="17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</row>
    <row r="278" spans="1:7" x14ac:dyDescent="0.25">
      <c r="A278" s="17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</row>
    <row r="279" spans="1:7" x14ac:dyDescent="0.25">
      <c r="A279" s="17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</row>
    <row r="280" spans="1:7" x14ac:dyDescent="0.25">
      <c r="A280" s="17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</row>
    <row r="281" spans="1:7" x14ac:dyDescent="0.25">
      <c r="A281" s="17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</row>
    <row r="282" spans="1:7" x14ac:dyDescent="0.25">
      <c r="A282" s="17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</row>
    <row r="283" spans="1:7" x14ac:dyDescent="0.25">
      <c r="A283" s="17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</row>
    <row r="284" spans="1:7" x14ac:dyDescent="0.25">
      <c r="A284" s="17"/>
      <c r="B284" s="4" t="s">
        <v>329</v>
      </c>
      <c r="C284" s="4" t="s">
        <v>11</v>
      </c>
      <c r="D284" s="4" t="s">
        <v>11</v>
      </c>
      <c r="E284" s="4" t="s">
        <v>11</v>
      </c>
      <c r="F284" s="4" t="s">
        <v>100</v>
      </c>
      <c r="G284" s="5" t="s">
        <v>11</v>
      </c>
    </row>
    <row r="285" spans="1:7" x14ac:dyDescent="0.25">
      <c r="A285" s="17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</row>
    <row r="286" spans="1:7" x14ac:dyDescent="0.25">
      <c r="A286" s="17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</row>
    <row r="287" spans="1:7" x14ac:dyDescent="0.25">
      <c r="A287" s="17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</row>
    <row r="288" spans="1:7" x14ac:dyDescent="0.25">
      <c r="A288" s="17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</row>
    <row r="289" spans="1:7" x14ac:dyDescent="0.25">
      <c r="A289" s="17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</row>
    <row r="290" spans="1:7" x14ac:dyDescent="0.25">
      <c r="A290" s="17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11</v>
      </c>
    </row>
    <row r="291" spans="1:7" x14ac:dyDescent="0.25">
      <c r="A291" s="17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</row>
    <row r="292" spans="1:7" x14ac:dyDescent="0.25">
      <c r="A292" s="17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</row>
    <row r="293" spans="1:7" x14ac:dyDescent="0.25">
      <c r="A293" s="17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</row>
    <row r="294" spans="1:7" x14ac:dyDescent="0.25">
      <c r="A294" s="17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</row>
    <row r="295" spans="1:7" x14ac:dyDescent="0.25">
      <c r="A295" s="17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</row>
    <row r="296" spans="1:7" x14ac:dyDescent="0.25">
      <c r="A296" s="17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</row>
    <row r="297" spans="1:7" x14ac:dyDescent="0.25">
      <c r="A297" s="17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</row>
    <row r="298" spans="1:7" x14ac:dyDescent="0.25">
      <c r="A298" s="17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</row>
    <row r="299" spans="1:7" x14ac:dyDescent="0.25">
      <c r="A299" s="17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</row>
    <row r="300" spans="1:7" x14ac:dyDescent="0.25">
      <c r="A300" s="17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</row>
    <row r="301" spans="1:7" x14ac:dyDescent="0.25">
      <c r="A301" s="17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</row>
    <row r="302" spans="1:7" x14ac:dyDescent="0.25">
      <c r="A302" s="17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</row>
    <row r="303" spans="1:7" x14ac:dyDescent="0.25">
      <c r="A303" s="17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</row>
    <row r="304" spans="1:7" x14ac:dyDescent="0.25">
      <c r="A304" s="17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</row>
    <row r="305" spans="1:7" x14ac:dyDescent="0.25">
      <c r="A305" s="17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</row>
    <row r="306" spans="1:7" x14ac:dyDescent="0.25">
      <c r="A306" s="17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</row>
    <row r="307" spans="1:7" x14ac:dyDescent="0.25">
      <c r="A307" s="17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</row>
    <row r="308" spans="1:7" x14ac:dyDescent="0.25">
      <c r="A308" s="17"/>
      <c r="B308" s="4" t="s">
        <v>353</v>
      </c>
      <c r="C308" s="4" t="s">
        <v>14</v>
      </c>
      <c r="D308" s="4" t="s">
        <v>15</v>
      </c>
      <c r="E308" s="4" t="s">
        <v>98</v>
      </c>
      <c r="F308" s="4" t="s">
        <v>14</v>
      </c>
      <c r="G308" s="5" t="s">
        <v>98</v>
      </c>
    </row>
    <row r="309" spans="1:7" x14ac:dyDescent="0.25">
      <c r="A309" s="17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</row>
    <row r="310" spans="1:7" x14ac:dyDescent="0.25">
      <c r="A310" s="17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</row>
    <row r="311" spans="1:7" x14ac:dyDescent="0.25">
      <c r="A311" s="17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</row>
    <row r="312" spans="1:7" x14ac:dyDescent="0.25">
      <c r="A312" s="17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</row>
    <row r="313" spans="1:7" x14ac:dyDescent="0.25">
      <c r="A313" s="17"/>
      <c r="B313" s="4" t="s">
        <v>358</v>
      </c>
      <c r="C313" s="4" t="s">
        <v>14</v>
      </c>
      <c r="D313" s="4" t="s">
        <v>15</v>
      </c>
      <c r="E313" s="4" t="s">
        <v>98</v>
      </c>
      <c r="F313" s="4" t="s">
        <v>14</v>
      </c>
      <c r="G313" s="5" t="s">
        <v>98</v>
      </c>
    </row>
    <row r="314" spans="1:7" x14ac:dyDescent="0.25">
      <c r="A314" s="17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</row>
    <row r="315" spans="1:7" x14ac:dyDescent="0.25">
      <c r="A315" s="17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</row>
    <row r="316" spans="1:7" x14ac:dyDescent="0.25">
      <c r="A316" s="17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</row>
    <row r="317" spans="1:7" x14ac:dyDescent="0.25">
      <c r="A317" s="17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</row>
    <row r="318" spans="1:7" x14ac:dyDescent="0.25">
      <c r="A318" s="17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</row>
    <row r="319" spans="1:7" x14ac:dyDescent="0.25">
      <c r="A319" s="17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</row>
    <row r="320" spans="1:7" x14ac:dyDescent="0.25">
      <c r="A320" s="17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</row>
    <row r="321" spans="1:7" x14ac:dyDescent="0.25">
      <c r="A321" s="17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</row>
    <row r="322" spans="1:7" x14ac:dyDescent="0.25">
      <c r="A322" s="17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</row>
    <row r="323" spans="1:7" x14ac:dyDescent="0.25">
      <c r="A323" s="17"/>
      <c r="B323" s="4" t="s">
        <v>368</v>
      </c>
      <c r="C323" s="4" t="s">
        <v>14</v>
      </c>
      <c r="D323" s="4" t="s">
        <v>15</v>
      </c>
      <c r="E323" s="4" t="s">
        <v>16</v>
      </c>
      <c r="F323" s="4" t="s">
        <v>14</v>
      </c>
      <c r="G323" s="5" t="s">
        <v>16</v>
      </c>
    </row>
    <row r="324" spans="1:7" x14ac:dyDescent="0.25">
      <c r="A324" s="17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</row>
    <row r="325" spans="1:7" x14ac:dyDescent="0.25">
      <c r="A325" s="17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</row>
    <row r="326" spans="1:7" x14ac:dyDescent="0.25">
      <c r="A326" s="17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</row>
    <row r="327" spans="1:7" x14ac:dyDescent="0.25">
      <c r="A327" s="17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</row>
    <row r="328" spans="1:7" x14ac:dyDescent="0.25">
      <c r="A328" s="17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</row>
    <row r="329" spans="1:7" x14ac:dyDescent="0.25">
      <c r="A329" s="17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</row>
    <row r="330" spans="1:7" x14ac:dyDescent="0.25">
      <c r="A330" s="17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</row>
    <row r="331" spans="1:7" x14ac:dyDescent="0.25">
      <c r="A331" s="17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</row>
    <row r="332" spans="1:7" x14ac:dyDescent="0.25">
      <c r="A332" s="17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</row>
    <row r="333" spans="1:7" x14ac:dyDescent="0.25">
      <c r="A333" s="17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</row>
    <row r="334" spans="1:7" x14ac:dyDescent="0.25">
      <c r="A334" s="17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</row>
    <row r="335" spans="1:7" x14ac:dyDescent="0.25">
      <c r="A335" s="17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20</v>
      </c>
    </row>
    <row r="336" spans="1:7" x14ac:dyDescent="0.25">
      <c r="A336" s="17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</row>
    <row r="337" spans="1:7" x14ac:dyDescent="0.25">
      <c r="A337" s="17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</row>
    <row r="338" spans="1:7" x14ac:dyDescent="0.25">
      <c r="A338" s="17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</row>
    <row r="339" spans="1:7" x14ac:dyDescent="0.25">
      <c r="A339" s="17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</row>
    <row r="340" spans="1:7" x14ac:dyDescent="0.25">
      <c r="A340" s="17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</row>
    <row r="341" spans="1:7" x14ac:dyDescent="0.25">
      <c r="A341" s="17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</row>
    <row r="342" spans="1:7" x14ac:dyDescent="0.25">
      <c r="A342" s="17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</row>
    <row r="343" spans="1:7" x14ac:dyDescent="0.25">
      <c r="A343" s="17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</row>
    <row r="344" spans="1:7" x14ac:dyDescent="0.25">
      <c r="A344" s="17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</row>
    <row r="345" spans="1:7" x14ac:dyDescent="0.25">
      <c r="A345" s="17"/>
      <c r="B345" s="4" t="s">
        <v>390</v>
      </c>
      <c r="C345" s="4" t="s">
        <v>24</v>
      </c>
      <c r="D345" s="4" t="s">
        <v>25</v>
      </c>
      <c r="E345" s="4" t="s">
        <v>26</v>
      </c>
      <c r="F345" s="4" t="s">
        <v>21</v>
      </c>
      <c r="G345" s="5" t="s">
        <v>36</v>
      </c>
    </row>
    <row r="346" spans="1:7" x14ac:dyDescent="0.25">
      <c r="A346" s="17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</row>
    <row r="347" spans="1:7" x14ac:dyDescent="0.25">
      <c r="A347" s="17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</row>
    <row r="348" spans="1:7" x14ac:dyDescent="0.25">
      <c r="A348" s="17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</row>
    <row r="349" spans="1:7" x14ac:dyDescent="0.25">
      <c r="A349" s="17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</row>
    <row r="350" spans="1:7" x14ac:dyDescent="0.25">
      <c r="A350" s="17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</row>
    <row r="351" spans="1:7" x14ac:dyDescent="0.25">
      <c r="A351" s="17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</row>
    <row r="352" spans="1:7" x14ac:dyDescent="0.25">
      <c r="A352" s="17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</row>
    <row r="353" spans="1:7" x14ac:dyDescent="0.25">
      <c r="A353" s="17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</row>
    <row r="354" spans="1:7" x14ac:dyDescent="0.25">
      <c r="A354" s="17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</row>
    <row r="355" spans="1:7" x14ac:dyDescent="0.25">
      <c r="A355" s="17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</row>
    <row r="356" spans="1:7" x14ac:dyDescent="0.25">
      <c r="A356" s="17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</row>
    <row r="357" spans="1:7" x14ac:dyDescent="0.25">
      <c r="A357" s="17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</row>
    <row r="358" spans="1:7" x14ac:dyDescent="0.25">
      <c r="A358" s="17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</row>
    <row r="359" spans="1:7" x14ac:dyDescent="0.25">
      <c r="A359" s="17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</row>
    <row r="360" spans="1:7" x14ac:dyDescent="0.25">
      <c r="A360" s="17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</row>
    <row r="361" spans="1:7" x14ac:dyDescent="0.25">
      <c r="A361" s="17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</row>
    <row r="362" spans="1:7" x14ac:dyDescent="0.25">
      <c r="A362" s="17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</row>
    <row r="363" spans="1:7" x14ac:dyDescent="0.25">
      <c r="A363" s="17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</row>
    <row r="364" spans="1:7" x14ac:dyDescent="0.25">
      <c r="A364" s="17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</row>
    <row r="365" spans="1:7" x14ac:dyDescent="0.25">
      <c r="A365" s="17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</row>
    <row r="366" spans="1:7" x14ac:dyDescent="0.25">
      <c r="A366" s="17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</row>
    <row r="367" spans="1:7" x14ac:dyDescent="0.25">
      <c r="A367" s="17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</row>
    <row r="368" spans="1:7" x14ac:dyDescent="0.25">
      <c r="A368" s="17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</row>
    <row r="369" spans="1:7" x14ac:dyDescent="0.25">
      <c r="A369" s="17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</row>
    <row r="370" spans="1:7" x14ac:dyDescent="0.25">
      <c r="A370" s="17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</row>
    <row r="371" spans="1:7" x14ac:dyDescent="0.25">
      <c r="A371" s="17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</row>
    <row r="372" spans="1:7" x14ac:dyDescent="0.25">
      <c r="A372" s="17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</row>
    <row r="373" spans="1:7" x14ac:dyDescent="0.25">
      <c r="A373" s="17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</row>
    <row r="374" spans="1:7" x14ac:dyDescent="0.25">
      <c r="A374" s="17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</row>
    <row r="375" spans="1:7" x14ac:dyDescent="0.25">
      <c r="A375" s="17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</row>
    <row r="376" spans="1:7" x14ac:dyDescent="0.25">
      <c r="A376" s="17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</row>
    <row r="377" spans="1:7" x14ac:dyDescent="0.25">
      <c r="A377" s="17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">
        <v>11</v>
      </c>
    </row>
    <row r="378" spans="1:7" x14ac:dyDescent="0.25">
      <c r="A378" s="17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</row>
    <row r="379" spans="1:7" x14ac:dyDescent="0.25">
      <c r="A379" s="17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</row>
    <row r="380" spans="1:7" x14ac:dyDescent="0.25">
      <c r="A380" s="17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</row>
    <row r="381" spans="1:7" x14ac:dyDescent="0.25">
      <c r="A381" s="17"/>
      <c r="B381" s="4" t="s">
        <v>426</v>
      </c>
      <c r="C381" s="4" t="s">
        <v>11</v>
      </c>
      <c r="D381" s="4" t="s">
        <v>11</v>
      </c>
      <c r="E381" s="4" t="s">
        <v>11</v>
      </c>
      <c r="F381" s="4" t="s">
        <v>120</v>
      </c>
      <c r="G381" s="5" t="s">
        <v>11</v>
      </c>
    </row>
    <row r="382" spans="1:7" x14ac:dyDescent="0.25">
      <c r="A382" s="17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</row>
    <row r="383" spans="1:7" x14ac:dyDescent="0.25">
      <c r="A383" s="17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</row>
    <row r="384" spans="1:7" x14ac:dyDescent="0.25">
      <c r="A384" s="17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</row>
    <row r="385" spans="1:7" x14ac:dyDescent="0.25">
      <c r="A385" s="17"/>
      <c r="B385" s="4" t="s">
        <v>430</v>
      </c>
      <c r="C385" s="4" t="s">
        <v>18</v>
      </c>
      <c r="D385" s="4" t="s">
        <v>19</v>
      </c>
      <c r="E385" s="4" t="s">
        <v>20</v>
      </c>
      <c r="F385" s="4" t="s">
        <v>21</v>
      </c>
      <c r="G385" s="5" t="s">
        <v>163</v>
      </c>
    </row>
    <row r="386" spans="1:7" x14ac:dyDescent="0.25">
      <c r="A386" s="17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</row>
    <row r="387" spans="1:7" x14ac:dyDescent="0.25">
      <c r="A387" s="17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</row>
    <row r="388" spans="1:7" x14ac:dyDescent="0.25">
      <c r="A388" s="17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</row>
    <row r="389" spans="1:7" x14ac:dyDescent="0.25">
      <c r="A389" s="17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</row>
    <row r="390" spans="1:7" x14ac:dyDescent="0.25">
      <c r="A390" s="17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</row>
    <row r="391" spans="1:7" x14ac:dyDescent="0.25">
      <c r="A391" s="17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20</v>
      </c>
    </row>
    <row r="392" spans="1:7" x14ac:dyDescent="0.25">
      <c r="A392" s="17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</row>
    <row r="393" spans="1:7" x14ac:dyDescent="0.25">
      <c r="A393" s="17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</row>
    <row r="394" spans="1:7" x14ac:dyDescent="0.25">
      <c r="A394" s="17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</row>
    <row r="395" spans="1:7" x14ac:dyDescent="0.25">
      <c r="A395" s="17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</row>
    <row r="396" spans="1:7" x14ac:dyDescent="0.25">
      <c r="A396" s="17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</row>
    <row r="397" spans="1:7" x14ac:dyDescent="0.25">
      <c r="A397" s="17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</row>
    <row r="398" spans="1:7" x14ac:dyDescent="0.25">
      <c r="A398" s="17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">
        <v>20</v>
      </c>
    </row>
    <row r="399" spans="1:7" x14ac:dyDescent="0.25">
      <c r="A399" s="17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</row>
    <row r="400" spans="1:7" x14ac:dyDescent="0.25">
      <c r="A400" s="17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</row>
    <row r="401" spans="1:7" x14ac:dyDescent="0.25">
      <c r="A401" s="17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</row>
    <row r="402" spans="1:7" x14ac:dyDescent="0.25">
      <c r="A402" s="17"/>
      <c r="B402" s="4" t="s">
        <v>447</v>
      </c>
      <c r="C402" s="4" t="s">
        <v>14</v>
      </c>
      <c r="D402" s="4" t="s">
        <v>15</v>
      </c>
      <c r="E402" s="4" t="s">
        <v>263</v>
      </c>
      <c r="F402" s="4" t="s">
        <v>14</v>
      </c>
      <c r="G402" s="5" t="s">
        <v>263</v>
      </c>
    </row>
    <row r="403" spans="1:7" x14ac:dyDescent="0.25">
      <c r="A403" s="17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</row>
    <row r="404" spans="1:7" x14ac:dyDescent="0.25">
      <c r="A404" s="17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</row>
    <row r="405" spans="1:7" x14ac:dyDescent="0.25">
      <c r="A405" s="17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</row>
    <row r="406" spans="1:7" x14ac:dyDescent="0.25">
      <c r="A406" s="17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</row>
    <row r="407" spans="1:7" x14ac:dyDescent="0.25">
      <c r="A407" s="17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</row>
    <row r="408" spans="1:7" x14ac:dyDescent="0.25">
      <c r="A408" s="17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</row>
    <row r="409" spans="1:7" x14ac:dyDescent="0.25">
      <c r="A409" s="17"/>
      <c r="B409" s="4" t="s">
        <v>454</v>
      </c>
      <c r="C409" s="4" t="s">
        <v>14</v>
      </c>
      <c r="D409" s="4" t="s">
        <v>15</v>
      </c>
      <c r="E409" s="4" t="s">
        <v>16</v>
      </c>
      <c r="F409" s="4" t="s">
        <v>14</v>
      </c>
      <c r="G409" s="5" t="s">
        <v>16</v>
      </c>
    </row>
    <row r="410" spans="1:7" x14ac:dyDescent="0.25">
      <c r="A410" s="17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</row>
    <row r="411" spans="1:7" x14ac:dyDescent="0.25">
      <c r="A411" s="17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</row>
    <row r="412" spans="1:7" x14ac:dyDescent="0.25">
      <c r="A412" s="17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</row>
    <row r="413" spans="1:7" x14ac:dyDescent="0.25">
      <c r="A413" s="17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</row>
    <row r="414" spans="1:7" x14ac:dyDescent="0.25">
      <c r="A414" s="17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</row>
    <row r="415" spans="1:7" x14ac:dyDescent="0.25">
      <c r="A415" s="17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</row>
    <row r="416" spans="1:7" x14ac:dyDescent="0.25">
      <c r="A416" s="17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</row>
    <row r="417" spans="1:7" x14ac:dyDescent="0.25">
      <c r="A417" s="17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</row>
    <row r="418" spans="1:7" x14ac:dyDescent="0.25">
      <c r="A418" s="17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</row>
    <row r="419" spans="1:7" x14ac:dyDescent="0.25">
      <c r="A419" s="17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</row>
    <row r="420" spans="1:7" x14ac:dyDescent="0.25">
      <c r="A420" s="17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</row>
    <row r="421" spans="1:7" x14ac:dyDescent="0.25">
      <c r="A421" s="17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</row>
    <row r="422" spans="1:7" x14ac:dyDescent="0.25">
      <c r="A422" s="17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</row>
    <row r="423" spans="1:7" x14ac:dyDescent="0.25">
      <c r="A423" s="17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</row>
    <row r="424" spans="1:7" x14ac:dyDescent="0.25">
      <c r="A424" s="17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</row>
    <row r="425" spans="1:7" x14ac:dyDescent="0.25">
      <c r="A425" s="17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</row>
    <row r="426" spans="1:7" x14ac:dyDescent="0.25">
      <c r="A426" s="17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</row>
    <row r="427" spans="1:7" x14ac:dyDescent="0.25">
      <c r="A427" s="17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</row>
    <row r="428" spans="1:7" x14ac:dyDescent="0.25">
      <c r="A428" s="17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</row>
    <row r="429" spans="1:7" x14ac:dyDescent="0.25">
      <c r="A429" s="17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</row>
    <row r="430" spans="1:7" x14ac:dyDescent="0.25">
      <c r="A430" s="17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</row>
    <row r="431" spans="1:7" x14ac:dyDescent="0.25">
      <c r="A431" s="17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</row>
    <row r="432" spans="1:7" x14ac:dyDescent="0.25">
      <c r="A432" s="17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</row>
    <row r="433" spans="1:7" x14ac:dyDescent="0.25">
      <c r="A433" s="17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</row>
    <row r="434" spans="1:7" x14ac:dyDescent="0.25">
      <c r="A434" s="17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</row>
    <row r="435" spans="1:7" x14ac:dyDescent="0.25">
      <c r="A435" s="17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</row>
    <row r="436" spans="1:7" x14ac:dyDescent="0.25">
      <c r="A436" s="17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</row>
    <row r="437" spans="1:7" x14ac:dyDescent="0.25">
      <c r="A437" s="17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</row>
    <row r="438" spans="1:7" x14ac:dyDescent="0.25">
      <c r="A438" s="17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</row>
    <row r="439" spans="1:7" x14ac:dyDescent="0.25">
      <c r="A439" s="17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</row>
    <row r="440" spans="1:7" x14ac:dyDescent="0.25">
      <c r="A440" s="17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16</v>
      </c>
    </row>
    <row r="441" spans="1:7" x14ac:dyDescent="0.25">
      <c r="A441" s="17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</row>
    <row r="442" spans="1:7" x14ac:dyDescent="0.25">
      <c r="A442" s="17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</row>
    <row r="443" spans="1:7" x14ac:dyDescent="0.25">
      <c r="A443" s="17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</row>
    <row r="444" spans="1:7" x14ac:dyDescent="0.25">
      <c r="A444" s="17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</row>
    <row r="445" spans="1:7" x14ac:dyDescent="0.25">
      <c r="A445" s="17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</row>
    <row r="446" spans="1:7" x14ac:dyDescent="0.25">
      <c r="A446" s="17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</row>
    <row r="447" spans="1:7" x14ac:dyDescent="0.25">
      <c r="A447" s="17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</row>
    <row r="448" spans="1:7" x14ac:dyDescent="0.25">
      <c r="A448" s="17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</row>
    <row r="449" spans="1:7" x14ac:dyDescent="0.25">
      <c r="A449" s="17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</row>
    <row r="450" spans="1:7" x14ac:dyDescent="0.25">
      <c r="A450" s="17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</row>
    <row r="451" spans="1:7" x14ac:dyDescent="0.25">
      <c r="A451" s="17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</row>
    <row r="452" spans="1:7" x14ac:dyDescent="0.25">
      <c r="A452" s="17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</row>
    <row r="453" spans="1:7" x14ac:dyDescent="0.25">
      <c r="A453" s="17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</row>
    <row r="454" spans="1:7" x14ac:dyDescent="0.25">
      <c r="A454" s="17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">
        <v>57</v>
      </c>
    </row>
    <row r="455" spans="1:7" x14ac:dyDescent="0.25">
      <c r="A455" s="17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</row>
    <row r="456" spans="1:7" x14ac:dyDescent="0.25">
      <c r="A456" s="17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</row>
    <row r="457" spans="1:7" x14ac:dyDescent="0.25">
      <c r="A457" s="17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</row>
    <row r="458" spans="1:7" x14ac:dyDescent="0.25">
      <c r="A458" s="17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</row>
    <row r="459" spans="1:7" x14ac:dyDescent="0.25">
      <c r="A459" s="17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</row>
    <row r="460" spans="1:7" x14ac:dyDescent="0.25">
      <c r="A460" s="17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</row>
    <row r="461" spans="1:7" x14ac:dyDescent="0.25">
      <c r="A461" s="17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</row>
    <row r="462" spans="1:7" x14ac:dyDescent="0.25">
      <c r="A462" s="17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</row>
    <row r="463" spans="1:7" x14ac:dyDescent="0.25">
      <c r="A463" s="17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</row>
    <row r="464" spans="1:7" x14ac:dyDescent="0.25">
      <c r="A464" s="17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</row>
    <row r="465" spans="1:7" x14ac:dyDescent="0.25">
      <c r="A465" s="17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</row>
    <row r="466" spans="1:7" x14ac:dyDescent="0.25">
      <c r="A466" s="17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</row>
    <row r="467" spans="1:7" x14ac:dyDescent="0.25">
      <c r="A467" s="17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</row>
    <row r="468" spans="1:7" x14ac:dyDescent="0.25">
      <c r="A468" s="17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</row>
    <row r="469" spans="1:7" x14ac:dyDescent="0.25">
      <c r="A469" s="17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</row>
    <row r="470" spans="1:7" x14ac:dyDescent="0.25">
      <c r="A470" s="17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</row>
    <row r="471" spans="1:7" x14ac:dyDescent="0.25">
      <c r="A471" s="17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</row>
    <row r="472" spans="1:7" x14ac:dyDescent="0.25">
      <c r="A472" s="17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</row>
    <row r="473" spans="1:7" x14ac:dyDescent="0.25">
      <c r="A473" s="17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</row>
    <row r="474" spans="1:7" x14ac:dyDescent="0.25">
      <c r="A474" s="17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</row>
    <row r="475" spans="1:7" x14ac:dyDescent="0.25">
      <c r="A475" s="17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</row>
    <row r="476" spans="1:7" x14ac:dyDescent="0.25">
      <c r="A476" s="17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">
        <v>11</v>
      </c>
    </row>
    <row r="477" spans="1:7" x14ac:dyDescent="0.25">
      <c r="A477" s="17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</row>
    <row r="478" spans="1:7" x14ac:dyDescent="0.25">
      <c r="A478" s="17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</row>
    <row r="479" spans="1:7" x14ac:dyDescent="0.25">
      <c r="A479" s="17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</row>
    <row r="480" spans="1:7" x14ac:dyDescent="0.25">
      <c r="A480" s="17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</row>
    <row r="481" spans="1:7" x14ac:dyDescent="0.25">
      <c r="A481" s="17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</row>
    <row r="482" spans="1:7" x14ac:dyDescent="0.25">
      <c r="A482" s="17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</row>
    <row r="483" spans="1:7" x14ac:dyDescent="0.25">
      <c r="A483" s="17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</row>
    <row r="484" spans="1:7" x14ac:dyDescent="0.25">
      <c r="A484" s="17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</row>
    <row r="485" spans="1:7" x14ac:dyDescent="0.25">
      <c r="A485" s="17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</row>
    <row r="486" spans="1:7" x14ac:dyDescent="0.25">
      <c r="A486" s="17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</row>
    <row r="487" spans="1:7" x14ac:dyDescent="0.25">
      <c r="A487" s="17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</row>
    <row r="488" spans="1:7" x14ac:dyDescent="0.25">
      <c r="A488" s="17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</row>
    <row r="489" spans="1:7" x14ac:dyDescent="0.25">
      <c r="A489" s="17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</row>
    <row r="490" spans="1:7" x14ac:dyDescent="0.25">
      <c r="A490" s="17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</row>
    <row r="491" spans="1:7" x14ac:dyDescent="0.25">
      <c r="A491" s="17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</row>
    <row r="492" spans="1:7" x14ac:dyDescent="0.25">
      <c r="A492" s="17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</row>
    <row r="493" spans="1:7" x14ac:dyDescent="0.25">
      <c r="A493" s="17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</row>
    <row r="494" spans="1:7" x14ac:dyDescent="0.25">
      <c r="A494" s="17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</row>
    <row r="495" spans="1:7" x14ac:dyDescent="0.25">
      <c r="A495" s="17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</row>
    <row r="496" spans="1:7" x14ac:dyDescent="0.25">
      <c r="A496" s="17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</row>
    <row r="497" spans="1:7" x14ac:dyDescent="0.25">
      <c r="A497" s="17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</row>
    <row r="498" spans="1:7" x14ac:dyDescent="0.25">
      <c r="A498" s="17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</row>
    <row r="499" spans="1:7" x14ac:dyDescent="0.25">
      <c r="A499" s="17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</row>
    <row r="500" spans="1:7" x14ac:dyDescent="0.25">
      <c r="A500" s="17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</row>
    <row r="501" spans="1:7" x14ac:dyDescent="0.25">
      <c r="A501" s="17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</row>
    <row r="502" spans="1:7" x14ac:dyDescent="0.25">
      <c r="A502" s="17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</row>
    <row r="503" spans="1:7" x14ac:dyDescent="0.25">
      <c r="A503" s="17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</row>
    <row r="504" spans="1:7" x14ac:dyDescent="0.25">
      <c r="A504" s="17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</row>
    <row r="505" spans="1:7" x14ac:dyDescent="0.25">
      <c r="A505" s="17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</row>
    <row r="506" spans="1:7" x14ac:dyDescent="0.25">
      <c r="A506" s="17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</row>
    <row r="507" spans="1:7" x14ac:dyDescent="0.25">
      <c r="A507" s="17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</row>
    <row r="508" spans="1:7" x14ac:dyDescent="0.25">
      <c r="A508" s="17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</row>
    <row r="509" spans="1:7" x14ac:dyDescent="0.25">
      <c r="A509" s="17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</row>
    <row r="510" spans="1:7" x14ac:dyDescent="0.25">
      <c r="A510" s="17"/>
      <c r="B510" s="4" t="s">
        <v>556</v>
      </c>
      <c r="C510" s="4" t="s">
        <v>35</v>
      </c>
      <c r="D510" s="4" t="s">
        <v>35</v>
      </c>
      <c r="E510" s="4" t="s">
        <v>36</v>
      </c>
      <c r="F510" s="4" t="s">
        <v>21</v>
      </c>
      <c r="G510" s="5" t="s">
        <v>36</v>
      </c>
    </row>
    <row r="511" spans="1:7" x14ac:dyDescent="0.25">
      <c r="A511" s="17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</row>
    <row r="512" spans="1:7" x14ac:dyDescent="0.25">
      <c r="A512" s="17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</row>
    <row r="513" spans="1:7" x14ac:dyDescent="0.25">
      <c r="A513" s="17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</row>
    <row r="514" spans="1:7" x14ac:dyDescent="0.25">
      <c r="A514" s="17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</row>
    <row r="515" spans="1:7" x14ac:dyDescent="0.25">
      <c r="A515" s="17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</row>
    <row r="516" spans="1:7" x14ac:dyDescent="0.25">
      <c r="A516" s="17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</row>
    <row r="517" spans="1:7" x14ac:dyDescent="0.25">
      <c r="A517" s="17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</row>
    <row r="518" spans="1:7" x14ac:dyDescent="0.25">
      <c r="A518" s="17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</row>
    <row r="519" spans="1:7" x14ac:dyDescent="0.25">
      <c r="A519" s="17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</row>
    <row r="520" spans="1:7" x14ac:dyDescent="0.25">
      <c r="A520" s="17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</row>
    <row r="521" spans="1:7" x14ac:dyDescent="0.25">
      <c r="A521" s="17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</row>
    <row r="522" spans="1:7" x14ac:dyDescent="0.25">
      <c r="A522" s="18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</row>
    <row r="523" spans="1:7" x14ac:dyDescent="0.25">
      <c r="A523" s="17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</row>
    <row r="524" spans="1:7" x14ac:dyDescent="0.25">
      <c r="A524" s="17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</row>
    <row r="525" spans="1:7" x14ac:dyDescent="0.25">
      <c r="A525" s="17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</row>
    <row r="526" spans="1:7" x14ac:dyDescent="0.25">
      <c r="A526" s="17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</row>
    <row r="527" spans="1:7" x14ac:dyDescent="0.25">
      <c r="A527" s="17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</row>
    <row r="528" spans="1:7" x14ac:dyDescent="0.25">
      <c r="A528" s="17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</row>
    <row r="529" spans="1:7" x14ac:dyDescent="0.25">
      <c r="A529" s="17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</row>
    <row r="530" spans="1:7" x14ac:dyDescent="0.25">
      <c r="A530" s="17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</row>
    <row r="531" spans="1:7" x14ac:dyDescent="0.25">
      <c r="A531" s="17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</row>
    <row r="532" spans="1:7" x14ac:dyDescent="0.25">
      <c r="A532" s="17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</row>
    <row r="533" spans="1:7" x14ac:dyDescent="0.25">
      <c r="A533" s="17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</row>
    <row r="534" spans="1:7" x14ac:dyDescent="0.25">
      <c r="A534" s="17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</row>
    <row r="535" spans="1:7" x14ac:dyDescent="0.25">
      <c r="A535" s="17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</row>
    <row r="536" spans="1:7" x14ac:dyDescent="0.25">
      <c r="A536" s="17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</row>
    <row r="537" spans="1:7" x14ac:dyDescent="0.25">
      <c r="A537" s="17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</row>
    <row r="538" spans="1:7" x14ac:dyDescent="0.25">
      <c r="A538" s="17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</row>
    <row r="539" spans="1:7" x14ac:dyDescent="0.25">
      <c r="A539" s="17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</row>
    <row r="540" spans="1:7" x14ac:dyDescent="0.25">
      <c r="A540" s="17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</row>
    <row r="541" spans="1:7" x14ac:dyDescent="0.25">
      <c r="A541" s="17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</row>
    <row r="542" spans="1:7" x14ac:dyDescent="0.25">
      <c r="A542" s="17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</row>
    <row r="543" spans="1:7" x14ac:dyDescent="0.25">
      <c r="A543" s="18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</row>
    <row r="544" spans="1:7" x14ac:dyDescent="0.25">
      <c r="A544" s="17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</row>
    <row r="545" spans="1:7" x14ac:dyDescent="0.25">
      <c r="A545" s="17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</row>
    <row r="546" spans="1:7" x14ac:dyDescent="0.25">
      <c r="A546" s="17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</row>
    <row r="547" spans="1:7" x14ac:dyDescent="0.25">
      <c r="A547" s="17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</row>
    <row r="548" spans="1:7" x14ac:dyDescent="0.25">
      <c r="A548" s="17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</row>
    <row r="549" spans="1:7" x14ac:dyDescent="0.25">
      <c r="A549" s="17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</row>
    <row r="550" spans="1:7" x14ac:dyDescent="0.25">
      <c r="A550" s="17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</row>
    <row r="551" spans="1:7" x14ac:dyDescent="0.25">
      <c r="A551" s="17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</row>
    <row r="552" spans="1:7" x14ac:dyDescent="0.25">
      <c r="A552" s="17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</row>
    <row r="553" spans="1:7" x14ac:dyDescent="0.25">
      <c r="A553" s="17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</row>
    <row r="554" spans="1:7" x14ac:dyDescent="0.25">
      <c r="A554" s="17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</row>
    <row r="555" spans="1:7" x14ac:dyDescent="0.25">
      <c r="A555" s="17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</row>
    <row r="556" spans="1:7" x14ac:dyDescent="0.25">
      <c r="A556" s="17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</row>
    <row r="557" spans="1:7" x14ac:dyDescent="0.25">
      <c r="A557" s="17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</row>
    <row r="558" spans="1:7" x14ac:dyDescent="0.25">
      <c r="A558" s="17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</row>
    <row r="559" spans="1:7" x14ac:dyDescent="0.25">
      <c r="A559" s="17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</row>
    <row r="560" spans="1:7" x14ac:dyDescent="0.25">
      <c r="A560" s="17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</row>
    <row r="561" spans="1:7" x14ac:dyDescent="0.25">
      <c r="A561" s="17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">
        <v>11</v>
      </c>
    </row>
    <row r="562" spans="1:7" x14ac:dyDescent="0.25">
      <c r="A562" s="17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</row>
    <row r="563" spans="1:7" x14ac:dyDescent="0.25">
      <c r="A563" s="17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</row>
    <row r="564" spans="1:7" x14ac:dyDescent="0.25">
      <c r="A564" s="17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</row>
    <row r="565" spans="1:7" x14ac:dyDescent="0.25">
      <c r="A565" s="17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</row>
    <row r="566" spans="1:7" x14ac:dyDescent="0.25">
      <c r="A566" s="17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</row>
    <row r="567" spans="1:7" x14ac:dyDescent="0.25">
      <c r="A567" s="17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</row>
    <row r="568" spans="1:7" x14ac:dyDescent="0.25">
      <c r="A568" s="17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</row>
    <row r="569" spans="1:7" x14ac:dyDescent="0.25">
      <c r="A569" s="17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</row>
    <row r="570" spans="1:7" x14ac:dyDescent="0.25">
      <c r="A570" s="17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</row>
    <row r="571" spans="1:7" x14ac:dyDescent="0.25">
      <c r="A571" s="17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</row>
    <row r="572" spans="1:7" x14ac:dyDescent="0.25">
      <c r="A572" s="17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</row>
    <row r="573" spans="1:7" x14ac:dyDescent="0.25">
      <c r="A573" s="17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</row>
    <row r="574" spans="1:7" x14ac:dyDescent="0.25">
      <c r="A574" s="17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</row>
    <row r="575" spans="1:7" x14ac:dyDescent="0.25">
      <c r="A575" s="17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</row>
    <row r="576" spans="1:7" x14ac:dyDescent="0.25">
      <c r="A576" s="17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</row>
    <row r="577" spans="1:7" x14ac:dyDescent="0.25">
      <c r="A577" s="17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</row>
    <row r="578" spans="1:7" x14ac:dyDescent="0.25">
      <c r="A578" s="17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</row>
    <row r="579" spans="1:7" x14ac:dyDescent="0.25">
      <c r="A579" s="17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</row>
    <row r="580" spans="1:7" x14ac:dyDescent="0.25">
      <c r="A580" s="17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</row>
    <row r="581" spans="1:7" x14ac:dyDescent="0.25">
      <c r="A581" s="17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</row>
    <row r="582" spans="1:7" x14ac:dyDescent="0.25">
      <c r="A582" s="17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</row>
    <row r="583" spans="1:7" x14ac:dyDescent="0.25">
      <c r="A583" s="17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</row>
    <row r="584" spans="1:7" x14ac:dyDescent="0.25">
      <c r="A584" s="17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</row>
    <row r="585" spans="1:7" x14ac:dyDescent="0.25">
      <c r="A585" s="17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</row>
    <row r="586" spans="1:7" x14ac:dyDescent="0.25">
      <c r="A586" s="17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</row>
    <row r="587" spans="1:7" x14ac:dyDescent="0.25">
      <c r="A587" s="17"/>
      <c r="B587" s="4" t="s">
        <v>631</v>
      </c>
      <c r="C587" s="4" t="s">
        <v>14</v>
      </c>
      <c r="D587" s="4" t="s">
        <v>15</v>
      </c>
      <c r="E587" s="4" t="s">
        <v>16</v>
      </c>
      <c r="F587" s="4" t="s">
        <v>14</v>
      </c>
      <c r="G587" s="5" t="s">
        <v>16</v>
      </c>
    </row>
    <row r="588" spans="1:7" x14ac:dyDescent="0.25">
      <c r="A588" s="17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</row>
    <row r="589" spans="1:7" x14ac:dyDescent="0.25">
      <c r="A589" s="17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</row>
    <row r="590" spans="1:7" x14ac:dyDescent="0.25">
      <c r="A590" s="17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</row>
    <row r="591" spans="1:7" x14ac:dyDescent="0.25">
      <c r="A591" s="17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</row>
    <row r="592" spans="1:7" x14ac:dyDescent="0.25">
      <c r="A592" s="17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</row>
    <row r="593" spans="1:7" x14ac:dyDescent="0.25">
      <c r="A593" s="17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</row>
    <row r="594" spans="1:7" x14ac:dyDescent="0.25">
      <c r="A594" s="17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</row>
    <row r="595" spans="1:7" x14ac:dyDescent="0.25">
      <c r="A595" s="17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</row>
    <row r="596" spans="1:7" x14ac:dyDescent="0.25">
      <c r="A596" s="17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</row>
    <row r="597" spans="1:7" x14ac:dyDescent="0.25">
      <c r="A597" s="17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75</v>
      </c>
    </row>
    <row r="598" spans="1:7" x14ac:dyDescent="0.25">
      <c r="A598" s="17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</row>
    <row r="599" spans="1:7" x14ac:dyDescent="0.25">
      <c r="A599" s="17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</row>
    <row r="600" spans="1:7" x14ac:dyDescent="0.25">
      <c r="A600" s="17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</row>
    <row r="601" spans="1:7" x14ac:dyDescent="0.25">
      <c r="A601" s="17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</row>
    <row r="602" spans="1:7" x14ac:dyDescent="0.25">
      <c r="A602" s="17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</row>
    <row r="603" spans="1:7" x14ac:dyDescent="0.25">
      <c r="A603" s="17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</row>
    <row r="604" spans="1:7" x14ac:dyDescent="0.25">
      <c r="A604" s="17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</row>
    <row r="605" spans="1:7" x14ac:dyDescent="0.25">
      <c r="A605" s="17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</row>
    <row r="606" spans="1:7" x14ac:dyDescent="0.25">
      <c r="A606" s="17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</row>
    <row r="607" spans="1:7" x14ac:dyDescent="0.25">
      <c r="A607" s="17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">
        <v>11</v>
      </c>
    </row>
    <row r="608" spans="1:7" x14ac:dyDescent="0.25">
      <c r="A608" s="17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</row>
    <row r="609" spans="1:7" x14ac:dyDescent="0.25">
      <c r="A609" s="17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</row>
    <row r="610" spans="1:7" x14ac:dyDescent="0.25">
      <c r="A610" s="17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</row>
    <row r="611" spans="1:7" x14ac:dyDescent="0.25">
      <c r="A611" s="17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</row>
    <row r="612" spans="1:7" x14ac:dyDescent="0.25">
      <c r="A612" s="17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</row>
    <row r="613" spans="1:7" x14ac:dyDescent="0.25">
      <c r="A613" s="17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</row>
    <row r="614" spans="1:7" x14ac:dyDescent="0.25">
      <c r="A614" s="17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</row>
    <row r="615" spans="1:7" x14ac:dyDescent="0.25">
      <c r="A615" s="17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</row>
    <row r="616" spans="1:7" x14ac:dyDescent="0.25">
      <c r="A616" s="17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</row>
    <row r="617" spans="1:7" x14ac:dyDescent="0.25">
      <c r="A617" s="17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</row>
    <row r="618" spans="1:7" x14ac:dyDescent="0.25">
      <c r="A618" s="17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</row>
    <row r="619" spans="1:7" x14ac:dyDescent="0.25">
      <c r="A619" s="17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</row>
    <row r="620" spans="1:7" x14ac:dyDescent="0.25">
      <c r="A620" s="17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</row>
    <row r="621" spans="1:7" x14ac:dyDescent="0.25">
      <c r="A621" s="17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</row>
    <row r="622" spans="1:7" x14ac:dyDescent="0.25">
      <c r="A622" s="17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</row>
    <row r="623" spans="1:7" x14ac:dyDescent="0.25">
      <c r="A623" s="17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</row>
    <row r="624" spans="1:7" x14ac:dyDescent="0.25">
      <c r="A624" s="17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</row>
    <row r="625" spans="1:7" x14ac:dyDescent="0.25">
      <c r="A625" s="17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</row>
    <row r="626" spans="1:7" x14ac:dyDescent="0.25">
      <c r="A626" s="17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</row>
    <row r="627" spans="1:7" x14ac:dyDescent="0.25">
      <c r="A627" s="17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</row>
    <row r="628" spans="1:7" x14ac:dyDescent="0.25">
      <c r="A628" s="17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</row>
    <row r="629" spans="1:7" x14ac:dyDescent="0.25">
      <c r="A629" s="17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">
        <v>57</v>
      </c>
    </row>
    <row r="630" spans="1:7" x14ac:dyDescent="0.25">
      <c r="A630" s="17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</row>
    <row r="631" spans="1:7" x14ac:dyDescent="0.25">
      <c r="A631" s="17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</row>
    <row r="632" spans="1:7" x14ac:dyDescent="0.25">
      <c r="A632" s="17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</row>
    <row r="633" spans="1:7" x14ac:dyDescent="0.25">
      <c r="A633" s="17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</row>
    <row r="634" spans="1:7" x14ac:dyDescent="0.25">
      <c r="A634" s="17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</row>
    <row r="635" spans="1:7" x14ac:dyDescent="0.25">
      <c r="A635" s="17"/>
      <c r="B635" s="4" t="s">
        <v>675</v>
      </c>
      <c r="C635" s="4" t="s">
        <v>109</v>
      </c>
      <c r="D635" s="4" t="s">
        <v>110</v>
      </c>
      <c r="E635" s="4" t="s">
        <v>111</v>
      </c>
      <c r="F635" s="4" t="s">
        <v>112</v>
      </c>
      <c r="G635" s="5" t="s">
        <v>111</v>
      </c>
    </row>
    <row r="636" spans="1:7" x14ac:dyDescent="0.25">
      <c r="A636" s="17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</row>
    <row r="637" spans="1:7" x14ac:dyDescent="0.25">
      <c r="A637" s="17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</row>
    <row r="638" spans="1:7" x14ac:dyDescent="0.25">
      <c r="A638" s="17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</row>
    <row r="639" spans="1:7" x14ac:dyDescent="0.25">
      <c r="A639" s="17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</row>
    <row r="640" spans="1:7" x14ac:dyDescent="0.25">
      <c r="A640" s="17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</row>
    <row r="641" spans="1:7" x14ac:dyDescent="0.25">
      <c r="A641" s="17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</row>
    <row r="642" spans="1:7" x14ac:dyDescent="0.25">
      <c r="A642" s="17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</row>
    <row r="643" spans="1:7" x14ac:dyDescent="0.25">
      <c r="A643" s="17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</row>
    <row r="644" spans="1:7" x14ac:dyDescent="0.25">
      <c r="A644" s="17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</row>
    <row r="645" spans="1:7" x14ac:dyDescent="0.25">
      <c r="A645" s="17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</row>
    <row r="646" spans="1:7" x14ac:dyDescent="0.25">
      <c r="A646" s="17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</row>
    <row r="647" spans="1:7" x14ac:dyDescent="0.25">
      <c r="A647" s="17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</row>
    <row r="648" spans="1:7" x14ac:dyDescent="0.25">
      <c r="A648" s="17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</row>
    <row r="649" spans="1:7" x14ac:dyDescent="0.25">
      <c r="A649" s="17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</row>
    <row r="650" spans="1:7" x14ac:dyDescent="0.25">
      <c r="A650" s="17"/>
      <c r="B650" s="4" t="s">
        <v>690</v>
      </c>
      <c r="C650" s="4" t="s">
        <v>35</v>
      </c>
      <c r="D650" s="4" t="s">
        <v>35</v>
      </c>
      <c r="E650" s="4" t="s">
        <v>57</v>
      </c>
      <c r="F650" s="4" t="s">
        <v>100</v>
      </c>
      <c r="G650" s="5" t="s">
        <v>57</v>
      </c>
    </row>
    <row r="651" spans="1:7" x14ac:dyDescent="0.25">
      <c r="A651" s="17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</row>
    <row r="652" spans="1:7" x14ac:dyDescent="0.25">
      <c r="A652" s="17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</row>
    <row r="653" spans="1:7" x14ac:dyDescent="0.25">
      <c r="A653" s="17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</row>
    <row r="654" spans="1:7" x14ac:dyDescent="0.25">
      <c r="A654" s="17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</row>
    <row r="655" spans="1:7" x14ac:dyDescent="0.25">
      <c r="A655" s="17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</row>
    <row r="656" spans="1:7" x14ac:dyDescent="0.25">
      <c r="A656" s="17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</row>
    <row r="657" spans="1:7" x14ac:dyDescent="0.25">
      <c r="A657" s="17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</row>
    <row r="658" spans="1:7" x14ac:dyDescent="0.25">
      <c r="A658" s="17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</row>
    <row r="659" spans="1:7" x14ac:dyDescent="0.25">
      <c r="A659" s="17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</row>
    <row r="660" spans="1:7" x14ac:dyDescent="0.25">
      <c r="A660" s="17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</row>
    <row r="661" spans="1:7" x14ac:dyDescent="0.25">
      <c r="A661" s="17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</row>
    <row r="662" spans="1:7" x14ac:dyDescent="0.25">
      <c r="A662" s="17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</row>
    <row r="663" spans="1:7" x14ac:dyDescent="0.25">
      <c r="A663" s="17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</row>
    <row r="664" spans="1:7" x14ac:dyDescent="0.25">
      <c r="A664" s="17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</row>
    <row r="665" spans="1:7" x14ac:dyDescent="0.25">
      <c r="A665" s="17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</row>
    <row r="666" spans="1:7" x14ac:dyDescent="0.25">
      <c r="A666" s="17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</row>
    <row r="667" spans="1:7" x14ac:dyDescent="0.25">
      <c r="A667" s="17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</row>
    <row r="668" spans="1:7" x14ac:dyDescent="0.25">
      <c r="A668" s="17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</row>
    <row r="669" spans="1:7" x14ac:dyDescent="0.25">
      <c r="A669" s="17"/>
      <c r="B669" s="4" t="s">
        <v>709</v>
      </c>
      <c r="C669" s="4" t="s">
        <v>14</v>
      </c>
      <c r="D669" s="4" t="s">
        <v>15</v>
      </c>
      <c r="E669" s="4" t="s">
        <v>16</v>
      </c>
      <c r="F669" s="4" t="s">
        <v>14</v>
      </c>
      <c r="G669" s="5" t="s">
        <v>16</v>
      </c>
    </row>
    <row r="670" spans="1:7" x14ac:dyDescent="0.25">
      <c r="A670" s="17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</row>
    <row r="671" spans="1:7" x14ac:dyDescent="0.25">
      <c r="A671" s="17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</row>
    <row r="672" spans="1:7" x14ac:dyDescent="0.25">
      <c r="A672" s="17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</row>
    <row r="673" spans="1:7" x14ac:dyDescent="0.25">
      <c r="A673" s="17"/>
      <c r="B673" s="4" t="s">
        <v>713</v>
      </c>
      <c r="C673" s="4" t="s">
        <v>109</v>
      </c>
      <c r="D673" s="4" t="s">
        <v>110</v>
      </c>
      <c r="E673" s="4" t="s">
        <v>111</v>
      </c>
      <c r="F673" s="4" t="s">
        <v>112</v>
      </c>
      <c r="G673" s="5" t="s">
        <v>111</v>
      </c>
    </row>
    <row r="674" spans="1:7" x14ac:dyDescent="0.25">
      <c r="A674" s="17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</row>
    <row r="675" spans="1:7" x14ac:dyDescent="0.25">
      <c r="A675" s="17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</row>
    <row r="676" spans="1:7" x14ac:dyDescent="0.25">
      <c r="A676" s="17"/>
      <c r="B676" s="4" t="s">
        <v>716</v>
      </c>
      <c r="C676" s="4" t="s">
        <v>35</v>
      </c>
      <c r="D676" s="4" t="s">
        <v>35</v>
      </c>
      <c r="E676" s="4" t="s">
        <v>686</v>
      </c>
      <c r="F676" s="4" t="s">
        <v>112</v>
      </c>
      <c r="G676" s="5" t="s">
        <v>686</v>
      </c>
    </row>
    <row r="677" spans="1:7" x14ac:dyDescent="0.25">
      <c r="A677" s="17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</row>
    <row r="678" spans="1:7" x14ac:dyDescent="0.25">
      <c r="A678" s="17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</row>
    <row r="679" spans="1:7" x14ac:dyDescent="0.25">
      <c r="A679" s="17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</row>
    <row r="680" spans="1:7" x14ac:dyDescent="0.25">
      <c r="A680" s="17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</row>
    <row r="681" spans="1:7" x14ac:dyDescent="0.25">
      <c r="A681" s="17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</row>
    <row r="682" spans="1:7" x14ac:dyDescent="0.25">
      <c r="A682" s="17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</row>
    <row r="683" spans="1:7" x14ac:dyDescent="0.25">
      <c r="A683" s="17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</row>
    <row r="684" spans="1:7" x14ac:dyDescent="0.25">
      <c r="A684" s="17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</row>
    <row r="685" spans="1:7" x14ac:dyDescent="0.25">
      <c r="A685" s="17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</row>
    <row r="686" spans="1:7" x14ac:dyDescent="0.25">
      <c r="A686" s="17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</row>
    <row r="687" spans="1:7" x14ac:dyDescent="0.25">
      <c r="A687" s="17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</row>
    <row r="688" spans="1:7" x14ac:dyDescent="0.25">
      <c r="A688" s="17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</row>
    <row r="689" spans="1:7" x14ac:dyDescent="0.25">
      <c r="A689" s="17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</row>
    <row r="690" spans="1:7" x14ac:dyDescent="0.25">
      <c r="A690" s="17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</row>
    <row r="691" spans="1:7" x14ac:dyDescent="0.25">
      <c r="A691" s="17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</row>
    <row r="692" spans="1:7" x14ac:dyDescent="0.25">
      <c r="A692" s="17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</row>
    <row r="693" spans="1:7" x14ac:dyDescent="0.25">
      <c r="A693" s="17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</row>
    <row r="694" spans="1:7" x14ac:dyDescent="0.25">
      <c r="A694" s="17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</row>
    <row r="695" spans="1:7" x14ac:dyDescent="0.25">
      <c r="A695" s="17"/>
      <c r="B695" s="4" t="s">
        <v>735</v>
      </c>
      <c r="C695" s="4" t="s">
        <v>14</v>
      </c>
      <c r="D695" s="4" t="s">
        <v>15</v>
      </c>
      <c r="E695" s="4" t="s">
        <v>16</v>
      </c>
      <c r="F695" s="4" t="s">
        <v>14</v>
      </c>
      <c r="G695" s="5" t="s">
        <v>16</v>
      </c>
    </row>
    <row r="696" spans="1:7" x14ac:dyDescent="0.25">
      <c r="A696" s="17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</row>
    <row r="697" spans="1:7" x14ac:dyDescent="0.25">
      <c r="A697" s="17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</row>
    <row r="698" spans="1:7" x14ac:dyDescent="0.25">
      <c r="A698" s="17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</row>
    <row r="699" spans="1:7" x14ac:dyDescent="0.25">
      <c r="A699" s="17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</row>
    <row r="700" spans="1:7" x14ac:dyDescent="0.25">
      <c r="A700" s="17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</row>
    <row r="701" spans="1:7" x14ac:dyDescent="0.25">
      <c r="A701" s="17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</row>
    <row r="702" spans="1:7" x14ac:dyDescent="0.25">
      <c r="A702" s="17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</row>
    <row r="703" spans="1:7" x14ac:dyDescent="0.25">
      <c r="A703" s="17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</row>
    <row r="704" spans="1:7" x14ac:dyDescent="0.25">
      <c r="A704" s="17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</row>
    <row r="705" spans="1:7" x14ac:dyDescent="0.25">
      <c r="A705" s="17"/>
      <c r="B705" s="4" t="s">
        <v>745</v>
      </c>
      <c r="C705" s="4" t="s">
        <v>14</v>
      </c>
      <c r="D705" s="4" t="s">
        <v>15</v>
      </c>
      <c r="E705" s="4" t="s">
        <v>16</v>
      </c>
      <c r="F705" s="4" t="s">
        <v>14</v>
      </c>
      <c r="G705" s="5" t="s">
        <v>16</v>
      </c>
    </row>
    <row r="706" spans="1:7" x14ac:dyDescent="0.25">
      <c r="A706" s="17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</row>
    <row r="707" spans="1:7" x14ac:dyDescent="0.25">
      <c r="A707" s="17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</row>
    <row r="708" spans="1:7" x14ac:dyDescent="0.25">
      <c r="A708" s="17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</row>
    <row r="709" spans="1:7" x14ac:dyDescent="0.25">
      <c r="A709" s="17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</row>
    <row r="710" spans="1:7" x14ac:dyDescent="0.25">
      <c r="A710" s="17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</row>
    <row r="711" spans="1:7" x14ac:dyDescent="0.25">
      <c r="A711" s="17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</row>
    <row r="712" spans="1:7" x14ac:dyDescent="0.25">
      <c r="A712" s="17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</row>
    <row r="713" spans="1:7" x14ac:dyDescent="0.25">
      <c r="A713" s="17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</row>
    <row r="714" spans="1:7" x14ac:dyDescent="0.25">
      <c r="A714" s="17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</row>
    <row r="715" spans="1:7" x14ac:dyDescent="0.25">
      <c r="A715" s="17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</row>
    <row r="716" spans="1:7" x14ac:dyDescent="0.25">
      <c r="A716" s="17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</row>
    <row r="717" spans="1:7" x14ac:dyDescent="0.25">
      <c r="A717" s="17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</row>
    <row r="718" spans="1:7" x14ac:dyDescent="0.25">
      <c r="A718" s="17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</row>
    <row r="719" spans="1:7" x14ac:dyDescent="0.25">
      <c r="A719" s="17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</row>
    <row r="720" spans="1:7" x14ac:dyDescent="0.25">
      <c r="A720" s="17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</row>
    <row r="721" spans="1:7" x14ac:dyDescent="0.25">
      <c r="A721" s="17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</row>
    <row r="722" spans="1:7" x14ac:dyDescent="0.25">
      <c r="A722" s="17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</row>
    <row r="723" spans="1:7" x14ac:dyDescent="0.25">
      <c r="A723" s="17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</row>
    <row r="724" spans="1:7" x14ac:dyDescent="0.25">
      <c r="A724" s="17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</row>
    <row r="725" spans="1:7" x14ac:dyDescent="0.25">
      <c r="A725" s="17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</row>
    <row r="726" spans="1:7" x14ac:dyDescent="0.25">
      <c r="A726" s="17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</row>
    <row r="727" spans="1:7" x14ac:dyDescent="0.25">
      <c r="A727" s="17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</row>
    <row r="728" spans="1:7" x14ac:dyDescent="0.25">
      <c r="A728" s="17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</row>
    <row r="729" spans="1:7" x14ac:dyDescent="0.25">
      <c r="A729" s="17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</row>
    <row r="730" spans="1:7" x14ac:dyDescent="0.25">
      <c r="A730" s="17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</row>
    <row r="731" spans="1:7" x14ac:dyDescent="0.25">
      <c r="A731" s="17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</row>
    <row r="732" spans="1:7" x14ac:dyDescent="0.25">
      <c r="A732" s="17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</row>
    <row r="733" spans="1:7" x14ac:dyDescent="0.25">
      <c r="A733" s="17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118</v>
      </c>
    </row>
    <row r="734" spans="1:7" x14ac:dyDescent="0.25">
      <c r="A734" s="17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</row>
    <row r="735" spans="1:7" x14ac:dyDescent="0.25">
      <c r="A735" s="17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</row>
    <row r="736" spans="1:7" x14ac:dyDescent="0.25">
      <c r="A736" s="17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</row>
    <row r="737" spans="1:7" x14ac:dyDescent="0.25">
      <c r="A737" s="17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</row>
    <row r="738" spans="1:7" x14ac:dyDescent="0.25">
      <c r="A738" s="17"/>
      <c r="B738" s="4" t="s">
        <v>779</v>
      </c>
      <c r="C738" s="4" t="s">
        <v>14</v>
      </c>
      <c r="D738" s="4" t="s">
        <v>15</v>
      </c>
      <c r="E738" s="4" t="s">
        <v>16</v>
      </c>
      <c r="F738" s="4" t="s">
        <v>14</v>
      </c>
      <c r="G738" s="5" t="s">
        <v>16</v>
      </c>
    </row>
    <row r="739" spans="1:7" x14ac:dyDescent="0.25">
      <c r="A739" s="17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</row>
    <row r="740" spans="1:7" x14ac:dyDescent="0.25">
      <c r="A740" s="17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</row>
    <row r="741" spans="1:7" x14ac:dyDescent="0.25">
      <c r="A741" s="17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">
        <v>26</v>
      </c>
    </row>
    <row r="742" spans="1:7" x14ac:dyDescent="0.25">
      <c r="A742" s="17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</row>
    <row r="743" spans="1:7" x14ac:dyDescent="0.25">
      <c r="A743" s="17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</row>
    <row r="744" spans="1:7" x14ac:dyDescent="0.25">
      <c r="A744" s="17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</row>
    <row r="745" spans="1:7" x14ac:dyDescent="0.25">
      <c r="A745" s="17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</row>
    <row r="746" spans="1:7" x14ac:dyDescent="0.25">
      <c r="A746" s="17"/>
      <c r="B746" s="4" t="s">
        <v>787</v>
      </c>
      <c r="C746" s="4" t="s">
        <v>35</v>
      </c>
      <c r="D746" s="4" t="s">
        <v>35</v>
      </c>
      <c r="E746" s="4" t="s">
        <v>57</v>
      </c>
      <c r="F746" s="4" t="s">
        <v>100</v>
      </c>
      <c r="G746" s="5" t="s">
        <v>57</v>
      </c>
    </row>
    <row r="747" spans="1:7" x14ac:dyDescent="0.25">
      <c r="A747" s="17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</row>
    <row r="748" spans="1:7" x14ac:dyDescent="0.25">
      <c r="A748" s="17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</row>
    <row r="749" spans="1:7" x14ac:dyDescent="0.25">
      <c r="A749" s="17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36</v>
      </c>
    </row>
    <row r="750" spans="1:7" x14ac:dyDescent="0.25">
      <c r="A750" s="17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</row>
    <row r="751" spans="1:7" x14ac:dyDescent="0.25">
      <c r="A751" s="17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</row>
    <row r="752" spans="1:7" x14ac:dyDescent="0.25">
      <c r="A752" s="17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</row>
    <row r="753" spans="1:7" x14ac:dyDescent="0.25">
      <c r="A753" s="17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</row>
    <row r="754" spans="1:7" x14ac:dyDescent="0.25">
      <c r="A754" s="17"/>
      <c r="B754" s="4" t="s">
        <v>795</v>
      </c>
      <c r="C754" s="4" t="s">
        <v>14</v>
      </c>
      <c r="D754" s="4" t="s">
        <v>15</v>
      </c>
      <c r="E754" s="4" t="s">
        <v>98</v>
      </c>
      <c r="F754" s="4" t="s">
        <v>14</v>
      </c>
      <c r="G754" s="5" t="s">
        <v>98</v>
      </c>
    </row>
    <row r="755" spans="1:7" x14ac:dyDescent="0.25">
      <c r="A755" s="17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</row>
    <row r="756" spans="1:7" x14ac:dyDescent="0.25">
      <c r="A756" s="17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</row>
    <row r="757" spans="1:7" x14ac:dyDescent="0.25">
      <c r="A757" s="17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</row>
    <row r="758" spans="1:7" x14ac:dyDescent="0.25">
      <c r="A758" s="17"/>
      <c r="B758" s="4" t="s">
        <v>799</v>
      </c>
      <c r="C758" s="4" t="s">
        <v>14</v>
      </c>
      <c r="D758" s="4" t="s">
        <v>15</v>
      </c>
      <c r="E758" s="4" t="s">
        <v>16</v>
      </c>
      <c r="F758" s="4" t="s">
        <v>14</v>
      </c>
      <c r="G758" s="5" t="s">
        <v>16</v>
      </c>
    </row>
    <row r="759" spans="1:7" x14ac:dyDescent="0.25">
      <c r="A759" s="17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</row>
    <row r="760" spans="1:7" x14ac:dyDescent="0.25">
      <c r="A760" s="17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</row>
    <row r="761" spans="1:7" x14ac:dyDescent="0.25">
      <c r="A761" s="17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</row>
    <row r="762" spans="1:7" x14ac:dyDescent="0.25">
      <c r="A762" s="17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</row>
    <row r="763" spans="1:7" x14ac:dyDescent="0.25">
      <c r="A763" s="17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</row>
    <row r="764" spans="1:7" x14ac:dyDescent="0.25">
      <c r="A764" s="17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</row>
    <row r="765" spans="1:7" x14ac:dyDescent="0.25">
      <c r="A765" s="17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</row>
    <row r="766" spans="1:7" x14ac:dyDescent="0.25">
      <c r="A766" s="17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</row>
    <row r="767" spans="1:7" x14ac:dyDescent="0.25">
      <c r="A767" s="17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</row>
    <row r="768" spans="1:7" x14ac:dyDescent="0.25">
      <c r="A768" s="17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</row>
    <row r="769" spans="1:7" x14ac:dyDescent="0.25">
      <c r="A769" s="17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</row>
    <row r="770" spans="1:7" x14ac:dyDescent="0.25">
      <c r="A770" s="17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</row>
    <row r="771" spans="1:7" x14ac:dyDescent="0.25">
      <c r="A771" s="17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</row>
    <row r="772" spans="1:7" x14ac:dyDescent="0.25">
      <c r="A772" s="17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</row>
    <row r="773" spans="1:7" x14ac:dyDescent="0.25">
      <c r="A773" s="17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</row>
    <row r="774" spans="1:7" x14ac:dyDescent="0.25">
      <c r="A774" s="17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</row>
    <row r="775" spans="1:7" x14ac:dyDescent="0.25">
      <c r="A775" s="17"/>
      <c r="B775" s="4" t="s">
        <v>816</v>
      </c>
      <c r="C775" s="4" t="s">
        <v>14</v>
      </c>
      <c r="D775" s="4" t="s">
        <v>15</v>
      </c>
      <c r="E775" s="4" t="s">
        <v>16</v>
      </c>
      <c r="F775" s="4" t="s">
        <v>14</v>
      </c>
      <c r="G775" s="5" t="s">
        <v>16</v>
      </c>
    </row>
    <row r="776" spans="1:7" x14ac:dyDescent="0.25">
      <c r="A776" s="17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</row>
    <row r="777" spans="1:7" x14ac:dyDescent="0.25">
      <c r="A777" s="17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</row>
    <row r="778" spans="1:7" x14ac:dyDescent="0.25">
      <c r="A778" s="17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</row>
    <row r="779" spans="1:7" x14ac:dyDescent="0.25">
      <c r="A779" s="17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</row>
    <row r="780" spans="1:7" x14ac:dyDescent="0.25">
      <c r="A780" s="17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</row>
    <row r="781" spans="1:7" x14ac:dyDescent="0.25">
      <c r="A781" s="17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</row>
    <row r="782" spans="1:7" x14ac:dyDescent="0.25">
      <c r="A782" s="17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">
        <v>308</v>
      </c>
    </row>
    <row r="783" spans="1:7" x14ac:dyDescent="0.25">
      <c r="A783" s="17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</row>
    <row r="784" spans="1:7" x14ac:dyDescent="0.25">
      <c r="A784" s="17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</row>
    <row r="785" spans="1:7" x14ac:dyDescent="0.25">
      <c r="A785" s="17"/>
      <c r="B785" s="4" t="s">
        <v>827</v>
      </c>
      <c r="C785" s="4" t="s">
        <v>35</v>
      </c>
      <c r="D785" s="4" t="s">
        <v>35</v>
      </c>
      <c r="E785" s="4" t="s">
        <v>686</v>
      </c>
      <c r="F785" s="4" t="s">
        <v>112</v>
      </c>
      <c r="G785" s="5" t="s">
        <v>686</v>
      </c>
    </row>
    <row r="786" spans="1:7" x14ac:dyDescent="0.25">
      <c r="A786" s="17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</row>
    <row r="787" spans="1:7" x14ac:dyDescent="0.25">
      <c r="A787" s="17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</row>
    <row r="788" spans="1:7" x14ac:dyDescent="0.25">
      <c r="A788" s="17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</row>
    <row r="789" spans="1:7" x14ac:dyDescent="0.25">
      <c r="A789" s="17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</row>
    <row r="790" spans="1:7" x14ac:dyDescent="0.25">
      <c r="A790" s="17"/>
      <c r="B790" s="4" t="s">
        <v>832</v>
      </c>
      <c r="C790" s="4" t="s">
        <v>24</v>
      </c>
      <c r="D790" s="4" t="s">
        <v>25</v>
      </c>
      <c r="E790" s="4" t="s">
        <v>26</v>
      </c>
      <c r="F790" s="4" t="s">
        <v>21</v>
      </c>
      <c r="G790" s="5" t="s">
        <v>26</v>
      </c>
    </row>
    <row r="791" spans="1:7" x14ac:dyDescent="0.25">
      <c r="A791" s="17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</row>
    <row r="792" spans="1:7" x14ac:dyDescent="0.25">
      <c r="A792" s="17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16</v>
      </c>
    </row>
    <row r="793" spans="1:7" x14ac:dyDescent="0.25">
      <c r="A793" s="17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</row>
    <row r="794" spans="1:7" x14ac:dyDescent="0.25">
      <c r="A794" s="17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">
        <v>20</v>
      </c>
    </row>
    <row r="795" spans="1:7" x14ac:dyDescent="0.25">
      <c r="A795" s="17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</row>
    <row r="796" spans="1:7" x14ac:dyDescent="0.25">
      <c r="A796" s="17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</row>
    <row r="797" spans="1:7" x14ac:dyDescent="0.25">
      <c r="A797" s="17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</row>
    <row r="798" spans="1:7" x14ac:dyDescent="0.25">
      <c r="A798" s="17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</row>
    <row r="799" spans="1:7" x14ac:dyDescent="0.25">
      <c r="A799" s="17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</row>
    <row r="800" spans="1:7" x14ac:dyDescent="0.25">
      <c r="A800" s="17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</row>
    <row r="801" spans="1:7" x14ac:dyDescent="0.25">
      <c r="A801" s="17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</row>
    <row r="802" spans="1:7" x14ac:dyDescent="0.25">
      <c r="A802" s="17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</row>
    <row r="803" spans="1:7" x14ac:dyDescent="0.25">
      <c r="A803" s="17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</row>
    <row r="804" spans="1:7" x14ac:dyDescent="0.25">
      <c r="A804" s="17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</row>
    <row r="805" spans="1:7" x14ac:dyDescent="0.25">
      <c r="A805" s="17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</row>
    <row r="806" spans="1:7" x14ac:dyDescent="0.25">
      <c r="A806" s="17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</row>
    <row r="807" spans="1:7" x14ac:dyDescent="0.25">
      <c r="A807" s="17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</row>
    <row r="808" spans="1:7" x14ac:dyDescent="0.25">
      <c r="A808" s="17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</row>
    <row r="809" spans="1:7" x14ac:dyDescent="0.25">
      <c r="A809" s="17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</row>
    <row r="810" spans="1:7" x14ac:dyDescent="0.25">
      <c r="A810" s="17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</row>
    <row r="811" spans="1:7" x14ac:dyDescent="0.25">
      <c r="A811" s="17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</row>
    <row r="812" spans="1:7" x14ac:dyDescent="0.25">
      <c r="A812" s="17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</row>
    <row r="813" spans="1:7" x14ac:dyDescent="0.25">
      <c r="A813" s="17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</row>
    <row r="814" spans="1:7" x14ac:dyDescent="0.25">
      <c r="A814" s="17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</row>
    <row r="815" spans="1:7" x14ac:dyDescent="0.25">
      <c r="A815" s="17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">
        <v>11</v>
      </c>
    </row>
    <row r="816" spans="1:7" x14ac:dyDescent="0.25">
      <c r="A816" s="17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</row>
    <row r="817" spans="1:7" x14ac:dyDescent="0.25">
      <c r="A817" s="17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</row>
    <row r="818" spans="1:7" x14ac:dyDescent="0.25">
      <c r="A818" s="17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</row>
    <row r="819" spans="1:7" x14ac:dyDescent="0.25">
      <c r="A819" s="17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</row>
    <row r="820" spans="1:7" x14ac:dyDescent="0.25">
      <c r="A820" s="17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</row>
    <row r="821" spans="1:7" x14ac:dyDescent="0.25">
      <c r="A821" s="17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</row>
    <row r="822" spans="1:7" x14ac:dyDescent="0.25">
      <c r="A822" s="17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</row>
    <row r="823" spans="1:7" x14ac:dyDescent="0.25">
      <c r="A823" s="17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</row>
    <row r="824" spans="1:7" x14ac:dyDescent="0.25">
      <c r="A824" s="17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</row>
    <row r="825" spans="1:7" x14ac:dyDescent="0.25">
      <c r="A825" s="17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">
        <v>11</v>
      </c>
    </row>
    <row r="826" spans="1:7" x14ac:dyDescent="0.25">
      <c r="A826" s="17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">
        <v>57</v>
      </c>
    </row>
    <row r="827" spans="1:7" x14ac:dyDescent="0.25">
      <c r="A827" s="17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">
        <v>11</v>
      </c>
    </row>
    <row r="828" spans="1:7" x14ac:dyDescent="0.25">
      <c r="A828" s="17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</row>
    <row r="829" spans="1:7" x14ac:dyDescent="0.25">
      <c r="A829" s="17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</row>
    <row r="830" spans="1:7" x14ac:dyDescent="0.25">
      <c r="A830" s="17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</row>
    <row r="831" spans="1:7" x14ac:dyDescent="0.25">
      <c r="A831" s="17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</row>
    <row r="832" spans="1:7" x14ac:dyDescent="0.25">
      <c r="A832" s="17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</row>
    <row r="833" spans="1:7" x14ac:dyDescent="0.25">
      <c r="A833" s="17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</row>
    <row r="834" spans="1:7" x14ac:dyDescent="0.25">
      <c r="A834" s="17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</row>
    <row r="835" spans="1:7" x14ac:dyDescent="0.25">
      <c r="A835" s="17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</row>
    <row r="836" spans="1:7" x14ac:dyDescent="0.25">
      <c r="A836" s="17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</row>
    <row r="837" spans="1:7" x14ac:dyDescent="0.25">
      <c r="A837" s="17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">
        <v>57</v>
      </c>
    </row>
    <row r="838" spans="1:7" x14ac:dyDescent="0.25">
      <c r="A838" s="17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</row>
    <row r="839" spans="1:7" x14ac:dyDescent="0.25">
      <c r="A839" s="17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</row>
    <row r="840" spans="1:7" x14ac:dyDescent="0.25">
      <c r="A840" s="17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</row>
    <row r="841" spans="1:7" x14ac:dyDescent="0.25">
      <c r="A841" s="17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</row>
    <row r="842" spans="1:7" x14ac:dyDescent="0.25">
      <c r="A842" s="17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</row>
    <row r="843" spans="1:7" x14ac:dyDescent="0.25">
      <c r="A843" s="17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</row>
    <row r="844" spans="1:7" x14ac:dyDescent="0.25">
      <c r="A844" s="17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</row>
    <row r="845" spans="1:7" x14ac:dyDescent="0.25">
      <c r="A845" s="17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</row>
    <row r="846" spans="1:7" x14ac:dyDescent="0.25">
      <c r="A846" s="17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</row>
    <row r="847" spans="1:7" x14ac:dyDescent="0.25">
      <c r="A847" s="17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</row>
    <row r="848" spans="1:7" x14ac:dyDescent="0.25">
      <c r="A848" s="17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</row>
    <row r="849" spans="1:7" x14ac:dyDescent="0.25">
      <c r="A849" s="17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">
        <v>11</v>
      </c>
    </row>
    <row r="850" spans="1:7" x14ac:dyDescent="0.25">
      <c r="A850" s="17"/>
      <c r="B850" s="4" t="s">
        <v>5564</v>
      </c>
      <c r="C850" s="4" t="s">
        <v>11</v>
      </c>
      <c r="D850" s="4" t="s">
        <v>11</v>
      </c>
      <c r="E850" s="4" t="s">
        <v>11</v>
      </c>
      <c r="F850" s="4" t="s">
        <v>120</v>
      </c>
      <c r="G850" s="5" t="s">
        <v>11</v>
      </c>
    </row>
    <row r="851" spans="1:7" x14ac:dyDescent="0.25">
      <c r="A851" s="17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</row>
    <row r="852" spans="1:7" x14ac:dyDescent="0.25">
      <c r="A852" s="17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</row>
    <row r="853" spans="1:7" x14ac:dyDescent="0.25">
      <c r="A853" s="17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</row>
    <row r="854" spans="1:7" x14ac:dyDescent="0.25">
      <c r="A854" s="17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</row>
    <row r="855" spans="1:7" x14ac:dyDescent="0.25">
      <c r="A855" s="17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">
        <v>11</v>
      </c>
    </row>
    <row r="856" spans="1:7" x14ac:dyDescent="0.25">
      <c r="A856" s="17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</row>
    <row r="857" spans="1:7" x14ac:dyDescent="0.25">
      <c r="A857" s="17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</row>
    <row r="858" spans="1:7" x14ac:dyDescent="0.25">
      <c r="A858" s="17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</row>
    <row r="859" spans="1:7" x14ac:dyDescent="0.25">
      <c r="A859" s="17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</row>
    <row r="860" spans="1:7" x14ac:dyDescent="0.25">
      <c r="A860" s="17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</row>
    <row r="861" spans="1:7" x14ac:dyDescent="0.25">
      <c r="A861" s="17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</row>
    <row r="862" spans="1:7" x14ac:dyDescent="0.25">
      <c r="A862" s="17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</row>
    <row r="863" spans="1:7" x14ac:dyDescent="0.25">
      <c r="A863" s="17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</row>
    <row r="864" spans="1:7" x14ac:dyDescent="0.25">
      <c r="A864" s="17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">
        <v>11</v>
      </c>
    </row>
    <row r="865" spans="1:7" x14ac:dyDescent="0.25">
      <c r="A865" s="17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">
        <v>57</v>
      </c>
    </row>
    <row r="866" spans="1:7" x14ac:dyDescent="0.25">
      <c r="A866" s="17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</row>
    <row r="867" spans="1:7" x14ac:dyDescent="0.25">
      <c r="A867" s="17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</row>
    <row r="868" spans="1:7" x14ac:dyDescent="0.25">
      <c r="A868" s="17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</row>
    <row r="869" spans="1:7" x14ac:dyDescent="0.25">
      <c r="A869" s="17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</row>
    <row r="870" spans="1:7" x14ac:dyDescent="0.25">
      <c r="A870" s="17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</row>
    <row r="871" spans="1:7" x14ac:dyDescent="0.25">
      <c r="A871" s="17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</row>
    <row r="872" spans="1:7" x14ac:dyDescent="0.25">
      <c r="A872" s="17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</row>
    <row r="873" spans="1:7" x14ac:dyDescent="0.25">
      <c r="A873" s="17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</row>
    <row r="874" spans="1:7" x14ac:dyDescent="0.25">
      <c r="A874" s="17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</row>
    <row r="875" spans="1:7" x14ac:dyDescent="0.25">
      <c r="A875" s="17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</row>
    <row r="876" spans="1:7" x14ac:dyDescent="0.25">
      <c r="A876" s="17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</row>
    <row r="877" spans="1:7" x14ac:dyDescent="0.25">
      <c r="A877" s="17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</row>
    <row r="878" spans="1:7" x14ac:dyDescent="0.25">
      <c r="A878" s="17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</row>
    <row r="879" spans="1:7" x14ac:dyDescent="0.25">
      <c r="A879" s="17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</row>
    <row r="880" spans="1:7" x14ac:dyDescent="0.25">
      <c r="A880" s="17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</row>
    <row r="881" spans="1:7" x14ac:dyDescent="0.25">
      <c r="A881" s="17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</row>
    <row r="882" spans="1:7" x14ac:dyDescent="0.25">
      <c r="A882" s="17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</row>
    <row r="883" spans="1:7" x14ac:dyDescent="0.25">
      <c r="A883" s="17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5" t="s">
        <v>11</v>
      </c>
    </row>
    <row r="884" spans="1:7" x14ac:dyDescent="0.25">
      <c r="A884" s="17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</row>
    <row r="885" spans="1:7" x14ac:dyDescent="0.25">
      <c r="A885" s="17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</row>
    <row r="886" spans="1:7" x14ac:dyDescent="0.25">
      <c r="A886" s="17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</row>
    <row r="887" spans="1:7" x14ac:dyDescent="0.25">
      <c r="A887" s="17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</row>
    <row r="888" spans="1:7" x14ac:dyDescent="0.25">
      <c r="A888" s="17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</row>
    <row r="889" spans="1:7" x14ac:dyDescent="0.25">
      <c r="A889" s="17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</row>
    <row r="890" spans="1:7" x14ac:dyDescent="0.25">
      <c r="A890" s="17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">
        <v>11</v>
      </c>
    </row>
    <row r="891" spans="1:7" x14ac:dyDescent="0.25">
      <c r="A891" s="17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</row>
    <row r="892" spans="1:7" x14ac:dyDescent="0.25">
      <c r="A892" s="17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</row>
    <row r="893" spans="1:7" x14ac:dyDescent="0.25">
      <c r="A893" s="17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</row>
    <row r="894" spans="1:7" x14ac:dyDescent="0.25">
      <c r="A894" s="17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</row>
    <row r="895" spans="1:7" x14ac:dyDescent="0.25">
      <c r="A895" s="17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</row>
    <row r="896" spans="1:7" x14ac:dyDescent="0.25">
      <c r="A896" s="17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</row>
    <row r="897" spans="1:7" x14ac:dyDescent="0.25">
      <c r="A897" s="17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</row>
    <row r="898" spans="1:7" x14ac:dyDescent="0.25">
      <c r="A898" s="17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</row>
    <row r="899" spans="1:7" x14ac:dyDescent="0.25">
      <c r="A899" s="17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</row>
    <row r="900" spans="1:7" x14ac:dyDescent="0.25">
      <c r="A900" s="17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</row>
    <row r="901" spans="1:7" x14ac:dyDescent="0.25">
      <c r="A901" s="17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</row>
    <row r="902" spans="1:7" x14ac:dyDescent="0.25">
      <c r="A902" s="17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</row>
    <row r="903" spans="1:7" x14ac:dyDescent="0.25">
      <c r="A903" s="17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</row>
    <row r="904" spans="1:7" x14ac:dyDescent="0.25">
      <c r="A904" s="17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</row>
    <row r="905" spans="1:7" x14ac:dyDescent="0.25">
      <c r="A905" s="17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</row>
    <row r="906" spans="1:7" x14ac:dyDescent="0.25">
      <c r="A906" s="17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</row>
    <row r="907" spans="1:7" x14ac:dyDescent="0.25">
      <c r="A907" s="17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</row>
    <row r="908" spans="1:7" x14ac:dyDescent="0.25">
      <c r="A908" s="17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</row>
    <row r="909" spans="1:7" x14ac:dyDescent="0.25">
      <c r="A909" s="17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</row>
    <row r="910" spans="1:7" x14ac:dyDescent="0.25">
      <c r="A910" s="17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</row>
    <row r="911" spans="1:7" x14ac:dyDescent="0.25">
      <c r="A911" s="17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</row>
    <row r="912" spans="1:7" x14ac:dyDescent="0.25">
      <c r="A912" s="17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</row>
    <row r="913" spans="1:7" x14ac:dyDescent="0.25">
      <c r="A913" s="17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</row>
    <row r="914" spans="1:7" x14ac:dyDescent="0.25">
      <c r="A914" s="17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</row>
    <row r="915" spans="1:7" x14ac:dyDescent="0.25">
      <c r="A915" s="17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</row>
    <row r="916" spans="1:7" x14ac:dyDescent="0.25">
      <c r="A916" s="17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</row>
    <row r="917" spans="1:7" x14ac:dyDescent="0.25">
      <c r="A917" s="17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</row>
    <row r="918" spans="1:7" x14ac:dyDescent="0.25">
      <c r="A918" s="17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</row>
    <row r="919" spans="1:7" x14ac:dyDescent="0.25">
      <c r="A919" s="17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</row>
    <row r="920" spans="1:7" x14ac:dyDescent="0.25">
      <c r="A920" s="17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</row>
    <row r="921" spans="1:7" x14ac:dyDescent="0.25">
      <c r="A921" s="17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</row>
    <row r="922" spans="1:7" x14ac:dyDescent="0.25">
      <c r="A922" s="17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</row>
    <row r="923" spans="1:7" x14ac:dyDescent="0.25">
      <c r="A923" s="17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</row>
    <row r="924" spans="1:7" x14ac:dyDescent="0.25">
      <c r="A924" s="17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</row>
    <row r="925" spans="1:7" x14ac:dyDescent="0.25">
      <c r="A925" s="17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</row>
    <row r="926" spans="1:7" x14ac:dyDescent="0.25">
      <c r="A926" s="17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</row>
    <row r="927" spans="1:7" x14ac:dyDescent="0.25">
      <c r="A927" s="17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</row>
    <row r="928" spans="1:7" x14ac:dyDescent="0.25">
      <c r="A928" s="17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</row>
    <row r="929" spans="1:7" x14ac:dyDescent="0.25">
      <c r="A929" s="17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</row>
    <row r="930" spans="1:7" x14ac:dyDescent="0.25">
      <c r="A930" s="17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</row>
    <row r="931" spans="1:7" x14ac:dyDescent="0.25">
      <c r="A931" s="17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</row>
    <row r="932" spans="1:7" x14ac:dyDescent="0.25">
      <c r="A932" s="17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</row>
    <row r="933" spans="1:7" x14ac:dyDescent="0.25">
      <c r="A933" s="17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</row>
    <row r="934" spans="1:7" x14ac:dyDescent="0.25">
      <c r="A934" s="17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</row>
    <row r="935" spans="1:7" x14ac:dyDescent="0.25">
      <c r="A935" s="17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</row>
    <row r="936" spans="1:7" x14ac:dyDescent="0.25">
      <c r="A936" s="17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</row>
    <row r="937" spans="1:7" x14ac:dyDescent="0.25">
      <c r="A937" s="17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</row>
    <row r="938" spans="1:7" x14ac:dyDescent="0.25">
      <c r="A938" s="17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</row>
    <row r="939" spans="1:7" x14ac:dyDescent="0.25">
      <c r="A939" s="17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</row>
    <row r="940" spans="1:7" x14ac:dyDescent="0.25">
      <c r="A940" s="17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</row>
    <row r="941" spans="1:7" x14ac:dyDescent="0.25">
      <c r="A941" s="17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</row>
    <row r="942" spans="1:7" x14ac:dyDescent="0.25">
      <c r="A942" s="17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</row>
    <row r="943" spans="1:7" x14ac:dyDescent="0.25">
      <c r="A943" s="17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</row>
    <row r="944" spans="1:7" x14ac:dyDescent="0.25">
      <c r="A944" s="17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</row>
    <row r="945" spans="1:7" x14ac:dyDescent="0.25">
      <c r="A945" s="17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</row>
    <row r="946" spans="1:7" x14ac:dyDescent="0.25">
      <c r="A946" s="17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</row>
    <row r="947" spans="1:7" x14ac:dyDescent="0.25">
      <c r="A947" s="17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</row>
    <row r="948" spans="1:7" x14ac:dyDescent="0.25">
      <c r="A948" s="17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</row>
    <row r="949" spans="1:7" x14ac:dyDescent="0.25">
      <c r="A949" s="17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</row>
    <row r="950" spans="1:7" x14ac:dyDescent="0.25">
      <c r="A950" s="17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</row>
    <row r="951" spans="1:7" x14ac:dyDescent="0.25">
      <c r="A951" s="17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</row>
    <row r="952" spans="1:7" x14ac:dyDescent="0.25">
      <c r="A952" s="17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</row>
    <row r="953" spans="1:7" x14ac:dyDescent="0.25">
      <c r="A953" s="17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</row>
    <row r="954" spans="1:7" x14ac:dyDescent="0.25">
      <c r="A954" s="17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</row>
    <row r="955" spans="1:7" x14ac:dyDescent="0.25">
      <c r="A955" s="17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</row>
    <row r="956" spans="1:7" x14ac:dyDescent="0.25">
      <c r="A956" s="17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</row>
    <row r="957" spans="1:7" x14ac:dyDescent="0.25">
      <c r="A957" s="17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</row>
    <row r="958" spans="1:7" x14ac:dyDescent="0.25">
      <c r="A958" s="17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</row>
    <row r="959" spans="1:7" x14ac:dyDescent="0.25">
      <c r="A959" s="17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</row>
    <row r="960" spans="1:7" x14ac:dyDescent="0.25">
      <c r="A960" s="17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</row>
    <row r="961" spans="1:7" x14ac:dyDescent="0.25">
      <c r="A961" s="17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</row>
    <row r="962" spans="1:7" x14ac:dyDescent="0.25">
      <c r="A962" s="17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">
        <v>11</v>
      </c>
    </row>
    <row r="963" spans="1:7" x14ac:dyDescent="0.25">
      <c r="A963" s="17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</row>
    <row r="964" spans="1:7" x14ac:dyDescent="0.25">
      <c r="A964" s="17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</row>
    <row r="965" spans="1:7" x14ac:dyDescent="0.25">
      <c r="A965" s="17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">
        <v>11</v>
      </c>
    </row>
    <row r="966" spans="1:7" x14ac:dyDescent="0.25">
      <c r="A966" s="17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</row>
    <row r="967" spans="1:7" x14ac:dyDescent="0.25">
      <c r="A967" s="17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</row>
    <row r="968" spans="1:7" x14ac:dyDescent="0.25">
      <c r="A968" s="17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</row>
    <row r="969" spans="1:7" x14ac:dyDescent="0.25">
      <c r="A969" s="17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</row>
    <row r="970" spans="1:7" x14ac:dyDescent="0.25">
      <c r="A970" s="17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</row>
    <row r="971" spans="1:7" x14ac:dyDescent="0.25">
      <c r="A971" s="17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</row>
    <row r="972" spans="1:7" x14ac:dyDescent="0.25">
      <c r="A972" s="17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</row>
    <row r="973" spans="1:7" x14ac:dyDescent="0.25">
      <c r="A973" s="17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</row>
    <row r="974" spans="1:7" x14ac:dyDescent="0.25">
      <c r="A974" s="17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</row>
    <row r="975" spans="1:7" x14ac:dyDescent="0.25">
      <c r="A975" s="17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</row>
    <row r="976" spans="1:7" x14ac:dyDescent="0.25">
      <c r="A976" s="17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</row>
    <row r="977" spans="1:7" x14ac:dyDescent="0.25">
      <c r="A977" s="17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</row>
    <row r="978" spans="1:7" x14ac:dyDescent="0.25">
      <c r="A978" s="17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</row>
    <row r="979" spans="1:7" x14ac:dyDescent="0.25">
      <c r="A979" s="17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</row>
    <row r="980" spans="1:7" x14ac:dyDescent="0.25">
      <c r="A980" s="17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</row>
    <row r="981" spans="1:7" x14ac:dyDescent="0.25">
      <c r="A981" s="17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</row>
    <row r="982" spans="1:7" x14ac:dyDescent="0.25">
      <c r="A982" s="17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</row>
    <row r="983" spans="1:7" x14ac:dyDescent="0.25">
      <c r="A983" s="17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</row>
    <row r="984" spans="1:7" x14ac:dyDescent="0.25">
      <c r="A984" s="17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</row>
    <row r="985" spans="1:7" x14ac:dyDescent="0.25">
      <c r="A985" s="17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</row>
    <row r="986" spans="1:7" x14ac:dyDescent="0.25">
      <c r="A986" s="17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</row>
    <row r="987" spans="1:7" x14ac:dyDescent="0.25">
      <c r="A987" s="17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</row>
    <row r="988" spans="1:7" x14ac:dyDescent="0.25">
      <c r="A988" s="17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</row>
    <row r="989" spans="1:7" x14ac:dyDescent="0.25">
      <c r="A989" s="17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</row>
    <row r="990" spans="1:7" x14ac:dyDescent="0.25">
      <c r="A990" s="17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">
        <v>57</v>
      </c>
    </row>
    <row r="991" spans="1:7" x14ac:dyDescent="0.25">
      <c r="A991" s="17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</row>
    <row r="992" spans="1:7" x14ac:dyDescent="0.25">
      <c r="A992" s="17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</row>
    <row r="993" spans="1:7" x14ac:dyDescent="0.25">
      <c r="A993" s="17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</row>
    <row r="994" spans="1:7" x14ac:dyDescent="0.25">
      <c r="A994" s="17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">
        <v>11</v>
      </c>
    </row>
    <row r="995" spans="1:7" x14ac:dyDescent="0.25">
      <c r="A995" s="17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</row>
    <row r="996" spans="1:7" x14ac:dyDescent="0.25">
      <c r="A996" s="17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</row>
    <row r="997" spans="1:7" x14ac:dyDescent="0.25">
      <c r="A997" s="17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</row>
    <row r="998" spans="1:7" x14ac:dyDescent="0.25">
      <c r="A998" s="17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</row>
    <row r="999" spans="1:7" x14ac:dyDescent="0.25">
      <c r="A999" s="17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</row>
    <row r="1000" spans="1:7" x14ac:dyDescent="0.25">
      <c r="A1000" s="17"/>
      <c r="B1000" s="4" t="s">
        <v>888</v>
      </c>
      <c r="C1000" s="4" t="s">
        <v>14</v>
      </c>
      <c r="D1000" s="4" t="s">
        <v>15</v>
      </c>
      <c r="E1000" s="4" t="s">
        <v>263</v>
      </c>
      <c r="F1000" s="4" t="s">
        <v>14</v>
      </c>
      <c r="G1000" s="5" t="s">
        <v>263</v>
      </c>
    </row>
    <row r="1001" spans="1:7" x14ac:dyDescent="0.25">
      <c r="A1001" s="17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</row>
    <row r="1002" spans="1:7" x14ac:dyDescent="0.25">
      <c r="A1002" s="17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</row>
    <row r="1003" spans="1:7" x14ac:dyDescent="0.25">
      <c r="A1003" s="17"/>
      <c r="B1003" s="4" t="s">
        <v>891</v>
      </c>
      <c r="C1003" s="4" t="s">
        <v>14</v>
      </c>
      <c r="D1003" s="4" t="s">
        <v>15</v>
      </c>
      <c r="E1003" s="4" t="s">
        <v>16</v>
      </c>
      <c r="F1003" s="4" t="s">
        <v>14</v>
      </c>
      <c r="G1003" s="5" t="s">
        <v>16</v>
      </c>
    </row>
    <row r="1004" spans="1:7" x14ac:dyDescent="0.25">
      <c r="A1004" s="17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</row>
    <row r="1005" spans="1:7" x14ac:dyDescent="0.25">
      <c r="A1005" s="17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</row>
    <row r="1006" spans="1:7" x14ac:dyDescent="0.25">
      <c r="A1006" s="17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</row>
    <row r="1007" spans="1:7" x14ac:dyDescent="0.25">
      <c r="A1007" s="17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</row>
    <row r="1008" spans="1:7" x14ac:dyDescent="0.25">
      <c r="A1008" s="17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</row>
    <row r="1009" spans="1:7" x14ac:dyDescent="0.25">
      <c r="A1009" s="17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</row>
    <row r="1010" spans="1:7" x14ac:dyDescent="0.25">
      <c r="A1010" s="17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</row>
    <row r="1011" spans="1:7" x14ac:dyDescent="0.25">
      <c r="A1011" s="17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</row>
    <row r="1012" spans="1:7" x14ac:dyDescent="0.25">
      <c r="A1012" s="17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</row>
    <row r="1013" spans="1:7" x14ac:dyDescent="0.25">
      <c r="A1013" s="17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</row>
    <row r="1014" spans="1:7" x14ac:dyDescent="0.25">
      <c r="A1014" s="17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</row>
    <row r="1015" spans="1:7" x14ac:dyDescent="0.25">
      <c r="A1015" s="17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</row>
    <row r="1016" spans="1:7" x14ac:dyDescent="0.25">
      <c r="A1016" s="17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</row>
    <row r="1017" spans="1:7" x14ac:dyDescent="0.25">
      <c r="A1017" s="17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</row>
    <row r="1018" spans="1:7" x14ac:dyDescent="0.25">
      <c r="A1018" s="17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</row>
    <row r="1019" spans="1:7" x14ac:dyDescent="0.25">
      <c r="A1019" s="17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</row>
    <row r="1020" spans="1:7" x14ac:dyDescent="0.25">
      <c r="A1020" s="17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</row>
    <row r="1021" spans="1:7" x14ac:dyDescent="0.25">
      <c r="A1021" s="17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</row>
    <row r="1022" spans="1:7" x14ac:dyDescent="0.25">
      <c r="A1022" s="17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</row>
    <row r="1023" spans="1:7" x14ac:dyDescent="0.25">
      <c r="A1023" s="17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</row>
    <row r="1024" spans="1:7" x14ac:dyDescent="0.25">
      <c r="A1024" s="17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</row>
    <row r="1025" spans="1:7" x14ac:dyDescent="0.25">
      <c r="A1025" s="17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</row>
    <row r="1026" spans="1:7" x14ac:dyDescent="0.25">
      <c r="A1026" s="17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</row>
    <row r="1027" spans="1:7" x14ac:dyDescent="0.25">
      <c r="A1027" s="17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</row>
    <row r="1028" spans="1:7" x14ac:dyDescent="0.25">
      <c r="A1028" s="17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</row>
    <row r="1029" spans="1:7" x14ac:dyDescent="0.25">
      <c r="A1029" s="17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20</v>
      </c>
    </row>
    <row r="1030" spans="1:7" x14ac:dyDescent="0.25">
      <c r="A1030" s="17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</row>
    <row r="1031" spans="1:7" x14ac:dyDescent="0.25">
      <c r="A1031" s="17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</row>
    <row r="1032" spans="1:7" x14ac:dyDescent="0.25">
      <c r="A1032" s="17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</row>
    <row r="1033" spans="1:7" x14ac:dyDescent="0.25">
      <c r="A1033" s="17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</row>
    <row r="1034" spans="1:7" x14ac:dyDescent="0.25">
      <c r="A1034" s="17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</row>
    <row r="1035" spans="1:7" x14ac:dyDescent="0.25">
      <c r="A1035" s="17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</row>
    <row r="1036" spans="1:7" x14ac:dyDescent="0.25">
      <c r="A1036" s="17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</row>
    <row r="1037" spans="1:7" x14ac:dyDescent="0.25">
      <c r="A1037" s="17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</row>
    <row r="1038" spans="1:7" x14ac:dyDescent="0.25">
      <c r="A1038" s="17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</row>
    <row r="1039" spans="1:7" x14ac:dyDescent="0.25">
      <c r="A1039" s="17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</row>
    <row r="1040" spans="1:7" x14ac:dyDescent="0.25">
      <c r="A1040" s="17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</row>
    <row r="1041" spans="1:7" x14ac:dyDescent="0.25">
      <c r="A1041" s="17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</row>
    <row r="1042" spans="1:7" x14ac:dyDescent="0.25">
      <c r="A1042" s="17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</row>
    <row r="1043" spans="1:7" x14ac:dyDescent="0.25">
      <c r="A1043" s="17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</row>
    <row r="1044" spans="1:7" x14ac:dyDescent="0.25">
      <c r="A1044" s="17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</row>
    <row r="1045" spans="1:7" x14ac:dyDescent="0.25">
      <c r="A1045" s="17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</row>
    <row r="1046" spans="1:7" x14ac:dyDescent="0.25">
      <c r="A1046" s="17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</row>
    <row r="1047" spans="1:7" x14ac:dyDescent="0.25">
      <c r="A1047" s="17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</row>
    <row r="1048" spans="1:7" x14ac:dyDescent="0.25">
      <c r="A1048" s="17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</row>
    <row r="1049" spans="1:7" x14ac:dyDescent="0.25">
      <c r="A1049" s="17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</row>
    <row r="1050" spans="1:7" x14ac:dyDescent="0.25">
      <c r="A1050" s="17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</row>
    <row r="1051" spans="1:7" x14ac:dyDescent="0.25">
      <c r="A1051" s="17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</row>
    <row r="1052" spans="1:7" x14ac:dyDescent="0.25">
      <c r="A1052" s="17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</row>
    <row r="1053" spans="1:7" x14ac:dyDescent="0.25">
      <c r="A1053" s="17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</row>
    <row r="1054" spans="1:7" x14ac:dyDescent="0.25">
      <c r="A1054" s="17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</row>
    <row r="1055" spans="1:7" x14ac:dyDescent="0.25">
      <c r="A1055" s="17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</row>
    <row r="1056" spans="1:7" x14ac:dyDescent="0.25">
      <c r="A1056" s="17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</row>
    <row r="1057" spans="1:7" x14ac:dyDescent="0.25">
      <c r="A1057" s="17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</row>
    <row r="1058" spans="1:7" x14ac:dyDescent="0.25">
      <c r="A1058" s="17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</row>
    <row r="1059" spans="1:7" x14ac:dyDescent="0.25">
      <c r="A1059" s="17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</row>
    <row r="1060" spans="1:7" x14ac:dyDescent="0.25">
      <c r="A1060" s="17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</row>
    <row r="1061" spans="1:7" x14ac:dyDescent="0.25">
      <c r="A1061" s="17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</row>
    <row r="1062" spans="1:7" x14ac:dyDescent="0.25">
      <c r="A1062" s="17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</row>
    <row r="1063" spans="1:7" x14ac:dyDescent="0.25">
      <c r="A1063" s="17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</row>
    <row r="1064" spans="1:7" x14ac:dyDescent="0.25">
      <c r="A1064" s="17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</row>
    <row r="1065" spans="1:7" x14ac:dyDescent="0.25">
      <c r="A1065" s="17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</row>
    <row r="1066" spans="1:7" x14ac:dyDescent="0.25">
      <c r="A1066" s="17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</row>
    <row r="1067" spans="1:7" x14ac:dyDescent="0.25">
      <c r="A1067" s="17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</row>
    <row r="1068" spans="1:7" x14ac:dyDescent="0.25">
      <c r="A1068" s="17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</row>
    <row r="1069" spans="1:7" x14ac:dyDescent="0.25">
      <c r="A1069" s="17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</row>
    <row r="1070" spans="1:7" x14ac:dyDescent="0.25">
      <c r="A1070" s="17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</row>
    <row r="1071" spans="1:7" x14ac:dyDescent="0.25">
      <c r="A1071" s="17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</row>
    <row r="1072" spans="1:7" x14ac:dyDescent="0.25">
      <c r="A1072" s="17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</row>
    <row r="1073" spans="1:7" x14ac:dyDescent="0.25">
      <c r="A1073" s="17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</row>
    <row r="1074" spans="1:7" x14ac:dyDescent="0.25">
      <c r="A1074" s="17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</row>
    <row r="1075" spans="1:7" x14ac:dyDescent="0.25">
      <c r="A1075" s="17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</row>
    <row r="1076" spans="1:7" x14ac:dyDescent="0.25">
      <c r="A1076" s="17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</row>
    <row r="1077" spans="1:7" x14ac:dyDescent="0.25">
      <c r="A1077" s="17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</row>
    <row r="1078" spans="1:7" x14ac:dyDescent="0.25">
      <c r="A1078" s="17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</row>
    <row r="1079" spans="1:7" x14ac:dyDescent="0.25">
      <c r="A1079" s="17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</row>
    <row r="1080" spans="1:7" x14ac:dyDescent="0.25">
      <c r="A1080" s="17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</row>
    <row r="1081" spans="1:7" x14ac:dyDescent="0.25">
      <c r="A1081" s="17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</row>
    <row r="1082" spans="1:7" x14ac:dyDescent="0.25">
      <c r="A1082" s="17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</row>
    <row r="1083" spans="1:7" x14ac:dyDescent="0.25">
      <c r="A1083" s="17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11</v>
      </c>
    </row>
    <row r="1084" spans="1:7" x14ac:dyDescent="0.25">
      <c r="A1084" s="17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</row>
    <row r="1085" spans="1:7" x14ac:dyDescent="0.25">
      <c r="A1085" s="17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</row>
    <row r="1086" spans="1:7" x14ac:dyDescent="0.25">
      <c r="A1086" s="17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</row>
    <row r="1087" spans="1:7" x14ac:dyDescent="0.25">
      <c r="A1087" s="17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</row>
    <row r="1088" spans="1:7" x14ac:dyDescent="0.25">
      <c r="A1088" s="17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</row>
    <row r="1089" spans="1:7" x14ac:dyDescent="0.25">
      <c r="A1089" s="17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</row>
    <row r="1090" spans="1:7" x14ac:dyDescent="0.25">
      <c r="A1090" s="17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</row>
    <row r="1091" spans="1:7" x14ac:dyDescent="0.25">
      <c r="A1091" s="17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</row>
    <row r="1092" spans="1:7" x14ac:dyDescent="0.25">
      <c r="A1092" s="17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</row>
    <row r="1093" spans="1:7" x14ac:dyDescent="0.25">
      <c r="A1093" s="17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</row>
    <row r="1094" spans="1:7" x14ac:dyDescent="0.25">
      <c r="A1094" s="17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</row>
    <row r="1095" spans="1:7" x14ac:dyDescent="0.25">
      <c r="A1095" s="17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20</v>
      </c>
    </row>
    <row r="1096" spans="1:7" x14ac:dyDescent="0.25">
      <c r="A1096" s="17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</row>
    <row r="1097" spans="1:7" x14ac:dyDescent="0.25">
      <c r="A1097" s="17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</row>
    <row r="1098" spans="1:7" x14ac:dyDescent="0.25">
      <c r="A1098" s="17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</row>
    <row r="1099" spans="1:7" x14ac:dyDescent="0.25">
      <c r="A1099" s="17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</row>
    <row r="1100" spans="1:7" x14ac:dyDescent="0.25">
      <c r="A1100" s="17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</row>
    <row r="1101" spans="1:7" x14ac:dyDescent="0.25">
      <c r="A1101" s="17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</row>
    <row r="1102" spans="1:7" x14ac:dyDescent="0.25">
      <c r="A1102" s="17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</row>
    <row r="1103" spans="1:7" x14ac:dyDescent="0.25">
      <c r="A1103" s="17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</row>
    <row r="1104" spans="1:7" x14ac:dyDescent="0.25">
      <c r="A1104" s="17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</row>
    <row r="1105" spans="1:7" x14ac:dyDescent="0.25">
      <c r="A1105" s="17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</row>
    <row r="1106" spans="1:7" x14ac:dyDescent="0.25">
      <c r="A1106" s="17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</row>
    <row r="1107" spans="1:7" x14ac:dyDescent="0.25">
      <c r="A1107" s="17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</row>
    <row r="1108" spans="1:7" x14ac:dyDescent="0.25">
      <c r="A1108" s="17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</row>
    <row r="1109" spans="1:7" x14ac:dyDescent="0.25">
      <c r="A1109" s="17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</row>
    <row r="1110" spans="1:7" x14ac:dyDescent="0.25">
      <c r="A1110" s="17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</row>
    <row r="1111" spans="1:7" x14ac:dyDescent="0.25">
      <c r="A1111" s="17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</row>
    <row r="1112" spans="1:7" x14ac:dyDescent="0.25">
      <c r="A1112" s="17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</row>
    <row r="1113" spans="1:7" x14ac:dyDescent="0.25">
      <c r="A1113" s="17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</row>
    <row r="1114" spans="1:7" x14ac:dyDescent="0.25">
      <c r="A1114" s="17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</row>
    <row r="1115" spans="1:7" x14ac:dyDescent="0.25">
      <c r="A1115" s="17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</row>
    <row r="1116" spans="1:7" x14ac:dyDescent="0.25">
      <c r="A1116" s="17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</row>
    <row r="1117" spans="1:7" x14ac:dyDescent="0.25">
      <c r="A1117" s="17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</row>
    <row r="1118" spans="1:7" x14ac:dyDescent="0.25">
      <c r="A1118" s="17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</row>
    <row r="1119" spans="1:7" x14ac:dyDescent="0.25">
      <c r="A1119" s="17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</row>
    <row r="1120" spans="1:7" x14ac:dyDescent="0.25">
      <c r="A1120" s="17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</row>
    <row r="1121" spans="1:7" x14ac:dyDescent="0.25">
      <c r="A1121" s="17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</row>
    <row r="1122" spans="1:7" x14ac:dyDescent="0.25">
      <c r="A1122" s="17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</row>
    <row r="1123" spans="1:7" x14ac:dyDescent="0.25">
      <c r="A1123" s="17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</row>
    <row r="1124" spans="1:7" x14ac:dyDescent="0.25">
      <c r="A1124" s="17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</row>
    <row r="1125" spans="1:7" x14ac:dyDescent="0.25">
      <c r="A1125" s="17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</row>
    <row r="1126" spans="1:7" x14ac:dyDescent="0.25">
      <c r="A1126" s="17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">
        <v>20</v>
      </c>
    </row>
    <row r="1127" spans="1:7" x14ac:dyDescent="0.25">
      <c r="A1127" s="17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</row>
    <row r="1128" spans="1:7" x14ac:dyDescent="0.25">
      <c r="A1128" s="17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</row>
    <row r="1129" spans="1:7" x14ac:dyDescent="0.25">
      <c r="A1129" s="17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</row>
    <row r="1130" spans="1:7" x14ac:dyDescent="0.25">
      <c r="A1130" s="17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</row>
    <row r="1131" spans="1:7" x14ac:dyDescent="0.25">
      <c r="A1131" s="17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</row>
    <row r="1132" spans="1:7" x14ac:dyDescent="0.25">
      <c r="A1132" s="17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</row>
    <row r="1133" spans="1:7" x14ac:dyDescent="0.25">
      <c r="A1133" s="17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</row>
    <row r="1134" spans="1:7" x14ac:dyDescent="0.25">
      <c r="A1134" s="17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</row>
    <row r="1135" spans="1:7" x14ac:dyDescent="0.25">
      <c r="A1135" s="17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</row>
    <row r="1136" spans="1:7" x14ac:dyDescent="0.25">
      <c r="A1136" s="17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</row>
    <row r="1137" spans="1:7" x14ac:dyDescent="0.25">
      <c r="A1137" s="17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</row>
    <row r="1138" spans="1:7" x14ac:dyDescent="0.25">
      <c r="A1138" s="17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</row>
    <row r="1139" spans="1:7" x14ac:dyDescent="0.25">
      <c r="A1139" s="17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</row>
    <row r="1140" spans="1:7" x14ac:dyDescent="0.25">
      <c r="A1140" s="17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</row>
    <row r="1141" spans="1:7" x14ac:dyDescent="0.25">
      <c r="A1141" s="17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</row>
    <row r="1142" spans="1:7" x14ac:dyDescent="0.25">
      <c r="A1142" s="17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</row>
    <row r="1143" spans="1:7" x14ac:dyDescent="0.25">
      <c r="A1143" s="17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</row>
    <row r="1144" spans="1:7" x14ac:dyDescent="0.25">
      <c r="A1144" s="17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</row>
    <row r="1145" spans="1:7" x14ac:dyDescent="0.25">
      <c r="A1145" s="17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</row>
    <row r="1146" spans="1:7" x14ac:dyDescent="0.25">
      <c r="A1146" s="17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</row>
    <row r="1147" spans="1:7" x14ac:dyDescent="0.25">
      <c r="A1147" s="17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</row>
    <row r="1148" spans="1:7" x14ac:dyDescent="0.25">
      <c r="A1148" s="17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</row>
    <row r="1149" spans="1:7" x14ac:dyDescent="0.25">
      <c r="A1149" s="17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</row>
    <row r="1150" spans="1:7" x14ac:dyDescent="0.25">
      <c r="A1150" s="17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</row>
    <row r="1151" spans="1:7" x14ac:dyDescent="0.25">
      <c r="A1151" s="17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</row>
    <row r="1152" spans="1:7" x14ac:dyDescent="0.25">
      <c r="A1152" s="17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</row>
    <row r="1153" spans="1:7" x14ac:dyDescent="0.25">
      <c r="A1153" s="17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</row>
    <row r="1154" spans="1:7" x14ac:dyDescent="0.25">
      <c r="A1154" s="17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</row>
    <row r="1155" spans="1:7" x14ac:dyDescent="0.25">
      <c r="A1155" s="17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</row>
    <row r="1156" spans="1:7" x14ac:dyDescent="0.25">
      <c r="A1156" s="17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</row>
    <row r="1157" spans="1:7" x14ac:dyDescent="0.25">
      <c r="A1157" s="17"/>
      <c r="B1157" s="4" t="s">
        <v>1049</v>
      </c>
      <c r="C1157" s="4" t="s">
        <v>14</v>
      </c>
      <c r="D1157" s="4" t="s">
        <v>15</v>
      </c>
      <c r="E1157" s="4" t="s">
        <v>16</v>
      </c>
      <c r="F1157" s="4" t="s">
        <v>14</v>
      </c>
      <c r="G1157" s="5" t="s">
        <v>16</v>
      </c>
    </row>
    <row r="1158" spans="1:7" x14ac:dyDescent="0.25">
      <c r="A1158" s="17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</row>
    <row r="1159" spans="1:7" x14ac:dyDescent="0.25">
      <c r="A1159" s="17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</row>
    <row r="1160" spans="1:7" x14ac:dyDescent="0.25">
      <c r="A1160" s="17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</row>
    <row r="1161" spans="1:7" x14ac:dyDescent="0.25">
      <c r="A1161" s="17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</row>
    <row r="1162" spans="1:7" x14ac:dyDescent="0.25">
      <c r="A1162" s="17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</row>
    <row r="1163" spans="1:7" x14ac:dyDescent="0.25">
      <c r="A1163" s="17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</row>
    <row r="1164" spans="1:7" x14ac:dyDescent="0.25">
      <c r="A1164" s="17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</row>
    <row r="1165" spans="1:7" x14ac:dyDescent="0.25">
      <c r="A1165" s="17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</row>
    <row r="1166" spans="1:7" x14ac:dyDescent="0.25">
      <c r="A1166" s="17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</row>
    <row r="1167" spans="1:7" x14ac:dyDescent="0.25">
      <c r="A1167" s="17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</row>
    <row r="1168" spans="1:7" x14ac:dyDescent="0.25">
      <c r="A1168" s="17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</row>
    <row r="1169" spans="1:7" x14ac:dyDescent="0.25">
      <c r="A1169" s="17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</row>
    <row r="1170" spans="1:7" x14ac:dyDescent="0.25">
      <c r="A1170" s="17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</row>
    <row r="1171" spans="1:7" x14ac:dyDescent="0.25">
      <c r="A1171" s="17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</row>
    <row r="1172" spans="1:7" x14ac:dyDescent="0.25">
      <c r="A1172" s="17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</row>
    <row r="1173" spans="1:7" x14ac:dyDescent="0.25">
      <c r="A1173" s="17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</row>
    <row r="1174" spans="1:7" x14ac:dyDescent="0.25">
      <c r="A1174" s="17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</row>
    <row r="1175" spans="1:7" x14ac:dyDescent="0.25">
      <c r="A1175" s="17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</row>
    <row r="1176" spans="1:7" x14ac:dyDescent="0.25">
      <c r="A1176" s="17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</row>
    <row r="1177" spans="1:7" x14ac:dyDescent="0.25">
      <c r="A1177" s="17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</row>
    <row r="1178" spans="1:7" x14ac:dyDescent="0.25">
      <c r="A1178" s="17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</row>
    <row r="1179" spans="1:7" x14ac:dyDescent="0.25">
      <c r="A1179" s="17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</row>
    <row r="1180" spans="1:7" x14ac:dyDescent="0.25">
      <c r="A1180" s="17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</row>
    <row r="1181" spans="1:7" x14ac:dyDescent="0.25">
      <c r="A1181" s="17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</row>
    <row r="1182" spans="1:7" x14ac:dyDescent="0.25">
      <c r="A1182" s="17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</row>
    <row r="1183" spans="1:7" x14ac:dyDescent="0.25">
      <c r="A1183" s="17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</row>
    <row r="1184" spans="1:7" x14ac:dyDescent="0.25">
      <c r="A1184" s="17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</row>
    <row r="1185" spans="1:7" x14ac:dyDescent="0.25">
      <c r="A1185" s="17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</row>
    <row r="1186" spans="1:7" x14ac:dyDescent="0.25">
      <c r="A1186" s="17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</row>
    <row r="1187" spans="1:7" x14ac:dyDescent="0.25">
      <c r="A1187" s="17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</row>
    <row r="1188" spans="1:7" x14ac:dyDescent="0.25">
      <c r="A1188" s="17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</row>
    <row r="1189" spans="1:7" x14ac:dyDescent="0.25">
      <c r="A1189" s="17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</row>
    <row r="1190" spans="1:7" x14ac:dyDescent="0.25">
      <c r="A1190" s="17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</row>
    <row r="1191" spans="1:7" x14ac:dyDescent="0.25">
      <c r="A1191" s="17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</row>
    <row r="1192" spans="1:7" x14ac:dyDescent="0.25">
      <c r="A1192" s="17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</row>
    <row r="1193" spans="1:7" x14ac:dyDescent="0.25">
      <c r="A1193" s="17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</row>
    <row r="1194" spans="1:7" x14ac:dyDescent="0.25">
      <c r="A1194" s="17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</row>
    <row r="1195" spans="1:7" x14ac:dyDescent="0.25">
      <c r="A1195" s="17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</row>
    <row r="1196" spans="1:7" x14ac:dyDescent="0.25">
      <c r="A1196" s="17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</row>
    <row r="1197" spans="1:7" x14ac:dyDescent="0.25">
      <c r="A1197" s="17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</row>
    <row r="1198" spans="1:7" x14ac:dyDescent="0.25">
      <c r="A1198" s="17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</row>
    <row r="1199" spans="1:7" x14ac:dyDescent="0.25">
      <c r="A1199" s="17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</row>
    <row r="1200" spans="1:7" x14ac:dyDescent="0.25">
      <c r="A1200" s="17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</row>
    <row r="1201" spans="1:7" x14ac:dyDescent="0.25">
      <c r="A1201" s="17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</row>
    <row r="1202" spans="1:7" x14ac:dyDescent="0.25">
      <c r="A1202" s="17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</row>
    <row r="1203" spans="1:7" x14ac:dyDescent="0.25">
      <c r="A1203" s="17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</row>
    <row r="1204" spans="1:7" x14ac:dyDescent="0.25">
      <c r="A1204" s="17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</row>
    <row r="1205" spans="1:7" x14ac:dyDescent="0.25">
      <c r="A1205" s="17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</row>
    <row r="1206" spans="1:7" x14ac:dyDescent="0.25">
      <c r="A1206" s="17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</row>
    <row r="1207" spans="1:7" x14ac:dyDescent="0.25">
      <c r="A1207" s="17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</row>
    <row r="1208" spans="1:7" x14ac:dyDescent="0.25">
      <c r="A1208" s="17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">
        <v>11</v>
      </c>
    </row>
    <row r="1209" spans="1:7" x14ac:dyDescent="0.25">
      <c r="A1209" s="17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</row>
    <row r="1210" spans="1:7" x14ac:dyDescent="0.25">
      <c r="A1210" s="17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</row>
    <row r="1211" spans="1:7" x14ac:dyDescent="0.25">
      <c r="A1211" s="17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</row>
    <row r="1212" spans="1:7" x14ac:dyDescent="0.25">
      <c r="A1212" s="17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</row>
    <row r="1213" spans="1:7" x14ac:dyDescent="0.25">
      <c r="A1213" s="17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</row>
    <row r="1214" spans="1:7" x14ac:dyDescent="0.25">
      <c r="A1214" s="17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</row>
    <row r="1215" spans="1:7" x14ac:dyDescent="0.25">
      <c r="A1215" s="17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</row>
    <row r="1216" spans="1:7" x14ac:dyDescent="0.25">
      <c r="A1216" s="17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</row>
    <row r="1217" spans="1:7" x14ac:dyDescent="0.25">
      <c r="A1217" s="17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</row>
    <row r="1218" spans="1:7" x14ac:dyDescent="0.25">
      <c r="A1218" s="17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</row>
    <row r="1219" spans="1:7" x14ac:dyDescent="0.25">
      <c r="A1219" s="17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</row>
    <row r="1220" spans="1:7" x14ac:dyDescent="0.25">
      <c r="A1220" s="17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</row>
    <row r="1221" spans="1:7" x14ac:dyDescent="0.25">
      <c r="A1221" s="17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</row>
    <row r="1222" spans="1:7" x14ac:dyDescent="0.25">
      <c r="A1222" s="17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</row>
    <row r="1223" spans="1:7" x14ac:dyDescent="0.25">
      <c r="A1223" s="17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</row>
    <row r="1224" spans="1:7" x14ac:dyDescent="0.25">
      <c r="A1224" s="17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</row>
    <row r="1225" spans="1:7" x14ac:dyDescent="0.25">
      <c r="A1225" s="17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</row>
    <row r="1226" spans="1:7" x14ac:dyDescent="0.25">
      <c r="A1226" s="17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</row>
    <row r="1227" spans="1:7" x14ac:dyDescent="0.25">
      <c r="A1227" s="17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</row>
    <row r="1228" spans="1:7" x14ac:dyDescent="0.25">
      <c r="A1228" s="17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</row>
    <row r="1229" spans="1:7" x14ac:dyDescent="0.25">
      <c r="A1229" s="17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</row>
    <row r="1230" spans="1:7" x14ac:dyDescent="0.25">
      <c r="A1230" s="17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</row>
    <row r="1231" spans="1:7" x14ac:dyDescent="0.25">
      <c r="A1231" s="17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</row>
    <row r="1232" spans="1:7" x14ac:dyDescent="0.25">
      <c r="A1232" s="17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</row>
    <row r="1233" spans="1:7" x14ac:dyDescent="0.25">
      <c r="A1233" s="17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</row>
    <row r="1234" spans="1:7" x14ac:dyDescent="0.25">
      <c r="A1234" s="17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</row>
    <row r="1235" spans="1:7" x14ac:dyDescent="0.25">
      <c r="A1235" s="17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</row>
    <row r="1236" spans="1:7" x14ac:dyDescent="0.25">
      <c r="A1236" s="17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</row>
    <row r="1237" spans="1:7" x14ac:dyDescent="0.25">
      <c r="A1237" s="17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</row>
    <row r="1238" spans="1:7" x14ac:dyDescent="0.25">
      <c r="A1238" s="17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</row>
    <row r="1239" spans="1:7" x14ac:dyDescent="0.25">
      <c r="A1239" s="17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</row>
    <row r="1240" spans="1:7" x14ac:dyDescent="0.25">
      <c r="A1240" s="17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</row>
    <row r="1241" spans="1:7" x14ac:dyDescent="0.25">
      <c r="A1241" s="17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</row>
    <row r="1242" spans="1:7" x14ac:dyDescent="0.25">
      <c r="A1242" s="17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</row>
    <row r="1243" spans="1:7" x14ac:dyDescent="0.25">
      <c r="A1243" s="17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</row>
    <row r="1244" spans="1:7" x14ac:dyDescent="0.25">
      <c r="A1244" s="17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</row>
    <row r="1245" spans="1:7" x14ac:dyDescent="0.25">
      <c r="A1245" s="17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</row>
    <row r="1246" spans="1:7" x14ac:dyDescent="0.25">
      <c r="A1246" s="17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</row>
    <row r="1247" spans="1:7" x14ac:dyDescent="0.25">
      <c r="A1247" s="17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</row>
    <row r="1248" spans="1:7" x14ac:dyDescent="0.25">
      <c r="A1248" s="17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</row>
    <row r="1249" spans="1:7" x14ac:dyDescent="0.25">
      <c r="A1249" s="17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</row>
    <row r="1250" spans="1:7" x14ac:dyDescent="0.25">
      <c r="A1250" s="17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</row>
    <row r="1251" spans="1:7" x14ac:dyDescent="0.25">
      <c r="A1251" s="17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</row>
    <row r="1252" spans="1:7" x14ac:dyDescent="0.25">
      <c r="A1252" s="17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</row>
    <row r="1253" spans="1:7" x14ac:dyDescent="0.25">
      <c r="A1253" s="17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</row>
    <row r="1254" spans="1:7" x14ac:dyDescent="0.25">
      <c r="A1254" s="17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</row>
    <row r="1255" spans="1:7" x14ac:dyDescent="0.25">
      <c r="A1255" s="17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</row>
    <row r="1256" spans="1:7" x14ac:dyDescent="0.25">
      <c r="A1256" s="17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</row>
    <row r="1257" spans="1:7" x14ac:dyDescent="0.25">
      <c r="A1257" s="17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</row>
    <row r="1258" spans="1:7" x14ac:dyDescent="0.25">
      <c r="A1258" s="17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</row>
    <row r="1259" spans="1:7" x14ac:dyDescent="0.25">
      <c r="A1259" s="17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</row>
    <row r="1260" spans="1:7" x14ac:dyDescent="0.25">
      <c r="A1260" s="17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</row>
    <row r="1261" spans="1:7" x14ac:dyDescent="0.25">
      <c r="A1261" s="17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</row>
    <row r="1262" spans="1:7" x14ac:dyDescent="0.25">
      <c r="A1262" s="17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</row>
    <row r="1263" spans="1:7" x14ac:dyDescent="0.25">
      <c r="A1263" s="17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</row>
    <row r="1264" spans="1:7" x14ac:dyDescent="0.25">
      <c r="A1264" s="17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</row>
    <row r="1265" spans="1:7" x14ac:dyDescent="0.25">
      <c r="A1265" s="17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</row>
    <row r="1266" spans="1:7" x14ac:dyDescent="0.25">
      <c r="A1266" s="17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</row>
    <row r="1267" spans="1:7" x14ac:dyDescent="0.25">
      <c r="A1267" s="17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</row>
    <row r="1268" spans="1:7" x14ac:dyDescent="0.25">
      <c r="A1268" s="17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</row>
    <row r="1269" spans="1:7" x14ac:dyDescent="0.25">
      <c r="A1269" s="17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</row>
    <row r="1270" spans="1:7" x14ac:dyDescent="0.25">
      <c r="A1270" s="17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</row>
    <row r="1271" spans="1:7" x14ac:dyDescent="0.25">
      <c r="A1271" s="17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</row>
    <row r="1272" spans="1:7" x14ac:dyDescent="0.25">
      <c r="A1272" s="17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</row>
    <row r="1273" spans="1:7" x14ac:dyDescent="0.25">
      <c r="A1273" s="17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</row>
    <row r="1274" spans="1:7" x14ac:dyDescent="0.25">
      <c r="A1274" s="17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</row>
    <row r="1275" spans="1:7" x14ac:dyDescent="0.25">
      <c r="A1275" s="17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</row>
    <row r="1276" spans="1:7" x14ac:dyDescent="0.25">
      <c r="A1276" s="17"/>
      <c r="B1276" s="4" t="s">
        <v>1170</v>
      </c>
      <c r="C1276" s="4" t="s">
        <v>14</v>
      </c>
      <c r="D1276" s="4" t="s">
        <v>15</v>
      </c>
      <c r="E1276" s="4" t="s">
        <v>16</v>
      </c>
      <c r="F1276" s="4" t="s">
        <v>14</v>
      </c>
      <c r="G1276" s="5" t="s">
        <v>16</v>
      </c>
    </row>
    <row r="1277" spans="1:7" x14ac:dyDescent="0.25">
      <c r="A1277" s="17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</row>
    <row r="1278" spans="1:7" x14ac:dyDescent="0.25">
      <c r="A1278" s="17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</row>
    <row r="1279" spans="1:7" x14ac:dyDescent="0.25">
      <c r="A1279" s="17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</row>
    <row r="1280" spans="1:7" x14ac:dyDescent="0.25">
      <c r="A1280" s="17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</row>
    <row r="1281" spans="1:7" x14ac:dyDescent="0.25">
      <c r="A1281" s="17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</row>
    <row r="1282" spans="1:7" x14ac:dyDescent="0.25">
      <c r="A1282" s="17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</row>
    <row r="1283" spans="1:7" x14ac:dyDescent="0.25">
      <c r="A1283" s="17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</row>
    <row r="1284" spans="1:7" x14ac:dyDescent="0.25">
      <c r="A1284" s="17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</row>
    <row r="1285" spans="1:7" x14ac:dyDescent="0.25">
      <c r="A1285" s="17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</row>
    <row r="1286" spans="1:7" x14ac:dyDescent="0.25">
      <c r="A1286" s="17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</row>
    <row r="1287" spans="1:7" x14ac:dyDescent="0.25">
      <c r="A1287" s="17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</row>
    <row r="1288" spans="1:7" x14ac:dyDescent="0.25">
      <c r="A1288" s="17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</row>
    <row r="1289" spans="1:7" x14ac:dyDescent="0.25">
      <c r="A1289" s="17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</row>
    <row r="1290" spans="1:7" x14ac:dyDescent="0.25">
      <c r="A1290" s="17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</row>
    <row r="1291" spans="1:7" x14ac:dyDescent="0.25">
      <c r="A1291" s="17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</row>
    <row r="1292" spans="1:7" x14ac:dyDescent="0.25">
      <c r="A1292" s="17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</row>
    <row r="1293" spans="1:7" x14ac:dyDescent="0.25">
      <c r="A1293" s="17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</row>
    <row r="1294" spans="1:7" x14ac:dyDescent="0.25">
      <c r="A1294" s="17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</row>
    <row r="1295" spans="1:7" x14ac:dyDescent="0.25">
      <c r="A1295" s="17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">
        <v>11</v>
      </c>
    </row>
    <row r="1296" spans="1:7" x14ac:dyDescent="0.25">
      <c r="A1296" s="17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</row>
    <row r="1297" spans="1:7" x14ac:dyDescent="0.25">
      <c r="A1297" s="17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</row>
    <row r="1298" spans="1:7" x14ac:dyDescent="0.25">
      <c r="A1298" s="17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</row>
    <row r="1299" spans="1:7" x14ac:dyDescent="0.25">
      <c r="A1299" s="17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</row>
    <row r="1300" spans="1:7" x14ac:dyDescent="0.25">
      <c r="A1300" s="17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</row>
    <row r="1301" spans="1:7" x14ac:dyDescent="0.25">
      <c r="A1301" s="17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</row>
    <row r="1302" spans="1:7" x14ac:dyDescent="0.25">
      <c r="A1302" s="17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</row>
    <row r="1303" spans="1:7" x14ac:dyDescent="0.25">
      <c r="A1303" s="17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</row>
    <row r="1304" spans="1:7" x14ac:dyDescent="0.25">
      <c r="A1304" s="17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</row>
    <row r="1305" spans="1:7" x14ac:dyDescent="0.25">
      <c r="A1305" s="17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</row>
    <row r="1306" spans="1:7" x14ac:dyDescent="0.25">
      <c r="A1306" s="17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</row>
    <row r="1307" spans="1:7" x14ac:dyDescent="0.25">
      <c r="A1307" s="17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</row>
    <row r="1308" spans="1:7" x14ac:dyDescent="0.25">
      <c r="A1308" s="17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</row>
    <row r="1309" spans="1:7" x14ac:dyDescent="0.25">
      <c r="A1309" s="17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16</v>
      </c>
    </row>
    <row r="1310" spans="1:7" x14ac:dyDescent="0.25">
      <c r="A1310" s="17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</row>
    <row r="1311" spans="1:7" x14ac:dyDescent="0.25">
      <c r="A1311" s="17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</row>
    <row r="1312" spans="1:7" x14ac:dyDescent="0.25">
      <c r="A1312" s="17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</row>
    <row r="1313" spans="1:7" x14ac:dyDescent="0.25">
      <c r="A1313" s="17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</row>
    <row r="1314" spans="1:7" x14ac:dyDescent="0.25">
      <c r="A1314" s="17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</row>
    <row r="1315" spans="1:7" x14ac:dyDescent="0.25">
      <c r="A1315" s="17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</row>
    <row r="1316" spans="1:7" x14ac:dyDescent="0.25">
      <c r="A1316" s="17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</row>
    <row r="1317" spans="1:7" x14ac:dyDescent="0.25">
      <c r="A1317" s="17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</row>
    <row r="1318" spans="1:7" x14ac:dyDescent="0.25">
      <c r="A1318" s="17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</row>
    <row r="1319" spans="1:7" x14ac:dyDescent="0.25">
      <c r="A1319" s="17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</row>
    <row r="1320" spans="1:7" x14ac:dyDescent="0.25">
      <c r="A1320" s="17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</row>
    <row r="1321" spans="1:7" x14ac:dyDescent="0.25">
      <c r="A1321" s="17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</row>
    <row r="1322" spans="1:7" x14ac:dyDescent="0.25">
      <c r="A1322" s="17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</row>
    <row r="1323" spans="1:7" x14ac:dyDescent="0.25">
      <c r="A1323" s="17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</row>
    <row r="1324" spans="1:7" x14ac:dyDescent="0.25">
      <c r="A1324" s="17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</row>
    <row r="1325" spans="1:7" x14ac:dyDescent="0.25">
      <c r="A1325" s="17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</row>
    <row r="1326" spans="1:7" x14ac:dyDescent="0.25">
      <c r="A1326" s="17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</row>
    <row r="1327" spans="1:7" x14ac:dyDescent="0.25">
      <c r="A1327" s="17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</row>
    <row r="1328" spans="1:7" x14ac:dyDescent="0.25">
      <c r="A1328" s="17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</row>
    <row r="1329" spans="1:7" x14ac:dyDescent="0.25">
      <c r="A1329" s="17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</row>
    <row r="1330" spans="1:7" x14ac:dyDescent="0.25">
      <c r="A1330" s="17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</row>
    <row r="1331" spans="1:7" x14ac:dyDescent="0.25">
      <c r="A1331" s="17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</row>
    <row r="1332" spans="1:7" x14ac:dyDescent="0.25">
      <c r="A1332" s="17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</row>
    <row r="1333" spans="1:7" x14ac:dyDescent="0.25">
      <c r="A1333" s="17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</row>
    <row r="1334" spans="1:7" x14ac:dyDescent="0.25">
      <c r="A1334" s="17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</row>
    <row r="1335" spans="1:7" x14ac:dyDescent="0.25">
      <c r="A1335" s="17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</row>
    <row r="1336" spans="1:7" x14ac:dyDescent="0.25">
      <c r="A1336" s="17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</row>
    <row r="1337" spans="1:7" x14ac:dyDescent="0.25">
      <c r="A1337" s="17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</row>
    <row r="1338" spans="1:7" x14ac:dyDescent="0.25">
      <c r="A1338" s="17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</row>
    <row r="1339" spans="1:7" x14ac:dyDescent="0.25">
      <c r="A1339" s="17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</row>
    <row r="1340" spans="1:7" x14ac:dyDescent="0.25">
      <c r="A1340" s="17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</row>
    <row r="1341" spans="1:7" x14ac:dyDescent="0.25">
      <c r="A1341" s="17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</row>
    <row r="1342" spans="1:7" x14ac:dyDescent="0.25">
      <c r="A1342" s="17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</row>
    <row r="1343" spans="1:7" x14ac:dyDescent="0.25">
      <c r="A1343" s="17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</row>
    <row r="1344" spans="1:7" x14ac:dyDescent="0.25">
      <c r="A1344" s="17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</row>
    <row r="1345" spans="1:7" x14ac:dyDescent="0.25">
      <c r="A1345" s="17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</row>
    <row r="1346" spans="1:7" x14ac:dyDescent="0.25">
      <c r="A1346" s="17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</row>
    <row r="1347" spans="1:7" x14ac:dyDescent="0.25">
      <c r="A1347" s="17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</row>
    <row r="1348" spans="1:7" x14ac:dyDescent="0.25">
      <c r="A1348" s="17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</row>
    <row r="1349" spans="1:7" x14ac:dyDescent="0.25">
      <c r="A1349" s="17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</row>
    <row r="1350" spans="1:7" x14ac:dyDescent="0.25">
      <c r="A1350" s="17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</row>
    <row r="1351" spans="1:7" x14ac:dyDescent="0.25">
      <c r="A1351" s="17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</row>
    <row r="1352" spans="1:7" x14ac:dyDescent="0.25">
      <c r="A1352" s="17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</row>
    <row r="1353" spans="1:7" x14ac:dyDescent="0.25">
      <c r="A1353" s="17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</row>
    <row r="1354" spans="1:7" x14ac:dyDescent="0.25">
      <c r="A1354" s="17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</row>
    <row r="1355" spans="1:7" x14ac:dyDescent="0.25">
      <c r="A1355" s="17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</row>
    <row r="1356" spans="1:7" x14ac:dyDescent="0.25">
      <c r="A1356" s="17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</row>
    <row r="1357" spans="1:7" x14ac:dyDescent="0.25">
      <c r="A1357" s="17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</row>
    <row r="1358" spans="1:7" x14ac:dyDescent="0.25">
      <c r="A1358" s="17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</row>
    <row r="1359" spans="1:7" x14ac:dyDescent="0.25">
      <c r="A1359" s="17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</row>
    <row r="1360" spans="1:7" x14ac:dyDescent="0.25">
      <c r="A1360" s="17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</row>
    <row r="1361" spans="1:7" x14ac:dyDescent="0.25">
      <c r="A1361" s="17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</row>
    <row r="1362" spans="1:7" x14ac:dyDescent="0.25">
      <c r="A1362" s="17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</row>
    <row r="1363" spans="1:7" x14ac:dyDescent="0.25">
      <c r="A1363" s="17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</row>
    <row r="1364" spans="1:7" x14ac:dyDescent="0.25">
      <c r="A1364" s="17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</row>
    <row r="1365" spans="1:7" x14ac:dyDescent="0.25">
      <c r="A1365" s="17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</row>
    <row r="1366" spans="1:7" x14ac:dyDescent="0.25">
      <c r="A1366" s="17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</row>
    <row r="1367" spans="1:7" x14ac:dyDescent="0.25">
      <c r="A1367" s="17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</row>
    <row r="1368" spans="1:7" x14ac:dyDescent="0.25">
      <c r="A1368" s="17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</row>
    <row r="1369" spans="1:7" x14ac:dyDescent="0.25">
      <c r="A1369" s="17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</row>
    <row r="1370" spans="1:7" x14ac:dyDescent="0.25">
      <c r="A1370" s="17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</row>
    <row r="1371" spans="1:7" x14ac:dyDescent="0.25">
      <c r="A1371" s="17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</row>
    <row r="1372" spans="1:7" x14ac:dyDescent="0.25">
      <c r="A1372" s="17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</row>
    <row r="1373" spans="1:7" x14ac:dyDescent="0.25">
      <c r="A1373" s="17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</row>
    <row r="1374" spans="1:7" x14ac:dyDescent="0.25">
      <c r="A1374" s="17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</row>
    <row r="1375" spans="1:7" x14ac:dyDescent="0.25">
      <c r="A1375" s="17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</row>
    <row r="1376" spans="1:7" x14ac:dyDescent="0.25">
      <c r="A1376" s="17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</row>
    <row r="1377" spans="1:7" x14ac:dyDescent="0.25">
      <c r="A1377" s="17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</row>
    <row r="1378" spans="1:7" x14ac:dyDescent="0.25">
      <c r="A1378" s="17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</row>
    <row r="1379" spans="1:7" x14ac:dyDescent="0.25">
      <c r="A1379" s="17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</row>
    <row r="1380" spans="1:7" x14ac:dyDescent="0.25">
      <c r="A1380" s="17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</row>
    <row r="1381" spans="1:7" x14ac:dyDescent="0.25">
      <c r="A1381" s="17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</row>
    <row r="1382" spans="1:7" x14ac:dyDescent="0.25">
      <c r="A1382" s="17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</row>
    <row r="1383" spans="1:7" x14ac:dyDescent="0.25">
      <c r="A1383" s="17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</row>
    <row r="1384" spans="1:7" x14ac:dyDescent="0.25">
      <c r="A1384" s="17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</row>
    <row r="1385" spans="1:7" x14ac:dyDescent="0.25">
      <c r="A1385" s="17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</row>
    <row r="1386" spans="1:7" x14ac:dyDescent="0.25">
      <c r="A1386" s="17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</row>
    <row r="1387" spans="1:7" x14ac:dyDescent="0.25">
      <c r="A1387" s="17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</row>
    <row r="1388" spans="1:7" x14ac:dyDescent="0.25">
      <c r="A1388" s="17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</row>
    <row r="1389" spans="1:7" x14ac:dyDescent="0.25">
      <c r="A1389" s="17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</row>
    <row r="1390" spans="1:7" x14ac:dyDescent="0.25">
      <c r="A1390" s="17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</row>
    <row r="1391" spans="1:7" x14ac:dyDescent="0.25">
      <c r="A1391" s="17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</row>
    <row r="1392" spans="1:7" x14ac:dyDescent="0.25">
      <c r="A1392" s="17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</row>
    <row r="1393" spans="1:7" x14ac:dyDescent="0.25">
      <c r="A1393" s="17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</row>
    <row r="1394" spans="1:7" x14ac:dyDescent="0.25">
      <c r="A1394" s="17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</row>
    <row r="1395" spans="1:7" x14ac:dyDescent="0.25">
      <c r="A1395" s="17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</row>
    <row r="1396" spans="1:7" x14ac:dyDescent="0.25">
      <c r="A1396" s="17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</row>
    <row r="1397" spans="1:7" x14ac:dyDescent="0.25">
      <c r="A1397" s="17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</row>
    <row r="1398" spans="1:7" x14ac:dyDescent="0.25">
      <c r="A1398" s="17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</row>
    <row r="1399" spans="1:7" x14ac:dyDescent="0.25">
      <c r="A1399" s="17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</row>
    <row r="1400" spans="1:7" x14ac:dyDescent="0.25">
      <c r="A1400" s="17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</row>
    <row r="1401" spans="1:7" x14ac:dyDescent="0.25">
      <c r="A1401" s="17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">
        <v>11</v>
      </c>
    </row>
    <row r="1402" spans="1:7" x14ac:dyDescent="0.25">
      <c r="A1402" s="17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</row>
    <row r="1403" spans="1:7" x14ac:dyDescent="0.25">
      <c r="A1403" s="17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</row>
    <row r="1404" spans="1:7" x14ac:dyDescent="0.25">
      <c r="A1404" s="17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</row>
    <row r="1405" spans="1:7" x14ac:dyDescent="0.25">
      <c r="A1405" s="17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</row>
    <row r="1406" spans="1:7" x14ac:dyDescent="0.25">
      <c r="A1406" s="17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</row>
    <row r="1407" spans="1:7" x14ac:dyDescent="0.25">
      <c r="A1407" s="17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</row>
    <row r="1408" spans="1:7" x14ac:dyDescent="0.25">
      <c r="A1408" s="17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</row>
    <row r="1409" spans="1:7" x14ac:dyDescent="0.25">
      <c r="A1409" s="17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</row>
    <row r="1410" spans="1:7" x14ac:dyDescent="0.25">
      <c r="A1410" s="17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</row>
    <row r="1411" spans="1:7" x14ac:dyDescent="0.25">
      <c r="A1411" s="17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</row>
    <row r="1412" spans="1:7" x14ac:dyDescent="0.25">
      <c r="A1412" s="17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</row>
    <row r="1413" spans="1:7" x14ac:dyDescent="0.25">
      <c r="A1413" s="17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</row>
    <row r="1414" spans="1:7" x14ac:dyDescent="0.25">
      <c r="A1414" s="17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</row>
    <row r="1415" spans="1:7" x14ac:dyDescent="0.25">
      <c r="A1415" s="17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</row>
    <row r="1416" spans="1:7" x14ac:dyDescent="0.25">
      <c r="A1416" s="17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</row>
    <row r="1417" spans="1:7" x14ac:dyDescent="0.25">
      <c r="A1417" s="17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</row>
    <row r="1418" spans="1:7" x14ac:dyDescent="0.25">
      <c r="A1418" s="17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</row>
    <row r="1419" spans="1:7" x14ac:dyDescent="0.25">
      <c r="A1419" s="17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</row>
    <row r="1420" spans="1:7" x14ac:dyDescent="0.25">
      <c r="A1420" s="17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</row>
    <row r="1421" spans="1:7" x14ac:dyDescent="0.25">
      <c r="A1421" s="17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</row>
    <row r="1422" spans="1:7" x14ac:dyDescent="0.25">
      <c r="A1422" s="17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</row>
    <row r="1423" spans="1:7" x14ac:dyDescent="0.25">
      <c r="A1423" s="17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</row>
    <row r="1424" spans="1:7" x14ac:dyDescent="0.25">
      <c r="A1424" s="17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</row>
    <row r="1425" spans="1:7" x14ac:dyDescent="0.25">
      <c r="A1425" s="17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</row>
    <row r="1426" spans="1:7" x14ac:dyDescent="0.25">
      <c r="A1426" s="17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</row>
    <row r="1427" spans="1:7" x14ac:dyDescent="0.25">
      <c r="A1427" s="17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</row>
    <row r="1428" spans="1:7" x14ac:dyDescent="0.25">
      <c r="A1428" s="17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</row>
    <row r="1429" spans="1:7" x14ac:dyDescent="0.25">
      <c r="A1429" s="17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</row>
    <row r="1430" spans="1:7" x14ac:dyDescent="0.25">
      <c r="A1430" s="17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</row>
    <row r="1431" spans="1:7" x14ac:dyDescent="0.25">
      <c r="A1431" s="17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</row>
    <row r="1432" spans="1:7" x14ac:dyDescent="0.25">
      <c r="A1432" s="17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</row>
    <row r="1433" spans="1:7" x14ac:dyDescent="0.25">
      <c r="A1433" s="17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">
        <v>20</v>
      </c>
    </row>
    <row r="1434" spans="1:7" x14ac:dyDescent="0.25">
      <c r="A1434" s="17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</row>
    <row r="1435" spans="1:7" x14ac:dyDescent="0.25">
      <c r="A1435" s="17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</row>
    <row r="1436" spans="1:7" x14ac:dyDescent="0.25">
      <c r="A1436" s="17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</row>
    <row r="1437" spans="1:7" x14ac:dyDescent="0.25">
      <c r="A1437" s="17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</row>
    <row r="1438" spans="1:7" x14ac:dyDescent="0.25">
      <c r="A1438" s="17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</row>
    <row r="1439" spans="1:7" x14ac:dyDescent="0.25">
      <c r="A1439" s="17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</row>
    <row r="1440" spans="1:7" x14ac:dyDescent="0.25">
      <c r="A1440" s="17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</row>
    <row r="1441" spans="1:7" x14ac:dyDescent="0.25">
      <c r="A1441" s="17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</row>
    <row r="1442" spans="1:7" x14ac:dyDescent="0.25">
      <c r="A1442" s="17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</row>
    <row r="1443" spans="1:7" x14ac:dyDescent="0.25">
      <c r="A1443" s="17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</row>
    <row r="1444" spans="1:7" x14ac:dyDescent="0.25">
      <c r="A1444" s="17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</row>
    <row r="1445" spans="1:7" x14ac:dyDescent="0.25">
      <c r="A1445" s="17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</row>
    <row r="1446" spans="1:7" x14ac:dyDescent="0.25">
      <c r="A1446" s="17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</row>
    <row r="1447" spans="1:7" x14ac:dyDescent="0.25">
      <c r="A1447" s="17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11</v>
      </c>
    </row>
    <row r="1448" spans="1:7" x14ac:dyDescent="0.25">
      <c r="A1448" s="17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</row>
    <row r="1449" spans="1:7" x14ac:dyDescent="0.25">
      <c r="A1449" s="17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</row>
    <row r="1450" spans="1:7" x14ac:dyDescent="0.25">
      <c r="A1450" s="17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</row>
    <row r="1451" spans="1:7" x14ac:dyDescent="0.25">
      <c r="A1451" s="17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</row>
    <row r="1452" spans="1:7" x14ac:dyDescent="0.25">
      <c r="A1452" s="17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</row>
    <row r="1453" spans="1:7" x14ac:dyDescent="0.25">
      <c r="A1453" s="17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</row>
    <row r="1454" spans="1:7" x14ac:dyDescent="0.25">
      <c r="A1454" s="17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</row>
    <row r="1455" spans="1:7" x14ac:dyDescent="0.25">
      <c r="A1455" s="17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</row>
    <row r="1456" spans="1:7" x14ac:dyDescent="0.25">
      <c r="A1456" s="17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</row>
    <row r="1457" spans="1:7" x14ac:dyDescent="0.25">
      <c r="A1457" s="17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</row>
    <row r="1458" spans="1:7" x14ac:dyDescent="0.25">
      <c r="A1458" s="17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</row>
    <row r="1459" spans="1:7" x14ac:dyDescent="0.25">
      <c r="A1459" s="17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</row>
    <row r="1460" spans="1:7" x14ac:dyDescent="0.25">
      <c r="A1460" s="17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</row>
    <row r="1461" spans="1:7" x14ac:dyDescent="0.25">
      <c r="A1461" s="17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</row>
    <row r="1462" spans="1:7" x14ac:dyDescent="0.25">
      <c r="A1462" s="17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</row>
    <row r="1463" spans="1:7" x14ac:dyDescent="0.25">
      <c r="A1463" s="17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</row>
    <row r="1464" spans="1:7" x14ac:dyDescent="0.25">
      <c r="A1464" s="17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</row>
    <row r="1465" spans="1:7" x14ac:dyDescent="0.25">
      <c r="A1465" s="17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</row>
    <row r="1466" spans="1:7" x14ac:dyDescent="0.25">
      <c r="A1466" s="17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</row>
    <row r="1467" spans="1:7" x14ac:dyDescent="0.25">
      <c r="A1467" s="17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</row>
    <row r="1468" spans="1:7" x14ac:dyDescent="0.25">
      <c r="A1468" s="17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</row>
    <row r="1469" spans="1:7" x14ac:dyDescent="0.25">
      <c r="A1469" s="17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</row>
    <row r="1470" spans="1:7" x14ac:dyDescent="0.25">
      <c r="A1470" s="17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</row>
    <row r="1471" spans="1:7" x14ac:dyDescent="0.25">
      <c r="A1471" s="17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</row>
    <row r="1472" spans="1:7" x14ac:dyDescent="0.25">
      <c r="A1472" s="17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</row>
    <row r="1473" spans="1:7" x14ac:dyDescent="0.25">
      <c r="A1473" s="17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</row>
    <row r="1474" spans="1:7" x14ac:dyDescent="0.25">
      <c r="A1474" s="17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</row>
    <row r="1475" spans="1:7" x14ac:dyDescent="0.25">
      <c r="A1475" s="17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</row>
    <row r="1476" spans="1:7" x14ac:dyDescent="0.25">
      <c r="A1476" s="17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</row>
    <row r="1477" spans="1:7" x14ac:dyDescent="0.25">
      <c r="A1477" s="17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</row>
    <row r="1478" spans="1:7" x14ac:dyDescent="0.25">
      <c r="A1478" s="17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</row>
    <row r="1479" spans="1:7" x14ac:dyDescent="0.25">
      <c r="A1479" s="17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</row>
    <row r="1480" spans="1:7" x14ac:dyDescent="0.25">
      <c r="A1480" s="17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</row>
    <row r="1481" spans="1:7" x14ac:dyDescent="0.25">
      <c r="A1481" s="17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</row>
    <row r="1482" spans="1:7" x14ac:dyDescent="0.25">
      <c r="A1482" s="17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</row>
    <row r="1483" spans="1:7" x14ac:dyDescent="0.25">
      <c r="A1483" s="17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</row>
    <row r="1484" spans="1:7" x14ac:dyDescent="0.25">
      <c r="A1484" s="17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</row>
    <row r="1485" spans="1:7" x14ac:dyDescent="0.25">
      <c r="A1485" s="17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</row>
    <row r="1486" spans="1:7" x14ac:dyDescent="0.25">
      <c r="A1486" s="17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</row>
    <row r="1487" spans="1:7" x14ac:dyDescent="0.25">
      <c r="A1487" s="17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</row>
    <row r="1488" spans="1:7" x14ac:dyDescent="0.25">
      <c r="A1488" s="17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</row>
    <row r="1489" spans="1:7" x14ac:dyDescent="0.25">
      <c r="A1489" s="17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</row>
    <row r="1490" spans="1:7" x14ac:dyDescent="0.25">
      <c r="A1490" s="17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</row>
    <row r="1491" spans="1:7" x14ac:dyDescent="0.25">
      <c r="A1491" s="17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</row>
    <row r="1492" spans="1:7" x14ac:dyDescent="0.25">
      <c r="A1492" s="17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</row>
    <row r="1493" spans="1:7" x14ac:dyDescent="0.25">
      <c r="A1493" s="17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</row>
    <row r="1494" spans="1:7" x14ac:dyDescent="0.25">
      <c r="A1494" s="17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</row>
    <row r="1495" spans="1:7" x14ac:dyDescent="0.25">
      <c r="A1495" s="17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</row>
    <row r="1496" spans="1:7" x14ac:dyDescent="0.25">
      <c r="A1496" s="17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</row>
    <row r="1497" spans="1:7" x14ac:dyDescent="0.25">
      <c r="A1497" s="17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</row>
    <row r="1498" spans="1:7" x14ac:dyDescent="0.25">
      <c r="A1498" s="17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</row>
    <row r="1499" spans="1:7" x14ac:dyDescent="0.25">
      <c r="A1499" s="17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</row>
    <row r="1500" spans="1:7" x14ac:dyDescent="0.25">
      <c r="A1500" s="17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</row>
    <row r="1501" spans="1:7" x14ac:dyDescent="0.25">
      <c r="A1501" s="17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</row>
    <row r="1502" spans="1:7" x14ac:dyDescent="0.25">
      <c r="A1502" s="17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</row>
    <row r="1503" spans="1:7" x14ac:dyDescent="0.25">
      <c r="A1503" s="17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</row>
    <row r="1504" spans="1:7" x14ac:dyDescent="0.25">
      <c r="A1504" s="17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</row>
    <row r="1505" spans="1:7" x14ac:dyDescent="0.25">
      <c r="A1505" s="17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</row>
    <row r="1506" spans="1:7" x14ac:dyDescent="0.25">
      <c r="A1506" s="17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</row>
    <row r="1507" spans="1:7" x14ac:dyDescent="0.25">
      <c r="A1507" s="17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</row>
    <row r="1508" spans="1:7" x14ac:dyDescent="0.25">
      <c r="A1508" s="17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</row>
    <row r="1509" spans="1:7" x14ac:dyDescent="0.25">
      <c r="A1509" s="17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</row>
    <row r="1510" spans="1:7" x14ac:dyDescent="0.25">
      <c r="A1510" s="17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</row>
    <row r="1511" spans="1:7" x14ac:dyDescent="0.25">
      <c r="A1511" s="17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</row>
    <row r="1512" spans="1:7" x14ac:dyDescent="0.25">
      <c r="A1512" s="17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</row>
    <row r="1513" spans="1:7" x14ac:dyDescent="0.25">
      <c r="A1513" s="17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</row>
    <row r="1514" spans="1:7" x14ac:dyDescent="0.25">
      <c r="A1514" s="17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</row>
    <row r="1515" spans="1:7" x14ac:dyDescent="0.25">
      <c r="A1515" s="17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</row>
    <row r="1516" spans="1:7" x14ac:dyDescent="0.25">
      <c r="A1516" s="17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</row>
    <row r="1517" spans="1:7" x14ac:dyDescent="0.25">
      <c r="A1517" s="17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</row>
    <row r="1518" spans="1:7" x14ac:dyDescent="0.25">
      <c r="A1518" s="17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</row>
    <row r="1519" spans="1:7" x14ac:dyDescent="0.25">
      <c r="A1519" s="17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</row>
    <row r="1520" spans="1:7" x14ac:dyDescent="0.25">
      <c r="A1520" s="17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</row>
    <row r="1521" spans="1:7" x14ac:dyDescent="0.25">
      <c r="A1521" s="17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</row>
    <row r="1522" spans="1:7" x14ac:dyDescent="0.25">
      <c r="A1522" s="17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</row>
    <row r="1523" spans="1:7" x14ac:dyDescent="0.25">
      <c r="A1523" s="17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</row>
    <row r="1524" spans="1:7" x14ac:dyDescent="0.25">
      <c r="A1524" s="17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</row>
    <row r="1525" spans="1:7" x14ac:dyDescent="0.25">
      <c r="A1525" s="17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</row>
    <row r="1526" spans="1:7" x14ac:dyDescent="0.25">
      <c r="A1526" s="17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</row>
    <row r="1527" spans="1:7" x14ac:dyDescent="0.25">
      <c r="A1527" s="17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</row>
    <row r="1528" spans="1:7" x14ac:dyDescent="0.25">
      <c r="A1528" s="17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</row>
    <row r="1529" spans="1:7" x14ac:dyDescent="0.25">
      <c r="A1529" s="17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</row>
    <row r="1530" spans="1:7" x14ac:dyDescent="0.25">
      <c r="A1530" s="17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</row>
    <row r="1531" spans="1:7" x14ac:dyDescent="0.25">
      <c r="A1531" s="17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</row>
    <row r="1532" spans="1:7" x14ac:dyDescent="0.25">
      <c r="A1532" s="17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</row>
    <row r="1533" spans="1:7" x14ac:dyDescent="0.25">
      <c r="A1533" s="17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</row>
    <row r="1534" spans="1:7" x14ac:dyDescent="0.25">
      <c r="A1534" s="17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</row>
    <row r="1535" spans="1:7" x14ac:dyDescent="0.25">
      <c r="A1535" s="17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</row>
    <row r="1536" spans="1:7" x14ac:dyDescent="0.25">
      <c r="A1536" s="17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</row>
    <row r="1537" spans="1:7" x14ac:dyDescent="0.25">
      <c r="A1537" s="17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</row>
    <row r="1538" spans="1:7" x14ac:dyDescent="0.25">
      <c r="A1538" s="17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</row>
    <row r="1539" spans="1:7" x14ac:dyDescent="0.25">
      <c r="A1539" s="17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</row>
    <row r="1540" spans="1:7" x14ac:dyDescent="0.25">
      <c r="A1540" s="17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</row>
    <row r="1541" spans="1:7" x14ac:dyDescent="0.25">
      <c r="A1541" s="17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</row>
    <row r="1542" spans="1:7" x14ac:dyDescent="0.25">
      <c r="A1542" s="17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</row>
    <row r="1543" spans="1:7" x14ac:dyDescent="0.25">
      <c r="A1543" s="17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</row>
    <row r="1544" spans="1:7" x14ac:dyDescent="0.25">
      <c r="A1544" s="17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</row>
    <row r="1545" spans="1:7" x14ac:dyDescent="0.25">
      <c r="A1545" s="17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</row>
    <row r="1546" spans="1:7" x14ac:dyDescent="0.25">
      <c r="A1546" s="17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</row>
    <row r="1547" spans="1:7" x14ac:dyDescent="0.25">
      <c r="A1547" s="17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</row>
    <row r="1548" spans="1:7" x14ac:dyDescent="0.25">
      <c r="A1548" s="17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</row>
    <row r="1549" spans="1:7" x14ac:dyDescent="0.25">
      <c r="A1549" s="17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</row>
    <row r="1550" spans="1:7" x14ac:dyDescent="0.25">
      <c r="A1550" s="17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</row>
    <row r="1551" spans="1:7" x14ac:dyDescent="0.25">
      <c r="A1551" s="17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</row>
    <row r="1552" spans="1:7" x14ac:dyDescent="0.25">
      <c r="A1552" s="17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</row>
    <row r="1553" spans="1:7" x14ac:dyDescent="0.25">
      <c r="A1553" s="17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</row>
    <row r="1554" spans="1:7" x14ac:dyDescent="0.25">
      <c r="A1554" s="17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</row>
    <row r="1555" spans="1:7" x14ac:dyDescent="0.25">
      <c r="A1555" s="17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</row>
    <row r="1556" spans="1:7" x14ac:dyDescent="0.25">
      <c r="A1556" s="17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</row>
    <row r="1557" spans="1:7" x14ac:dyDescent="0.25">
      <c r="A1557" s="17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</row>
    <row r="1558" spans="1:7" x14ac:dyDescent="0.25">
      <c r="A1558" s="17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</row>
    <row r="1559" spans="1:7" x14ac:dyDescent="0.25">
      <c r="A1559" s="17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</row>
    <row r="1560" spans="1:7" x14ac:dyDescent="0.25">
      <c r="A1560" s="17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</row>
    <row r="1561" spans="1:7" x14ac:dyDescent="0.25">
      <c r="A1561" s="17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</row>
    <row r="1562" spans="1:7" x14ac:dyDescent="0.25">
      <c r="A1562" s="17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</row>
    <row r="1563" spans="1:7" x14ac:dyDescent="0.25">
      <c r="A1563" s="17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</row>
    <row r="1564" spans="1:7" x14ac:dyDescent="0.25">
      <c r="A1564" s="17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</row>
    <row r="1565" spans="1:7" x14ac:dyDescent="0.25">
      <c r="A1565" s="17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</row>
    <row r="1566" spans="1:7" x14ac:dyDescent="0.25">
      <c r="A1566" s="17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</row>
    <row r="1567" spans="1:7" x14ac:dyDescent="0.25">
      <c r="A1567" s="17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</row>
    <row r="1568" spans="1:7" x14ac:dyDescent="0.25">
      <c r="A1568" s="17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</row>
    <row r="1569" spans="1:7" x14ac:dyDescent="0.25">
      <c r="A1569" s="17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</row>
    <row r="1570" spans="1:7" x14ac:dyDescent="0.25">
      <c r="A1570" s="17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</row>
    <row r="1571" spans="1:7" x14ac:dyDescent="0.25">
      <c r="A1571" s="17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</row>
    <row r="1572" spans="1:7" x14ac:dyDescent="0.25">
      <c r="A1572" s="17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</row>
    <row r="1573" spans="1:7" x14ac:dyDescent="0.25">
      <c r="A1573" s="17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</row>
    <row r="1574" spans="1:7" x14ac:dyDescent="0.25">
      <c r="A1574" s="17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</row>
    <row r="1575" spans="1:7" x14ac:dyDescent="0.25">
      <c r="A1575" s="17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</row>
    <row r="1576" spans="1:7" x14ac:dyDescent="0.25">
      <c r="A1576" s="17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</row>
    <row r="1577" spans="1:7" x14ac:dyDescent="0.25">
      <c r="A1577" s="17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</row>
    <row r="1578" spans="1:7" x14ac:dyDescent="0.25">
      <c r="A1578" s="17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</row>
    <row r="1579" spans="1:7" x14ac:dyDescent="0.25">
      <c r="A1579" s="17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</row>
    <row r="1580" spans="1:7" x14ac:dyDescent="0.25">
      <c r="A1580" s="17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</row>
    <row r="1581" spans="1:7" x14ac:dyDescent="0.25">
      <c r="A1581" s="17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</row>
    <row r="1582" spans="1:7" x14ac:dyDescent="0.25">
      <c r="A1582" s="17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</row>
    <row r="1583" spans="1:7" x14ac:dyDescent="0.25">
      <c r="A1583" s="17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</row>
    <row r="1584" spans="1:7" x14ac:dyDescent="0.25">
      <c r="A1584" s="17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</row>
    <row r="1585" spans="1:7" x14ac:dyDescent="0.25">
      <c r="A1585" s="17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</row>
    <row r="1586" spans="1:7" x14ac:dyDescent="0.25">
      <c r="A1586" s="17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</row>
    <row r="1587" spans="1:7" x14ac:dyDescent="0.25">
      <c r="A1587" s="17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</row>
    <row r="1588" spans="1:7" x14ac:dyDescent="0.25">
      <c r="A1588" s="17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</row>
    <row r="1589" spans="1:7" x14ac:dyDescent="0.25">
      <c r="A1589" s="17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</row>
    <row r="1590" spans="1:7" x14ac:dyDescent="0.25">
      <c r="A1590" s="17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</row>
    <row r="1591" spans="1:7" x14ac:dyDescent="0.25">
      <c r="A1591" s="17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</row>
    <row r="1592" spans="1:7" x14ac:dyDescent="0.25">
      <c r="A1592" s="17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</row>
    <row r="1593" spans="1:7" x14ac:dyDescent="0.25">
      <c r="A1593" s="17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</row>
    <row r="1594" spans="1:7" x14ac:dyDescent="0.25">
      <c r="A1594" s="17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</row>
    <row r="1595" spans="1:7" x14ac:dyDescent="0.25">
      <c r="A1595" s="17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</row>
    <row r="1596" spans="1:7" x14ac:dyDescent="0.25">
      <c r="A1596" s="17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">
        <v>163</v>
      </c>
    </row>
    <row r="1597" spans="1:7" x14ac:dyDescent="0.25">
      <c r="A1597" s="17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</row>
    <row r="1598" spans="1:7" x14ac:dyDescent="0.25">
      <c r="A1598" s="17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</row>
    <row r="1599" spans="1:7" x14ac:dyDescent="0.25">
      <c r="A1599" s="17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</row>
    <row r="1600" spans="1:7" x14ac:dyDescent="0.25">
      <c r="A1600" s="17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</row>
    <row r="1601" spans="1:7" x14ac:dyDescent="0.25">
      <c r="A1601" s="17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</row>
    <row r="1602" spans="1:7" x14ac:dyDescent="0.25">
      <c r="A1602" s="17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</row>
    <row r="1603" spans="1:7" x14ac:dyDescent="0.25">
      <c r="A1603" s="17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</row>
    <row r="1604" spans="1:7" x14ac:dyDescent="0.25">
      <c r="A1604" s="17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</row>
    <row r="1605" spans="1:7" x14ac:dyDescent="0.25">
      <c r="A1605" s="17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</row>
    <row r="1606" spans="1:7" x14ac:dyDescent="0.25">
      <c r="A1606" s="17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</row>
    <row r="1607" spans="1:7" x14ac:dyDescent="0.25">
      <c r="A1607" s="17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</row>
    <row r="1608" spans="1:7" x14ac:dyDescent="0.25">
      <c r="A1608" s="17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</row>
    <row r="1609" spans="1:7" x14ac:dyDescent="0.25">
      <c r="A1609" s="17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</row>
    <row r="1610" spans="1:7" x14ac:dyDescent="0.25">
      <c r="A1610" s="17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</row>
    <row r="1611" spans="1:7" x14ac:dyDescent="0.25">
      <c r="A1611" s="17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</row>
    <row r="1612" spans="1:7" x14ac:dyDescent="0.25">
      <c r="A1612" s="17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</row>
    <row r="1613" spans="1:7" x14ac:dyDescent="0.25">
      <c r="A1613" s="17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</row>
    <row r="1614" spans="1:7" x14ac:dyDescent="0.25">
      <c r="A1614" s="17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</row>
    <row r="1615" spans="1:7" x14ac:dyDescent="0.25">
      <c r="A1615" s="17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</row>
    <row r="1616" spans="1:7" x14ac:dyDescent="0.25">
      <c r="A1616" s="17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</row>
    <row r="1617" spans="1:7" x14ac:dyDescent="0.25">
      <c r="A1617" s="17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</row>
    <row r="1618" spans="1:7" x14ac:dyDescent="0.25">
      <c r="A1618" s="17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</row>
    <row r="1619" spans="1:7" x14ac:dyDescent="0.25">
      <c r="A1619" s="17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</row>
    <row r="1620" spans="1:7" x14ac:dyDescent="0.25">
      <c r="A1620" s="17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</row>
    <row r="1621" spans="1:7" x14ac:dyDescent="0.25">
      <c r="A1621" s="17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</row>
    <row r="1622" spans="1:7" x14ac:dyDescent="0.25">
      <c r="A1622" s="17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</row>
    <row r="1623" spans="1:7" x14ac:dyDescent="0.25">
      <c r="A1623" s="17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</row>
    <row r="1624" spans="1:7" x14ac:dyDescent="0.25">
      <c r="A1624" s="17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</row>
    <row r="1625" spans="1:7" x14ac:dyDescent="0.25">
      <c r="A1625" s="17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</row>
    <row r="1626" spans="1:7" x14ac:dyDescent="0.25">
      <c r="A1626" s="17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</row>
    <row r="1627" spans="1:7" x14ac:dyDescent="0.25">
      <c r="A1627" s="17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</row>
    <row r="1628" spans="1:7" x14ac:dyDescent="0.25">
      <c r="A1628" s="17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16</v>
      </c>
    </row>
    <row r="1629" spans="1:7" x14ac:dyDescent="0.25">
      <c r="A1629" s="17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</row>
    <row r="1630" spans="1:7" x14ac:dyDescent="0.25">
      <c r="A1630" s="17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">
        <v>20</v>
      </c>
    </row>
    <row r="1631" spans="1:7" x14ac:dyDescent="0.25">
      <c r="A1631" s="17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</row>
    <row r="1632" spans="1:7" x14ac:dyDescent="0.25">
      <c r="A1632" s="17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</row>
    <row r="1633" spans="1:7" x14ac:dyDescent="0.25">
      <c r="A1633" s="17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</row>
    <row r="1634" spans="1:7" x14ac:dyDescent="0.25">
      <c r="A1634" s="17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</row>
    <row r="1635" spans="1:7" x14ac:dyDescent="0.25">
      <c r="A1635" s="17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</row>
    <row r="1636" spans="1:7" x14ac:dyDescent="0.25">
      <c r="A1636" s="17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</row>
    <row r="1637" spans="1:7" x14ac:dyDescent="0.25">
      <c r="A1637" s="17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</row>
    <row r="1638" spans="1:7" x14ac:dyDescent="0.25">
      <c r="A1638" s="17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</row>
    <row r="1639" spans="1:7" x14ac:dyDescent="0.25">
      <c r="A1639" s="17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</row>
    <row r="1640" spans="1:7" x14ac:dyDescent="0.25">
      <c r="A1640" s="17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</row>
    <row r="1641" spans="1:7" x14ac:dyDescent="0.25">
      <c r="A1641" s="17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</row>
    <row r="1642" spans="1:7" x14ac:dyDescent="0.25">
      <c r="A1642" s="17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</row>
    <row r="1643" spans="1:7" x14ac:dyDescent="0.25">
      <c r="A1643" s="17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</row>
    <row r="1644" spans="1:7" x14ac:dyDescent="0.25">
      <c r="A1644" s="17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</row>
    <row r="1645" spans="1:7" x14ac:dyDescent="0.25">
      <c r="A1645" s="17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</row>
    <row r="1646" spans="1:7" x14ac:dyDescent="0.25">
      <c r="A1646" s="17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</row>
    <row r="1647" spans="1:7" x14ac:dyDescent="0.25">
      <c r="A1647" s="17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</row>
    <row r="1648" spans="1:7" x14ac:dyDescent="0.25">
      <c r="A1648" s="17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</row>
    <row r="1649" spans="1:7" x14ac:dyDescent="0.25">
      <c r="A1649" s="17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</row>
    <row r="1650" spans="1:7" x14ac:dyDescent="0.25">
      <c r="A1650" s="17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</row>
    <row r="1651" spans="1:7" x14ac:dyDescent="0.25">
      <c r="A1651" s="17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</row>
    <row r="1652" spans="1:7" x14ac:dyDescent="0.25">
      <c r="A1652" s="17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</row>
    <row r="1653" spans="1:7" x14ac:dyDescent="0.25">
      <c r="A1653" s="17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</row>
    <row r="1654" spans="1:7" x14ac:dyDescent="0.25">
      <c r="A1654" s="17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</row>
    <row r="1655" spans="1:7" x14ac:dyDescent="0.25">
      <c r="A1655" s="17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</row>
    <row r="1656" spans="1:7" x14ac:dyDescent="0.25">
      <c r="A1656" s="17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</row>
    <row r="1657" spans="1:7" x14ac:dyDescent="0.25">
      <c r="A1657" s="17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</row>
    <row r="1658" spans="1:7" x14ac:dyDescent="0.25">
      <c r="A1658" s="17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</row>
    <row r="1659" spans="1:7" x14ac:dyDescent="0.25">
      <c r="A1659" s="17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</row>
    <row r="1660" spans="1:7" x14ac:dyDescent="0.25">
      <c r="A1660" s="17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</row>
    <row r="1661" spans="1:7" x14ac:dyDescent="0.25">
      <c r="A1661" s="17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</row>
    <row r="1662" spans="1:7" x14ac:dyDescent="0.25">
      <c r="A1662" s="17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</row>
    <row r="1663" spans="1:7" x14ac:dyDescent="0.25">
      <c r="A1663" s="17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</row>
    <row r="1664" spans="1:7" x14ac:dyDescent="0.25">
      <c r="A1664" s="17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</row>
    <row r="1665" spans="1:7" x14ac:dyDescent="0.25">
      <c r="A1665" s="17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</row>
    <row r="1666" spans="1:7" x14ac:dyDescent="0.25">
      <c r="A1666" s="17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</row>
    <row r="1667" spans="1:7" x14ac:dyDescent="0.25">
      <c r="A1667" s="17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</row>
    <row r="1668" spans="1:7" x14ac:dyDescent="0.25">
      <c r="A1668" s="17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</row>
    <row r="1669" spans="1:7" x14ac:dyDescent="0.25">
      <c r="A1669" s="17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</row>
    <row r="1670" spans="1:7" x14ac:dyDescent="0.25">
      <c r="A1670" s="17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</row>
    <row r="1671" spans="1:7" x14ac:dyDescent="0.25">
      <c r="A1671" s="17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</row>
    <row r="1672" spans="1:7" x14ac:dyDescent="0.25">
      <c r="A1672" s="17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</row>
    <row r="1673" spans="1:7" x14ac:dyDescent="0.25">
      <c r="A1673" s="17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</row>
    <row r="1674" spans="1:7" x14ac:dyDescent="0.25">
      <c r="A1674" s="17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</row>
    <row r="1675" spans="1:7" x14ac:dyDescent="0.25">
      <c r="A1675" s="17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</row>
    <row r="1676" spans="1:7" x14ac:dyDescent="0.25">
      <c r="A1676" s="17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</row>
    <row r="1677" spans="1:7" x14ac:dyDescent="0.25">
      <c r="A1677" s="17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</row>
    <row r="1678" spans="1:7" x14ac:dyDescent="0.25">
      <c r="A1678" s="17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</row>
    <row r="1679" spans="1:7" x14ac:dyDescent="0.25">
      <c r="A1679" s="17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</row>
    <row r="1680" spans="1:7" x14ac:dyDescent="0.25">
      <c r="A1680" s="17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</row>
    <row r="1681" spans="1:7" x14ac:dyDescent="0.25">
      <c r="A1681" s="17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</row>
    <row r="1682" spans="1:7" x14ac:dyDescent="0.25">
      <c r="A1682" s="17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</row>
    <row r="1683" spans="1:7" x14ac:dyDescent="0.25">
      <c r="A1683" s="17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</row>
    <row r="1684" spans="1:7" x14ac:dyDescent="0.25">
      <c r="A1684" s="17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</row>
    <row r="1685" spans="1:7" x14ac:dyDescent="0.25">
      <c r="A1685" s="17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</row>
    <row r="1686" spans="1:7" x14ac:dyDescent="0.25">
      <c r="A1686" s="17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</row>
    <row r="1687" spans="1:7" x14ac:dyDescent="0.25">
      <c r="A1687" s="17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</row>
    <row r="1688" spans="1:7" x14ac:dyDescent="0.25">
      <c r="A1688" s="17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</row>
    <row r="1689" spans="1:7" x14ac:dyDescent="0.25">
      <c r="A1689" s="17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</row>
    <row r="1690" spans="1:7" x14ac:dyDescent="0.25">
      <c r="A1690" s="17"/>
      <c r="B1690" s="4" t="s">
        <v>1588</v>
      </c>
      <c r="C1690" s="4" t="s">
        <v>14</v>
      </c>
      <c r="D1690" s="4" t="s">
        <v>15</v>
      </c>
      <c r="E1690" s="4" t="s">
        <v>16</v>
      </c>
      <c r="F1690" s="4" t="s">
        <v>14</v>
      </c>
      <c r="G1690" s="5" t="s">
        <v>16</v>
      </c>
    </row>
    <row r="1691" spans="1:7" x14ac:dyDescent="0.25">
      <c r="A1691" s="17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</row>
    <row r="1692" spans="1:7" x14ac:dyDescent="0.25">
      <c r="A1692" s="17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</row>
    <row r="1693" spans="1:7" x14ac:dyDescent="0.25">
      <c r="A1693" s="17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</row>
    <row r="1694" spans="1:7" x14ac:dyDescent="0.25">
      <c r="A1694" s="17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</row>
    <row r="1695" spans="1:7" x14ac:dyDescent="0.25">
      <c r="A1695" s="17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</row>
    <row r="1696" spans="1:7" x14ac:dyDescent="0.25">
      <c r="A1696" s="17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</row>
    <row r="1697" spans="1:7" x14ac:dyDescent="0.25">
      <c r="A1697" s="17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</row>
    <row r="1698" spans="1:7" x14ac:dyDescent="0.25">
      <c r="A1698" s="17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</row>
    <row r="1699" spans="1:7" x14ac:dyDescent="0.25">
      <c r="A1699" s="17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</row>
    <row r="1700" spans="1:7" x14ac:dyDescent="0.25">
      <c r="A1700" s="17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</row>
    <row r="1701" spans="1:7" x14ac:dyDescent="0.25">
      <c r="A1701" s="17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</row>
    <row r="1702" spans="1:7" x14ac:dyDescent="0.25">
      <c r="A1702" s="17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</row>
    <row r="1703" spans="1:7" x14ac:dyDescent="0.25">
      <c r="A1703" s="17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</row>
    <row r="1704" spans="1:7" x14ac:dyDescent="0.25">
      <c r="A1704" s="17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</row>
    <row r="1705" spans="1:7" x14ac:dyDescent="0.25">
      <c r="A1705" s="17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</row>
    <row r="1706" spans="1:7" x14ac:dyDescent="0.25">
      <c r="A1706" s="17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</row>
    <row r="1707" spans="1:7" x14ac:dyDescent="0.25">
      <c r="A1707" s="17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</row>
    <row r="1708" spans="1:7" x14ac:dyDescent="0.25">
      <c r="A1708" s="17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</row>
    <row r="1709" spans="1:7" x14ac:dyDescent="0.25">
      <c r="A1709" s="17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</row>
    <row r="1710" spans="1:7" x14ac:dyDescent="0.25">
      <c r="A1710" s="17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</row>
    <row r="1711" spans="1:7" x14ac:dyDescent="0.25">
      <c r="A1711" s="17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</row>
    <row r="1712" spans="1:7" x14ac:dyDescent="0.25">
      <c r="A1712" s="17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</row>
    <row r="1713" spans="1:7" x14ac:dyDescent="0.25">
      <c r="A1713" s="17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</row>
    <row r="1714" spans="1:7" x14ac:dyDescent="0.25">
      <c r="A1714" s="17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</row>
    <row r="1715" spans="1:7" x14ac:dyDescent="0.25">
      <c r="A1715" s="17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</row>
    <row r="1716" spans="1:7" x14ac:dyDescent="0.25">
      <c r="A1716" s="17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</row>
    <row r="1717" spans="1:7" x14ac:dyDescent="0.25">
      <c r="A1717" s="17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</row>
    <row r="1718" spans="1:7" x14ac:dyDescent="0.25">
      <c r="A1718" s="17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</row>
    <row r="1719" spans="1:7" x14ac:dyDescent="0.25">
      <c r="A1719" s="17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</row>
    <row r="1720" spans="1:7" x14ac:dyDescent="0.25">
      <c r="A1720" s="17"/>
      <c r="B1720" s="4" t="s">
        <v>1618</v>
      </c>
      <c r="C1720" s="4" t="s">
        <v>14</v>
      </c>
      <c r="D1720" s="4" t="s">
        <v>15</v>
      </c>
      <c r="E1720" s="4" t="s">
        <v>16</v>
      </c>
      <c r="F1720" s="4" t="s">
        <v>14</v>
      </c>
      <c r="G1720" s="5" t="s">
        <v>16</v>
      </c>
    </row>
    <row r="1721" spans="1:7" x14ac:dyDescent="0.25">
      <c r="A1721" s="17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</row>
    <row r="1722" spans="1:7" x14ac:dyDescent="0.25">
      <c r="A1722" s="17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</row>
    <row r="1723" spans="1:7" x14ac:dyDescent="0.25">
      <c r="A1723" s="17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</row>
    <row r="1724" spans="1:7" x14ac:dyDescent="0.25">
      <c r="A1724" s="17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</row>
    <row r="1725" spans="1:7" x14ac:dyDescent="0.25">
      <c r="A1725" s="17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</row>
    <row r="1726" spans="1:7" x14ac:dyDescent="0.25">
      <c r="A1726" s="17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</row>
    <row r="1727" spans="1:7" x14ac:dyDescent="0.25">
      <c r="A1727" s="17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</row>
    <row r="1728" spans="1:7" x14ac:dyDescent="0.25">
      <c r="A1728" s="17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</row>
    <row r="1729" spans="1:7" x14ac:dyDescent="0.25">
      <c r="A1729" s="17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</row>
    <row r="1730" spans="1:7" x14ac:dyDescent="0.25">
      <c r="A1730" s="17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</row>
    <row r="1731" spans="1:7" x14ac:dyDescent="0.25">
      <c r="A1731" s="17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</row>
    <row r="1732" spans="1:7" x14ac:dyDescent="0.25">
      <c r="A1732" s="17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</row>
    <row r="1733" spans="1:7" x14ac:dyDescent="0.25">
      <c r="A1733" s="17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</row>
    <row r="1734" spans="1:7" x14ac:dyDescent="0.25">
      <c r="A1734" s="17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</row>
    <row r="1735" spans="1:7" x14ac:dyDescent="0.25">
      <c r="A1735" s="17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</row>
    <row r="1736" spans="1:7" x14ac:dyDescent="0.25">
      <c r="A1736" s="17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</row>
    <row r="1737" spans="1:7" x14ac:dyDescent="0.25">
      <c r="A1737" s="17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</row>
    <row r="1738" spans="1:7" x14ac:dyDescent="0.25">
      <c r="A1738" s="17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</row>
    <row r="1739" spans="1:7" x14ac:dyDescent="0.25">
      <c r="A1739" s="17"/>
      <c r="B1739" s="4" t="s">
        <v>1637</v>
      </c>
      <c r="C1739" s="4" t="s">
        <v>18</v>
      </c>
      <c r="D1739" s="4" t="s">
        <v>19</v>
      </c>
      <c r="E1739" s="4" t="s">
        <v>20</v>
      </c>
      <c r="F1739" s="4" t="s">
        <v>21</v>
      </c>
      <c r="G1739" s="5" t="s">
        <v>20</v>
      </c>
    </row>
    <row r="1740" spans="1:7" x14ac:dyDescent="0.25">
      <c r="A1740" s="17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</row>
    <row r="1741" spans="1:7" x14ac:dyDescent="0.25">
      <c r="A1741" s="17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</row>
    <row r="1742" spans="1:7" x14ac:dyDescent="0.25">
      <c r="A1742" s="17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</row>
    <row r="1743" spans="1:7" x14ac:dyDescent="0.25">
      <c r="A1743" s="17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</row>
    <row r="1744" spans="1:7" x14ac:dyDescent="0.25">
      <c r="A1744" s="17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</row>
    <row r="1745" spans="1:7" x14ac:dyDescent="0.25">
      <c r="A1745" s="17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</row>
    <row r="1746" spans="1:7" x14ac:dyDescent="0.25">
      <c r="A1746" s="17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</row>
    <row r="1747" spans="1:7" x14ac:dyDescent="0.25">
      <c r="A1747" s="17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</row>
    <row r="1748" spans="1:7" x14ac:dyDescent="0.25">
      <c r="A1748" s="17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</row>
    <row r="1749" spans="1:7" x14ac:dyDescent="0.25">
      <c r="A1749" s="17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</row>
    <row r="1750" spans="1:7" x14ac:dyDescent="0.25">
      <c r="A1750" s="17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</row>
    <row r="1751" spans="1:7" x14ac:dyDescent="0.25">
      <c r="A1751" s="17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</row>
    <row r="1752" spans="1:7" x14ac:dyDescent="0.25">
      <c r="A1752" s="17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</row>
    <row r="1753" spans="1:7" x14ac:dyDescent="0.25">
      <c r="A1753" s="17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</row>
    <row r="1754" spans="1:7" x14ac:dyDescent="0.25">
      <c r="A1754" s="17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</row>
    <row r="1755" spans="1:7" x14ac:dyDescent="0.25">
      <c r="A1755" s="17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</row>
    <row r="1756" spans="1:7" x14ac:dyDescent="0.25">
      <c r="A1756" s="17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</row>
    <row r="1757" spans="1:7" x14ac:dyDescent="0.25">
      <c r="A1757" s="17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</row>
    <row r="1758" spans="1:7" x14ac:dyDescent="0.25">
      <c r="A1758" s="17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</row>
    <row r="1759" spans="1:7" x14ac:dyDescent="0.25">
      <c r="A1759" s="17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</row>
    <row r="1760" spans="1:7" x14ac:dyDescent="0.25">
      <c r="A1760" s="17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</row>
    <row r="1761" spans="1:7" x14ac:dyDescent="0.25">
      <c r="A1761" s="17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</row>
    <row r="1762" spans="1:7" x14ac:dyDescent="0.25">
      <c r="A1762" s="17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</row>
    <row r="1763" spans="1:7" x14ac:dyDescent="0.25">
      <c r="A1763" s="17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</row>
    <row r="1764" spans="1:7" x14ac:dyDescent="0.25">
      <c r="A1764" s="17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</row>
    <row r="1765" spans="1:7" x14ac:dyDescent="0.25">
      <c r="A1765" s="17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</row>
    <row r="1766" spans="1:7" x14ac:dyDescent="0.25">
      <c r="A1766" s="17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</row>
    <row r="1767" spans="1:7" x14ac:dyDescent="0.25">
      <c r="A1767" s="17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</row>
    <row r="1768" spans="1:7" x14ac:dyDescent="0.25">
      <c r="A1768" s="17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</row>
    <row r="1769" spans="1:7" x14ac:dyDescent="0.25">
      <c r="A1769" s="17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</row>
    <row r="1770" spans="1:7" x14ac:dyDescent="0.25">
      <c r="A1770" s="17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</row>
    <row r="1771" spans="1:7" x14ac:dyDescent="0.25">
      <c r="A1771" s="17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</row>
    <row r="1772" spans="1:7" x14ac:dyDescent="0.25">
      <c r="A1772" s="17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</row>
    <row r="1773" spans="1:7" x14ac:dyDescent="0.25">
      <c r="A1773" s="17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</row>
    <row r="1774" spans="1:7" x14ac:dyDescent="0.25">
      <c r="A1774" s="17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</row>
    <row r="1775" spans="1:7" x14ac:dyDescent="0.25">
      <c r="A1775" s="17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</row>
    <row r="1776" spans="1:7" x14ac:dyDescent="0.25">
      <c r="A1776" s="17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</row>
    <row r="1777" spans="1:7" x14ac:dyDescent="0.25">
      <c r="A1777" s="17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</row>
    <row r="1778" spans="1:7" x14ac:dyDescent="0.25">
      <c r="A1778" s="17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</row>
    <row r="1779" spans="1:7" x14ac:dyDescent="0.25">
      <c r="A1779" s="17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</row>
    <row r="1780" spans="1:7" x14ac:dyDescent="0.25">
      <c r="A1780" s="17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</row>
    <row r="1781" spans="1:7" x14ac:dyDescent="0.25">
      <c r="A1781" s="17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</row>
    <row r="1782" spans="1:7" x14ac:dyDescent="0.25">
      <c r="A1782" s="17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</row>
    <row r="1783" spans="1:7" x14ac:dyDescent="0.25">
      <c r="A1783" s="17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</row>
    <row r="1784" spans="1:7" x14ac:dyDescent="0.25">
      <c r="A1784" s="17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</row>
    <row r="1785" spans="1:7" x14ac:dyDescent="0.25">
      <c r="A1785" s="17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</row>
    <row r="1786" spans="1:7" x14ac:dyDescent="0.25">
      <c r="A1786" s="17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</row>
    <row r="1787" spans="1:7" x14ac:dyDescent="0.25">
      <c r="A1787" s="17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</row>
    <row r="1788" spans="1:7" x14ac:dyDescent="0.25">
      <c r="A1788" s="17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</row>
    <row r="1789" spans="1:7" x14ac:dyDescent="0.25">
      <c r="A1789" s="17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</row>
    <row r="1790" spans="1:7" x14ac:dyDescent="0.25">
      <c r="A1790" s="17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</row>
    <row r="1791" spans="1:7" x14ac:dyDescent="0.25">
      <c r="A1791" s="17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</row>
    <row r="1792" spans="1:7" x14ac:dyDescent="0.25">
      <c r="A1792" s="17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</row>
    <row r="1793" spans="1:7" x14ac:dyDescent="0.25">
      <c r="A1793" s="17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</row>
    <row r="1794" spans="1:7" x14ac:dyDescent="0.25">
      <c r="A1794" s="17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</row>
    <row r="1795" spans="1:7" x14ac:dyDescent="0.25">
      <c r="A1795" s="17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</row>
    <row r="1796" spans="1:7" x14ac:dyDescent="0.25">
      <c r="A1796" s="17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</row>
    <row r="1797" spans="1:7" x14ac:dyDescent="0.25">
      <c r="A1797" s="17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</row>
    <row r="1798" spans="1:7" x14ac:dyDescent="0.25">
      <c r="A1798" s="17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</row>
    <row r="1799" spans="1:7" x14ac:dyDescent="0.25">
      <c r="A1799" s="17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</row>
    <row r="1800" spans="1:7" x14ac:dyDescent="0.25">
      <c r="A1800" s="17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</row>
    <row r="1801" spans="1:7" x14ac:dyDescent="0.25">
      <c r="A1801" s="17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</row>
    <row r="1802" spans="1:7" x14ac:dyDescent="0.25">
      <c r="A1802" s="17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</row>
    <row r="1803" spans="1:7" x14ac:dyDescent="0.25">
      <c r="A1803" s="17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</row>
    <row r="1804" spans="1:7" x14ac:dyDescent="0.25">
      <c r="A1804" s="17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</row>
    <row r="1805" spans="1:7" x14ac:dyDescent="0.25">
      <c r="A1805" s="17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</row>
    <row r="1806" spans="1:7" x14ac:dyDescent="0.25">
      <c r="A1806" s="17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</row>
    <row r="1807" spans="1:7" x14ac:dyDescent="0.25">
      <c r="A1807" s="17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</row>
    <row r="1808" spans="1:7" x14ac:dyDescent="0.25">
      <c r="A1808" s="17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</row>
    <row r="1809" spans="1:7" x14ac:dyDescent="0.25">
      <c r="A1809" s="17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</row>
    <row r="1810" spans="1:7" x14ac:dyDescent="0.25">
      <c r="A1810" s="17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</row>
    <row r="1811" spans="1:7" x14ac:dyDescent="0.25">
      <c r="A1811" s="17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</row>
    <row r="1812" spans="1:7" x14ac:dyDescent="0.25">
      <c r="A1812" s="17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</row>
    <row r="1813" spans="1:7" x14ac:dyDescent="0.25">
      <c r="A1813" s="17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</row>
    <row r="1814" spans="1:7" x14ac:dyDescent="0.25">
      <c r="A1814" s="17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</row>
    <row r="1815" spans="1:7" x14ac:dyDescent="0.25">
      <c r="A1815" s="17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</row>
    <row r="1816" spans="1:7" x14ac:dyDescent="0.25">
      <c r="A1816" s="17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</row>
    <row r="1817" spans="1:7" x14ac:dyDescent="0.25">
      <c r="A1817" s="17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</row>
    <row r="1818" spans="1:7" x14ac:dyDescent="0.25">
      <c r="A1818" s="17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</row>
    <row r="1819" spans="1:7" x14ac:dyDescent="0.25">
      <c r="A1819" s="17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</row>
    <row r="1820" spans="1:7" x14ac:dyDescent="0.25">
      <c r="A1820" s="17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</row>
    <row r="1821" spans="1:7" x14ac:dyDescent="0.25">
      <c r="A1821" s="17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</row>
    <row r="1822" spans="1:7" x14ac:dyDescent="0.25">
      <c r="A1822" s="17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</row>
    <row r="1823" spans="1:7" x14ac:dyDescent="0.25">
      <c r="A1823" s="17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</row>
    <row r="1824" spans="1:7" x14ac:dyDescent="0.25">
      <c r="A1824" s="17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</row>
    <row r="1825" spans="1:7" x14ac:dyDescent="0.25">
      <c r="A1825" s="17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</row>
    <row r="1826" spans="1:7" x14ac:dyDescent="0.25">
      <c r="A1826" s="17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</row>
    <row r="1827" spans="1:7" x14ac:dyDescent="0.25">
      <c r="A1827" s="17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</row>
    <row r="1828" spans="1:7" x14ac:dyDescent="0.25">
      <c r="A1828" s="17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</row>
    <row r="1829" spans="1:7" x14ac:dyDescent="0.25">
      <c r="A1829" s="17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</row>
    <row r="1830" spans="1:7" x14ac:dyDescent="0.25">
      <c r="A1830" s="17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</row>
    <row r="1831" spans="1:7" x14ac:dyDescent="0.25">
      <c r="A1831" s="17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</row>
    <row r="1832" spans="1:7" x14ac:dyDescent="0.25">
      <c r="A1832" s="17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</row>
    <row r="1833" spans="1:7" x14ac:dyDescent="0.25">
      <c r="A1833" s="17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</row>
    <row r="1834" spans="1:7" x14ac:dyDescent="0.25">
      <c r="A1834" s="17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</row>
    <row r="1835" spans="1:7" x14ac:dyDescent="0.25">
      <c r="A1835" s="17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</row>
    <row r="1836" spans="1:7" x14ac:dyDescent="0.25">
      <c r="A1836" s="17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</row>
    <row r="1837" spans="1:7" x14ac:dyDescent="0.25">
      <c r="A1837" s="17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</row>
    <row r="1838" spans="1:7" x14ac:dyDescent="0.25">
      <c r="A1838" s="17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</row>
    <row r="1839" spans="1:7" x14ac:dyDescent="0.25">
      <c r="A1839" s="17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</row>
    <row r="1840" spans="1:7" x14ac:dyDescent="0.25">
      <c r="A1840" s="17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</row>
    <row r="1841" spans="1:7" x14ac:dyDescent="0.25">
      <c r="A1841" s="17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</row>
    <row r="1842" spans="1:7" x14ac:dyDescent="0.25">
      <c r="A1842" s="17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</row>
    <row r="1843" spans="1:7" x14ac:dyDescent="0.25">
      <c r="A1843" s="17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</row>
    <row r="1844" spans="1:7" x14ac:dyDescent="0.25">
      <c r="A1844" s="17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</row>
    <row r="1845" spans="1:7" x14ac:dyDescent="0.25">
      <c r="A1845" s="17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</row>
    <row r="1846" spans="1:7" x14ac:dyDescent="0.25">
      <c r="A1846" s="17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</row>
    <row r="1847" spans="1:7" x14ac:dyDescent="0.25">
      <c r="A1847" s="17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</row>
    <row r="1848" spans="1:7" x14ac:dyDescent="0.25">
      <c r="A1848" s="17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</row>
    <row r="1849" spans="1:7" x14ac:dyDescent="0.25">
      <c r="A1849" s="17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</row>
    <row r="1850" spans="1:7" x14ac:dyDescent="0.25">
      <c r="A1850" s="17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57</v>
      </c>
    </row>
    <row r="1851" spans="1:7" x14ac:dyDescent="0.25">
      <c r="A1851" s="17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</row>
    <row r="1852" spans="1:7" x14ac:dyDescent="0.25">
      <c r="A1852" s="17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</row>
    <row r="1853" spans="1:7" x14ac:dyDescent="0.25">
      <c r="A1853" s="17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</row>
    <row r="1854" spans="1:7" x14ac:dyDescent="0.25">
      <c r="A1854" s="17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</row>
    <row r="1855" spans="1:7" x14ac:dyDescent="0.25">
      <c r="A1855" s="17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</row>
    <row r="1856" spans="1:7" x14ac:dyDescent="0.25">
      <c r="A1856" s="17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</row>
    <row r="1857" spans="1:7" x14ac:dyDescent="0.25">
      <c r="A1857" s="17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</row>
    <row r="1858" spans="1:7" x14ac:dyDescent="0.25">
      <c r="A1858" s="17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</row>
    <row r="1859" spans="1:7" x14ac:dyDescent="0.25">
      <c r="A1859" s="17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</row>
    <row r="1860" spans="1:7" x14ac:dyDescent="0.25">
      <c r="A1860" s="17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</row>
    <row r="1861" spans="1:7" x14ac:dyDescent="0.25">
      <c r="A1861" s="17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</row>
    <row r="1862" spans="1:7" x14ac:dyDescent="0.25">
      <c r="A1862" s="17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</row>
    <row r="1863" spans="1:7" x14ac:dyDescent="0.25">
      <c r="A1863" s="17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</row>
    <row r="1864" spans="1:7" x14ac:dyDescent="0.25">
      <c r="A1864" s="17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</row>
    <row r="1865" spans="1:7" x14ac:dyDescent="0.25">
      <c r="A1865" s="17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</row>
    <row r="1866" spans="1:7" x14ac:dyDescent="0.25">
      <c r="A1866" s="17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</row>
    <row r="1867" spans="1:7" x14ac:dyDescent="0.25">
      <c r="A1867" s="17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</row>
    <row r="1868" spans="1:7" x14ac:dyDescent="0.25">
      <c r="A1868" s="17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</row>
    <row r="1869" spans="1:7" x14ac:dyDescent="0.25">
      <c r="A1869" s="17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</row>
    <row r="1870" spans="1:7" x14ac:dyDescent="0.25">
      <c r="A1870" s="17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</row>
    <row r="1871" spans="1:7" x14ac:dyDescent="0.25">
      <c r="A1871" s="17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</row>
    <row r="1872" spans="1:7" x14ac:dyDescent="0.25">
      <c r="A1872" s="17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</row>
    <row r="1873" spans="1:7" x14ac:dyDescent="0.25">
      <c r="A1873" s="17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</row>
    <row r="1874" spans="1:7" x14ac:dyDescent="0.25">
      <c r="A1874" s="17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</row>
    <row r="1875" spans="1:7" x14ac:dyDescent="0.25">
      <c r="A1875" s="17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</row>
    <row r="1876" spans="1:7" x14ac:dyDescent="0.25">
      <c r="A1876" s="17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</row>
    <row r="1877" spans="1:7" x14ac:dyDescent="0.25">
      <c r="A1877" s="17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</row>
    <row r="1878" spans="1:7" x14ac:dyDescent="0.25">
      <c r="A1878" s="17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</row>
    <row r="1879" spans="1:7" x14ac:dyDescent="0.25">
      <c r="A1879" s="17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</row>
    <row r="1880" spans="1:7" x14ac:dyDescent="0.25">
      <c r="A1880" s="17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</row>
    <row r="1881" spans="1:7" x14ac:dyDescent="0.25">
      <c r="A1881" s="17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</row>
    <row r="1882" spans="1:7" x14ac:dyDescent="0.25">
      <c r="A1882" s="17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</row>
    <row r="1883" spans="1:7" x14ac:dyDescent="0.25">
      <c r="A1883" s="17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</row>
    <row r="1884" spans="1:7" x14ac:dyDescent="0.25">
      <c r="A1884" s="17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</row>
    <row r="1885" spans="1:7" x14ac:dyDescent="0.25">
      <c r="A1885" s="17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</row>
    <row r="1886" spans="1:7" x14ac:dyDescent="0.25">
      <c r="A1886" s="17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</row>
    <row r="1887" spans="1:7" x14ac:dyDescent="0.25">
      <c r="A1887" s="17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</row>
    <row r="1888" spans="1:7" x14ac:dyDescent="0.25">
      <c r="A1888" s="17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</row>
    <row r="1889" spans="1:7" x14ac:dyDescent="0.25">
      <c r="A1889" s="17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</row>
    <row r="1890" spans="1:7" x14ac:dyDescent="0.25">
      <c r="A1890" s="17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</row>
    <row r="1891" spans="1:7" x14ac:dyDescent="0.25">
      <c r="A1891" s="17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</row>
    <row r="1892" spans="1:7" x14ac:dyDescent="0.25">
      <c r="A1892" s="17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</row>
    <row r="1893" spans="1:7" x14ac:dyDescent="0.25">
      <c r="A1893" s="17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</row>
    <row r="1894" spans="1:7" x14ac:dyDescent="0.25">
      <c r="A1894" s="17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</row>
    <row r="1895" spans="1:7" x14ac:dyDescent="0.25">
      <c r="A1895" s="17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</row>
    <row r="1896" spans="1:7" x14ac:dyDescent="0.25">
      <c r="A1896" s="17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</row>
    <row r="1897" spans="1:7" x14ac:dyDescent="0.25">
      <c r="A1897" s="17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</row>
    <row r="1898" spans="1:7" x14ac:dyDescent="0.25">
      <c r="A1898" s="17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</row>
    <row r="1899" spans="1:7" x14ac:dyDescent="0.25">
      <c r="A1899" s="17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</row>
    <row r="1900" spans="1:7" x14ac:dyDescent="0.25">
      <c r="A1900" s="17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</row>
    <row r="1901" spans="1:7" x14ac:dyDescent="0.25">
      <c r="A1901" s="17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</row>
    <row r="1902" spans="1:7" x14ac:dyDescent="0.25">
      <c r="A1902" s="17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</row>
    <row r="1903" spans="1:7" x14ac:dyDescent="0.25">
      <c r="A1903" s="17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</row>
    <row r="1904" spans="1:7" x14ac:dyDescent="0.25">
      <c r="A1904" s="17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</row>
    <row r="1905" spans="1:7" x14ac:dyDescent="0.25">
      <c r="A1905" s="17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</row>
    <row r="1906" spans="1:7" x14ac:dyDescent="0.25">
      <c r="A1906" s="17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</row>
    <row r="1907" spans="1:7" x14ac:dyDescent="0.25">
      <c r="A1907" s="17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</row>
    <row r="1908" spans="1:7" x14ac:dyDescent="0.25">
      <c r="A1908" s="17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</row>
    <row r="1909" spans="1:7" x14ac:dyDescent="0.25">
      <c r="A1909" s="17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</row>
    <row r="1910" spans="1:7" x14ac:dyDescent="0.25">
      <c r="A1910" s="17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</row>
    <row r="1911" spans="1:7" x14ac:dyDescent="0.25">
      <c r="A1911" s="17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</row>
    <row r="1912" spans="1:7" x14ac:dyDescent="0.25">
      <c r="A1912" s="17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</row>
    <row r="1913" spans="1:7" x14ac:dyDescent="0.25">
      <c r="A1913" s="17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">
        <v>36</v>
      </c>
    </row>
    <row r="1914" spans="1:7" x14ac:dyDescent="0.25">
      <c r="A1914" s="17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</row>
    <row r="1915" spans="1:7" x14ac:dyDescent="0.25">
      <c r="A1915" s="17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</row>
    <row r="1916" spans="1:7" x14ac:dyDescent="0.25">
      <c r="A1916" s="17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</row>
    <row r="1917" spans="1:7" x14ac:dyDescent="0.25">
      <c r="A1917" s="17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</row>
    <row r="1918" spans="1:7" x14ac:dyDescent="0.25">
      <c r="A1918" s="17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</row>
    <row r="1919" spans="1:7" x14ac:dyDescent="0.25">
      <c r="A1919" s="17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</row>
    <row r="1920" spans="1:7" x14ac:dyDescent="0.25">
      <c r="A1920" s="17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</row>
    <row r="1921" spans="1:7" x14ac:dyDescent="0.25">
      <c r="A1921" s="17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</row>
    <row r="1922" spans="1:7" x14ac:dyDescent="0.25">
      <c r="A1922" s="17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</row>
    <row r="1923" spans="1:7" x14ac:dyDescent="0.25">
      <c r="A1923" s="17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">
        <v>11</v>
      </c>
    </row>
    <row r="1924" spans="1:7" x14ac:dyDescent="0.25">
      <c r="A1924" s="17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</row>
    <row r="1925" spans="1:7" x14ac:dyDescent="0.25">
      <c r="A1925" s="17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</row>
    <row r="1926" spans="1:7" x14ac:dyDescent="0.25">
      <c r="A1926" s="17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16</v>
      </c>
    </row>
    <row r="1927" spans="1:7" x14ac:dyDescent="0.25">
      <c r="A1927" s="17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</row>
    <row r="1928" spans="1:7" x14ac:dyDescent="0.25">
      <c r="A1928" s="17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</row>
    <row r="1929" spans="1:7" x14ac:dyDescent="0.25">
      <c r="A1929" s="17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</row>
    <row r="1930" spans="1:7" x14ac:dyDescent="0.25">
      <c r="A1930" s="17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</row>
    <row r="1931" spans="1:7" x14ac:dyDescent="0.25">
      <c r="A1931" s="17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</row>
    <row r="1932" spans="1:7" x14ac:dyDescent="0.25">
      <c r="A1932" s="17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</row>
    <row r="1933" spans="1:7" x14ac:dyDescent="0.25">
      <c r="A1933" s="17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</row>
    <row r="1934" spans="1:7" x14ac:dyDescent="0.25">
      <c r="A1934" s="17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</row>
    <row r="1935" spans="1:7" x14ac:dyDescent="0.25">
      <c r="A1935" s="17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</row>
    <row r="1936" spans="1:7" x14ac:dyDescent="0.25">
      <c r="A1936" s="17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</row>
    <row r="1937" spans="1:7" x14ac:dyDescent="0.25">
      <c r="A1937" s="17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</row>
    <row r="1938" spans="1:7" x14ac:dyDescent="0.25">
      <c r="A1938" s="17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</row>
    <row r="1939" spans="1:7" x14ac:dyDescent="0.25">
      <c r="A1939" s="17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</row>
    <row r="1940" spans="1:7" x14ac:dyDescent="0.25">
      <c r="A1940" s="17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</row>
    <row r="1941" spans="1:7" x14ac:dyDescent="0.25">
      <c r="A1941" s="17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</row>
    <row r="1942" spans="1:7" x14ac:dyDescent="0.25">
      <c r="A1942" s="17"/>
      <c r="B1942" s="4" t="s">
        <v>1842</v>
      </c>
      <c r="C1942" s="4" t="s">
        <v>35</v>
      </c>
      <c r="D1942" s="4" t="s">
        <v>35</v>
      </c>
      <c r="E1942" s="4" t="s">
        <v>57</v>
      </c>
      <c r="F1942" s="4" t="s">
        <v>1385</v>
      </c>
      <c r="G1942" s="5" t="s">
        <v>57</v>
      </c>
    </row>
    <row r="1943" spans="1:7" x14ac:dyDescent="0.25">
      <c r="A1943" s="17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</row>
    <row r="1944" spans="1:7" x14ac:dyDescent="0.25">
      <c r="A1944" s="17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</row>
    <row r="1945" spans="1:7" x14ac:dyDescent="0.25">
      <c r="A1945" s="17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</row>
    <row r="1946" spans="1:7" x14ac:dyDescent="0.25">
      <c r="A1946" s="17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</row>
    <row r="1947" spans="1:7" x14ac:dyDescent="0.25">
      <c r="A1947" s="17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</row>
    <row r="1948" spans="1:7" x14ac:dyDescent="0.25">
      <c r="A1948" s="17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</row>
    <row r="1949" spans="1:7" x14ac:dyDescent="0.25">
      <c r="A1949" s="17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</row>
    <row r="1950" spans="1:7" x14ac:dyDescent="0.25">
      <c r="A1950" s="17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</row>
    <row r="1951" spans="1:7" x14ac:dyDescent="0.25">
      <c r="A1951" s="17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</row>
    <row r="1952" spans="1:7" x14ac:dyDescent="0.25">
      <c r="A1952" s="17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</row>
    <row r="1953" spans="1:7" x14ac:dyDescent="0.25">
      <c r="A1953" s="17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</row>
    <row r="1954" spans="1:7" x14ac:dyDescent="0.25">
      <c r="A1954" s="17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</row>
    <row r="1955" spans="1:7" x14ac:dyDescent="0.25">
      <c r="A1955" s="17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</row>
    <row r="1956" spans="1:7" x14ac:dyDescent="0.25">
      <c r="A1956" s="17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</row>
    <row r="1957" spans="1:7" x14ac:dyDescent="0.25">
      <c r="A1957" s="17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</row>
    <row r="1958" spans="1:7" x14ac:dyDescent="0.25">
      <c r="A1958" s="17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">
        <v>11</v>
      </c>
    </row>
    <row r="1959" spans="1:7" x14ac:dyDescent="0.25">
      <c r="A1959" s="17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</row>
    <row r="1960" spans="1:7" x14ac:dyDescent="0.25">
      <c r="A1960" s="17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</row>
    <row r="1961" spans="1:7" x14ac:dyDescent="0.25">
      <c r="A1961" s="17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</row>
    <row r="1962" spans="1:7" x14ac:dyDescent="0.25">
      <c r="A1962" s="17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</row>
    <row r="1963" spans="1:7" x14ac:dyDescent="0.25">
      <c r="A1963" s="17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</row>
    <row r="1964" spans="1:7" x14ac:dyDescent="0.25">
      <c r="A1964" s="17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</row>
    <row r="1965" spans="1:7" x14ac:dyDescent="0.25">
      <c r="A1965" s="17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</row>
    <row r="1966" spans="1:7" x14ac:dyDescent="0.25">
      <c r="A1966" s="17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</row>
    <row r="1967" spans="1:7" x14ac:dyDescent="0.25">
      <c r="A1967" s="17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">
        <v>549</v>
      </c>
    </row>
    <row r="1968" spans="1:7" x14ac:dyDescent="0.25">
      <c r="A1968" s="17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</row>
    <row r="1969" spans="1:7" x14ac:dyDescent="0.25">
      <c r="A1969" s="17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</row>
    <row r="1970" spans="1:7" x14ac:dyDescent="0.25">
      <c r="A1970" s="17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</row>
    <row r="1971" spans="1:7" x14ac:dyDescent="0.25">
      <c r="A1971" s="17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</row>
    <row r="1972" spans="1:7" x14ac:dyDescent="0.25">
      <c r="A1972" s="17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</row>
    <row r="1973" spans="1:7" x14ac:dyDescent="0.25">
      <c r="A1973" s="17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</row>
    <row r="1974" spans="1:7" x14ac:dyDescent="0.25">
      <c r="A1974" s="17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</row>
    <row r="1975" spans="1:7" x14ac:dyDescent="0.25">
      <c r="A1975" s="17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</row>
    <row r="1976" spans="1:7" x14ac:dyDescent="0.25">
      <c r="A1976" s="17"/>
      <c r="B1976" s="4" t="s">
        <v>1876</v>
      </c>
      <c r="C1976" s="4" t="s">
        <v>35</v>
      </c>
      <c r="D1976" s="4" t="s">
        <v>35</v>
      </c>
      <c r="E1976" s="4" t="s">
        <v>163</v>
      </c>
      <c r="F1976" s="4" t="s">
        <v>21</v>
      </c>
      <c r="G1976" s="5" t="s">
        <v>163</v>
      </c>
    </row>
    <row r="1977" spans="1:7" x14ac:dyDescent="0.25">
      <c r="A1977" s="17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</row>
    <row r="1978" spans="1:7" x14ac:dyDescent="0.25">
      <c r="A1978" s="17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</row>
    <row r="1979" spans="1:7" x14ac:dyDescent="0.25">
      <c r="A1979" s="17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</row>
    <row r="1980" spans="1:7" x14ac:dyDescent="0.25">
      <c r="A1980" s="17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</row>
    <row r="1981" spans="1:7" x14ac:dyDescent="0.25">
      <c r="A1981" s="17"/>
      <c r="B1981" s="4" t="s">
        <v>1881</v>
      </c>
      <c r="C1981" s="4" t="s">
        <v>11</v>
      </c>
      <c r="D1981" s="4" t="s">
        <v>11</v>
      </c>
      <c r="E1981" s="4" t="s">
        <v>11</v>
      </c>
      <c r="F1981" s="4" t="s">
        <v>137</v>
      </c>
      <c r="G1981" s="5" t="s">
        <v>11</v>
      </c>
    </row>
    <row r="1982" spans="1:7" x14ac:dyDescent="0.25">
      <c r="A1982" s="17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</row>
    <row r="1983" spans="1:7" x14ac:dyDescent="0.25">
      <c r="A1983" s="17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</row>
    <row r="1984" spans="1:7" x14ac:dyDescent="0.25">
      <c r="A1984" s="17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</row>
    <row r="1985" spans="1:7" x14ac:dyDescent="0.25">
      <c r="A1985" s="17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</row>
    <row r="1986" spans="1:7" x14ac:dyDescent="0.25">
      <c r="A1986" s="17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</row>
    <row r="1987" spans="1:7" x14ac:dyDescent="0.25">
      <c r="A1987" s="17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</row>
    <row r="1988" spans="1:7" x14ac:dyDescent="0.25">
      <c r="A1988" s="17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</row>
    <row r="1989" spans="1:7" x14ac:dyDescent="0.25">
      <c r="A1989" s="17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</row>
    <row r="1990" spans="1:7" x14ac:dyDescent="0.25">
      <c r="A1990" s="17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</row>
    <row r="1991" spans="1:7" x14ac:dyDescent="0.25">
      <c r="A1991" s="17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</row>
    <row r="1992" spans="1:7" x14ac:dyDescent="0.25">
      <c r="A1992" s="17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</row>
    <row r="1993" spans="1:7" x14ac:dyDescent="0.25">
      <c r="A1993" s="17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</row>
    <row r="1994" spans="1:7" x14ac:dyDescent="0.25">
      <c r="A1994" s="17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</row>
    <row r="1995" spans="1:7" x14ac:dyDescent="0.25">
      <c r="A1995" s="17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</row>
    <row r="1996" spans="1:7" x14ac:dyDescent="0.25">
      <c r="A1996" s="17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</row>
    <row r="1997" spans="1:7" x14ac:dyDescent="0.25">
      <c r="A1997" s="17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</row>
    <row r="1998" spans="1:7" x14ac:dyDescent="0.25">
      <c r="A1998" s="17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</row>
    <row r="1999" spans="1:7" x14ac:dyDescent="0.25">
      <c r="A1999" s="17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</row>
    <row r="2000" spans="1:7" x14ac:dyDescent="0.25">
      <c r="A2000" s="17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</row>
    <row r="2001" spans="1:7" x14ac:dyDescent="0.25">
      <c r="A2001" s="17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16</v>
      </c>
    </row>
    <row r="2002" spans="1:7" x14ac:dyDescent="0.25">
      <c r="A2002" s="17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</row>
    <row r="2003" spans="1:7" x14ac:dyDescent="0.25">
      <c r="A2003" s="17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</row>
    <row r="2004" spans="1:7" x14ac:dyDescent="0.25">
      <c r="A2004" s="17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</row>
    <row r="2005" spans="1:7" x14ac:dyDescent="0.25">
      <c r="A2005" s="17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</row>
    <row r="2006" spans="1:7" x14ac:dyDescent="0.25">
      <c r="A2006" s="17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</row>
    <row r="2007" spans="1:7" x14ac:dyDescent="0.25">
      <c r="A2007" s="17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</row>
    <row r="2008" spans="1:7" x14ac:dyDescent="0.25">
      <c r="A2008" s="17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</row>
    <row r="2009" spans="1:7" x14ac:dyDescent="0.25">
      <c r="A2009" s="17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</row>
    <row r="2010" spans="1:7" x14ac:dyDescent="0.25">
      <c r="A2010" s="17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</row>
    <row r="2011" spans="1:7" x14ac:dyDescent="0.25">
      <c r="A2011" s="17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</row>
    <row r="2012" spans="1:7" x14ac:dyDescent="0.25">
      <c r="A2012" s="17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</row>
    <row r="2013" spans="1:7" x14ac:dyDescent="0.25">
      <c r="A2013" s="17"/>
      <c r="B2013" s="4" t="s">
        <v>1914</v>
      </c>
      <c r="C2013" s="4" t="s">
        <v>14</v>
      </c>
      <c r="D2013" s="4" t="s">
        <v>15</v>
      </c>
      <c r="E2013" s="4" t="s">
        <v>16</v>
      </c>
      <c r="F2013" s="4" t="s">
        <v>14</v>
      </c>
      <c r="G2013" s="5" t="s">
        <v>16</v>
      </c>
    </row>
    <row r="2014" spans="1:7" x14ac:dyDescent="0.25">
      <c r="A2014" s="17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</row>
    <row r="2015" spans="1:7" x14ac:dyDescent="0.25">
      <c r="A2015" s="17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</row>
    <row r="2016" spans="1:7" x14ac:dyDescent="0.25">
      <c r="A2016" s="17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</row>
    <row r="2017" spans="1:7" x14ac:dyDescent="0.25">
      <c r="A2017" s="17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</row>
    <row r="2018" spans="1:7" x14ac:dyDescent="0.25">
      <c r="A2018" s="17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</row>
    <row r="2019" spans="1:7" x14ac:dyDescent="0.25">
      <c r="A2019" s="17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</row>
    <row r="2020" spans="1:7" x14ac:dyDescent="0.25">
      <c r="A2020" s="17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</row>
    <row r="2021" spans="1:7" x14ac:dyDescent="0.25">
      <c r="A2021" s="17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</row>
    <row r="2022" spans="1:7" x14ac:dyDescent="0.25">
      <c r="A2022" s="17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</row>
    <row r="2023" spans="1:7" x14ac:dyDescent="0.25">
      <c r="A2023" s="17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</row>
    <row r="2024" spans="1:7" x14ac:dyDescent="0.25">
      <c r="A2024" s="17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</row>
    <row r="2025" spans="1:7" x14ac:dyDescent="0.25">
      <c r="A2025" s="17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</row>
    <row r="2026" spans="1:7" x14ac:dyDescent="0.25">
      <c r="A2026" s="17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</row>
    <row r="2027" spans="1:7" x14ac:dyDescent="0.25">
      <c r="A2027" s="17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</row>
    <row r="2028" spans="1:7" x14ac:dyDescent="0.25">
      <c r="A2028" s="17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</row>
    <row r="2029" spans="1:7" x14ac:dyDescent="0.25">
      <c r="A2029" s="17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</row>
    <row r="2030" spans="1:7" x14ac:dyDescent="0.25">
      <c r="A2030" s="17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</row>
    <row r="2031" spans="1:7" x14ac:dyDescent="0.25">
      <c r="A2031" s="17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</row>
    <row r="2032" spans="1:7" x14ac:dyDescent="0.25">
      <c r="A2032" s="17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</row>
    <row r="2033" spans="1:7" x14ac:dyDescent="0.25">
      <c r="A2033" s="17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</row>
    <row r="2034" spans="1:7" x14ac:dyDescent="0.25">
      <c r="A2034" s="17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</row>
    <row r="2035" spans="1:7" x14ac:dyDescent="0.25">
      <c r="A2035" s="17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</row>
    <row r="2036" spans="1:7" x14ac:dyDescent="0.25">
      <c r="A2036" s="17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</row>
    <row r="2037" spans="1:7" x14ac:dyDescent="0.25">
      <c r="A2037" s="17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</row>
    <row r="2038" spans="1:7" x14ac:dyDescent="0.25">
      <c r="A2038" s="17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</row>
    <row r="2039" spans="1:7" x14ac:dyDescent="0.25">
      <c r="A2039" s="17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</row>
    <row r="2040" spans="1:7" x14ac:dyDescent="0.25">
      <c r="A2040" s="17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</row>
    <row r="2041" spans="1:7" x14ac:dyDescent="0.25">
      <c r="A2041" s="17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</row>
    <row r="2042" spans="1:7" x14ac:dyDescent="0.25">
      <c r="A2042" s="17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</row>
    <row r="2043" spans="1:7" x14ac:dyDescent="0.25">
      <c r="A2043" s="17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</row>
    <row r="2044" spans="1:7" x14ac:dyDescent="0.25">
      <c r="A2044" s="17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</row>
    <row r="2045" spans="1:7" x14ac:dyDescent="0.25">
      <c r="A2045" s="17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</row>
    <row r="2046" spans="1:7" x14ac:dyDescent="0.25">
      <c r="A2046" s="17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</row>
    <row r="2047" spans="1:7" x14ac:dyDescent="0.25">
      <c r="A2047" s="17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</row>
    <row r="2048" spans="1:7" x14ac:dyDescent="0.25">
      <c r="A2048" s="17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</row>
    <row r="2049" spans="1:7" x14ac:dyDescent="0.25">
      <c r="A2049" s="17"/>
      <c r="B2049" s="4" t="s">
        <v>1951</v>
      </c>
      <c r="C2049" s="4" t="s">
        <v>14</v>
      </c>
      <c r="D2049" s="4" t="s">
        <v>15</v>
      </c>
      <c r="E2049" s="4" t="s">
        <v>16</v>
      </c>
      <c r="F2049" s="4" t="s">
        <v>14</v>
      </c>
      <c r="G2049" s="5" t="s">
        <v>16</v>
      </c>
    </row>
    <row r="2050" spans="1:7" x14ac:dyDescent="0.25">
      <c r="A2050" s="17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</row>
    <row r="2051" spans="1:7" x14ac:dyDescent="0.25">
      <c r="A2051" s="17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</row>
    <row r="2052" spans="1:7" x14ac:dyDescent="0.25">
      <c r="A2052" s="17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</row>
    <row r="2053" spans="1:7" x14ac:dyDescent="0.25">
      <c r="A2053" s="17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</row>
    <row r="2054" spans="1:7" x14ac:dyDescent="0.25">
      <c r="A2054" s="17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</row>
    <row r="2055" spans="1:7" x14ac:dyDescent="0.25">
      <c r="A2055" s="17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</row>
    <row r="2056" spans="1:7" x14ac:dyDescent="0.25">
      <c r="A2056" s="17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</row>
    <row r="2057" spans="1:7" x14ac:dyDescent="0.25">
      <c r="A2057" s="17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</row>
    <row r="2058" spans="1:7" x14ac:dyDescent="0.25">
      <c r="A2058" s="17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</row>
    <row r="2059" spans="1:7" x14ac:dyDescent="0.25">
      <c r="A2059" s="17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</row>
    <row r="2060" spans="1:7" x14ac:dyDescent="0.25">
      <c r="A2060" s="17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</row>
    <row r="2061" spans="1:7" x14ac:dyDescent="0.25">
      <c r="A2061" s="17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</row>
    <row r="2062" spans="1:7" x14ac:dyDescent="0.25">
      <c r="A2062" s="17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</row>
    <row r="2063" spans="1:7" x14ac:dyDescent="0.25">
      <c r="A2063" s="17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</row>
    <row r="2064" spans="1:7" x14ac:dyDescent="0.25">
      <c r="A2064" s="17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</row>
    <row r="2065" spans="1:7" x14ac:dyDescent="0.25">
      <c r="A2065" s="17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</row>
    <row r="2066" spans="1:7" x14ac:dyDescent="0.25">
      <c r="A2066" s="17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</row>
    <row r="2067" spans="1:7" x14ac:dyDescent="0.25">
      <c r="A2067" s="17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</row>
    <row r="2068" spans="1:7" x14ac:dyDescent="0.25">
      <c r="A2068" s="17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</row>
    <row r="2069" spans="1:7" x14ac:dyDescent="0.25">
      <c r="A2069" s="17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</row>
    <row r="2070" spans="1:7" x14ac:dyDescent="0.25">
      <c r="A2070" s="17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</row>
    <row r="2071" spans="1:7" x14ac:dyDescent="0.25">
      <c r="A2071" s="17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</row>
    <row r="2072" spans="1:7" x14ac:dyDescent="0.25">
      <c r="A2072" s="17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</row>
    <row r="2073" spans="1:7" x14ac:dyDescent="0.25">
      <c r="A2073" s="17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</row>
    <row r="2074" spans="1:7" x14ac:dyDescent="0.25">
      <c r="A2074" s="17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</row>
    <row r="2075" spans="1:7" x14ac:dyDescent="0.25">
      <c r="A2075" s="17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</row>
    <row r="2076" spans="1:7" x14ac:dyDescent="0.25">
      <c r="A2076" s="17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</row>
    <row r="2077" spans="1:7" x14ac:dyDescent="0.25">
      <c r="A2077" s="17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</row>
    <row r="2078" spans="1:7" x14ac:dyDescent="0.25">
      <c r="A2078" s="17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</row>
    <row r="2079" spans="1:7" x14ac:dyDescent="0.25">
      <c r="A2079" s="17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</row>
    <row r="2080" spans="1:7" x14ac:dyDescent="0.25">
      <c r="A2080" s="17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</row>
    <row r="2081" spans="1:7" x14ac:dyDescent="0.25">
      <c r="A2081" s="17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</row>
    <row r="2082" spans="1:7" x14ac:dyDescent="0.25">
      <c r="A2082" s="17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</row>
    <row r="2083" spans="1:7" x14ac:dyDescent="0.25">
      <c r="A2083" s="17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</row>
    <row r="2084" spans="1:7" x14ac:dyDescent="0.25">
      <c r="A2084" s="17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</row>
    <row r="2085" spans="1:7" x14ac:dyDescent="0.25">
      <c r="A2085" s="17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</row>
    <row r="2086" spans="1:7" x14ac:dyDescent="0.25">
      <c r="A2086" s="17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">
        <v>11</v>
      </c>
    </row>
    <row r="2087" spans="1:7" x14ac:dyDescent="0.25">
      <c r="A2087" s="17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</row>
    <row r="2088" spans="1:7" x14ac:dyDescent="0.25">
      <c r="A2088" s="17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</row>
    <row r="2089" spans="1:7" x14ac:dyDescent="0.25">
      <c r="A2089" s="17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</row>
    <row r="2090" spans="1:7" x14ac:dyDescent="0.25">
      <c r="A2090" s="17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</row>
    <row r="2091" spans="1:7" x14ac:dyDescent="0.25">
      <c r="A2091" s="17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</row>
    <row r="2092" spans="1:7" x14ac:dyDescent="0.25">
      <c r="A2092" s="17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</row>
    <row r="2093" spans="1:7" x14ac:dyDescent="0.25">
      <c r="A2093" s="17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</row>
    <row r="2094" spans="1:7" x14ac:dyDescent="0.25">
      <c r="A2094" s="17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</row>
    <row r="2095" spans="1:7" x14ac:dyDescent="0.25">
      <c r="A2095" s="17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</row>
    <row r="2096" spans="1:7" x14ac:dyDescent="0.25">
      <c r="A2096" s="17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</row>
    <row r="2097" spans="1:7" x14ac:dyDescent="0.25">
      <c r="A2097" s="17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</row>
    <row r="2098" spans="1:7" x14ac:dyDescent="0.25">
      <c r="A2098" s="17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</row>
    <row r="2099" spans="1:7" x14ac:dyDescent="0.25">
      <c r="A2099" s="17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</row>
    <row r="2100" spans="1:7" x14ac:dyDescent="0.25">
      <c r="A2100" s="17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</row>
    <row r="2101" spans="1:7" x14ac:dyDescent="0.25">
      <c r="A2101" s="17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</row>
    <row r="2102" spans="1:7" x14ac:dyDescent="0.25">
      <c r="A2102" s="17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</row>
    <row r="2103" spans="1:7" x14ac:dyDescent="0.25">
      <c r="A2103" s="17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</row>
    <row r="2104" spans="1:7" x14ac:dyDescent="0.25">
      <c r="A2104" s="17"/>
      <c r="B2104" s="4" t="s">
        <v>2006</v>
      </c>
      <c r="C2104" s="4" t="s">
        <v>14</v>
      </c>
      <c r="D2104" s="4" t="s">
        <v>15</v>
      </c>
      <c r="E2104" s="4" t="s">
        <v>16</v>
      </c>
      <c r="F2104" s="4" t="s">
        <v>14</v>
      </c>
      <c r="G2104" s="5" t="s">
        <v>16</v>
      </c>
    </row>
    <row r="2105" spans="1:7" x14ac:dyDescent="0.25">
      <c r="A2105" s="17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</row>
    <row r="2106" spans="1:7" x14ac:dyDescent="0.25">
      <c r="A2106" s="17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</row>
    <row r="2107" spans="1:7" x14ac:dyDescent="0.25">
      <c r="A2107" s="17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</row>
    <row r="2108" spans="1:7" x14ac:dyDescent="0.25">
      <c r="A2108" s="17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</row>
    <row r="2109" spans="1:7" x14ac:dyDescent="0.25">
      <c r="A2109" s="17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</row>
    <row r="2110" spans="1:7" x14ac:dyDescent="0.25">
      <c r="A2110" s="17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</row>
    <row r="2111" spans="1:7" x14ac:dyDescent="0.25">
      <c r="A2111" s="17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</row>
    <row r="2112" spans="1:7" x14ac:dyDescent="0.25">
      <c r="A2112" s="17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</row>
    <row r="2113" spans="1:7" x14ac:dyDescent="0.25">
      <c r="A2113" s="17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</row>
    <row r="2114" spans="1:7" x14ac:dyDescent="0.25">
      <c r="A2114" s="17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</row>
    <row r="2115" spans="1:7" x14ac:dyDescent="0.25">
      <c r="A2115" s="17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</row>
    <row r="2116" spans="1:7" x14ac:dyDescent="0.25">
      <c r="A2116" s="17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</row>
    <row r="2117" spans="1:7" x14ac:dyDescent="0.25">
      <c r="A2117" s="17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</row>
    <row r="2118" spans="1:7" x14ac:dyDescent="0.25">
      <c r="A2118" s="17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</row>
    <row r="2119" spans="1:7" x14ac:dyDescent="0.25">
      <c r="A2119" s="17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</row>
    <row r="2120" spans="1:7" x14ac:dyDescent="0.25">
      <c r="A2120" s="17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</row>
    <row r="2121" spans="1:7" x14ac:dyDescent="0.25">
      <c r="A2121" s="17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</row>
    <row r="2122" spans="1:7" x14ac:dyDescent="0.25">
      <c r="A2122" s="17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</row>
    <row r="2123" spans="1:7" x14ac:dyDescent="0.25">
      <c r="A2123" s="17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</row>
    <row r="2124" spans="1:7" x14ac:dyDescent="0.25">
      <c r="A2124" s="17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</row>
    <row r="2125" spans="1:7" x14ac:dyDescent="0.25">
      <c r="A2125" s="17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</row>
    <row r="2126" spans="1:7" x14ac:dyDescent="0.25">
      <c r="A2126" s="17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</row>
    <row r="2127" spans="1:7" x14ac:dyDescent="0.25">
      <c r="A2127" s="17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</row>
    <row r="2128" spans="1:7" x14ac:dyDescent="0.25">
      <c r="A2128" s="17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</row>
    <row r="2129" spans="1:7" x14ac:dyDescent="0.25">
      <c r="A2129" s="17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</row>
    <row r="2130" spans="1:7" x14ac:dyDescent="0.25">
      <c r="A2130" s="17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</row>
    <row r="2131" spans="1:7" x14ac:dyDescent="0.25">
      <c r="A2131" s="17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</row>
    <row r="2132" spans="1:7" x14ac:dyDescent="0.25">
      <c r="A2132" s="17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</row>
    <row r="2133" spans="1:7" x14ac:dyDescent="0.25">
      <c r="A2133" s="17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</row>
    <row r="2134" spans="1:7" x14ac:dyDescent="0.25">
      <c r="A2134" s="17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</row>
    <row r="2135" spans="1:7" x14ac:dyDescent="0.25">
      <c r="A2135" s="17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</row>
    <row r="2136" spans="1:7" x14ac:dyDescent="0.25">
      <c r="A2136" s="17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</row>
    <row r="2137" spans="1:7" x14ac:dyDescent="0.25">
      <c r="A2137" s="17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</row>
    <row r="2138" spans="1:7" x14ac:dyDescent="0.25">
      <c r="A2138" s="17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</row>
    <row r="2139" spans="1:7" x14ac:dyDescent="0.25">
      <c r="A2139" s="17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11</v>
      </c>
    </row>
    <row r="2140" spans="1:7" x14ac:dyDescent="0.25">
      <c r="A2140" s="17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</row>
    <row r="2141" spans="1:7" x14ac:dyDescent="0.25">
      <c r="A2141" s="17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</row>
    <row r="2142" spans="1:7" x14ac:dyDescent="0.25">
      <c r="A2142" s="17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</row>
    <row r="2143" spans="1:7" x14ac:dyDescent="0.25">
      <c r="A2143" s="17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</row>
    <row r="2144" spans="1:7" x14ac:dyDescent="0.25">
      <c r="A2144" s="17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</row>
    <row r="2145" spans="1:7" x14ac:dyDescent="0.25">
      <c r="A2145" s="17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</row>
    <row r="2146" spans="1:7" x14ac:dyDescent="0.25">
      <c r="A2146" s="17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">
        <v>20</v>
      </c>
    </row>
    <row r="2147" spans="1:7" x14ac:dyDescent="0.25">
      <c r="A2147" s="17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</row>
    <row r="2148" spans="1:7" x14ac:dyDescent="0.25">
      <c r="A2148" s="17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</row>
    <row r="2149" spans="1:7" x14ac:dyDescent="0.25">
      <c r="A2149" s="17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</row>
    <row r="2150" spans="1:7" x14ac:dyDescent="0.25">
      <c r="A2150" s="17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</row>
    <row r="2151" spans="1:7" x14ac:dyDescent="0.25">
      <c r="A2151" s="17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</row>
    <row r="2152" spans="1:7" x14ac:dyDescent="0.25">
      <c r="A2152" s="17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</row>
    <row r="2153" spans="1:7" x14ac:dyDescent="0.25">
      <c r="A2153" s="17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</row>
    <row r="2154" spans="1:7" x14ac:dyDescent="0.25">
      <c r="A2154" s="17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</row>
    <row r="2155" spans="1:7" x14ac:dyDescent="0.25">
      <c r="A2155" s="17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</row>
    <row r="2156" spans="1:7" x14ac:dyDescent="0.25">
      <c r="A2156" s="17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</row>
    <row r="2157" spans="1:7" x14ac:dyDescent="0.25">
      <c r="A2157" s="17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</row>
    <row r="2158" spans="1:7" x14ac:dyDescent="0.25">
      <c r="A2158" s="17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</row>
    <row r="2159" spans="1:7" x14ac:dyDescent="0.25">
      <c r="A2159" s="17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</row>
    <row r="2160" spans="1:7" x14ac:dyDescent="0.25">
      <c r="A2160" s="17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</row>
    <row r="2161" spans="1:7" x14ac:dyDescent="0.25">
      <c r="A2161" s="17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</row>
    <row r="2162" spans="1:7" x14ac:dyDescent="0.25">
      <c r="A2162" s="17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</row>
    <row r="2163" spans="1:7" x14ac:dyDescent="0.25">
      <c r="A2163" s="17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</row>
    <row r="2164" spans="1:7" x14ac:dyDescent="0.25">
      <c r="A2164" s="17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</row>
    <row r="2165" spans="1:7" x14ac:dyDescent="0.25">
      <c r="A2165" s="17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36</v>
      </c>
    </row>
    <row r="2166" spans="1:7" x14ac:dyDescent="0.25">
      <c r="A2166" s="17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</row>
    <row r="2167" spans="1:7" x14ac:dyDescent="0.25">
      <c r="A2167" s="17"/>
      <c r="B2167" s="4" t="s">
        <v>2071</v>
      </c>
      <c r="C2167" s="4" t="s">
        <v>11</v>
      </c>
      <c r="D2167" s="4" t="s">
        <v>11</v>
      </c>
      <c r="E2167" s="4" t="s">
        <v>11</v>
      </c>
      <c r="F2167" s="4" t="s">
        <v>1187</v>
      </c>
      <c r="G2167" s="5" t="s">
        <v>11</v>
      </c>
    </row>
    <row r="2168" spans="1:7" x14ac:dyDescent="0.25">
      <c r="A2168" s="17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</row>
    <row r="2169" spans="1:7" x14ac:dyDescent="0.25">
      <c r="A2169" s="17"/>
      <c r="B2169" s="4" t="s">
        <v>2073</v>
      </c>
      <c r="C2169" s="4" t="s">
        <v>18</v>
      </c>
      <c r="D2169" s="4" t="s">
        <v>19</v>
      </c>
      <c r="E2169" s="4" t="s">
        <v>20</v>
      </c>
      <c r="F2169" s="4" t="s">
        <v>21</v>
      </c>
      <c r="G2169" s="5" t="s">
        <v>20</v>
      </c>
    </row>
    <row r="2170" spans="1:7" x14ac:dyDescent="0.25">
      <c r="A2170" s="17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</row>
    <row r="2171" spans="1:7" x14ac:dyDescent="0.25">
      <c r="A2171" s="17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</row>
    <row r="2172" spans="1:7" x14ac:dyDescent="0.25">
      <c r="A2172" s="17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</row>
    <row r="2173" spans="1:7" x14ac:dyDescent="0.25">
      <c r="A2173" s="17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</row>
    <row r="2174" spans="1:7" x14ac:dyDescent="0.25">
      <c r="A2174" s="17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</row>
    <row r="2175" spans="1:7" x14ac:dyDescent="0.25">
      <c r="A2175" s="17"/>
      <c r="B2175" s="4" t="s">
        <v>2079</v>
      </c>
      <c r="C2175" s="4" t="s">
        <v>24</v>
      </c>
      <c r="D2175" s="4" t="s">
        <v>25</v>
      </c>
      <c r="E2175" s="4" t="s">
        <v>26</v>
      </c>
      <c r="F2175" s="4" t="s">
        <v>21</v>
      </c>
      <c r="G2175" s="5" t="s">
        <v>26</v>
      </c>
    </row>
    <row r="2176" spans="1:7" x14ac:dyDescent="0.25">
      <c r="A2176" s="17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</row>
    <row r="2177" spans="1:7" x14ac:dyDescent="0.25">
      <c r="A2177" s="17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</row>
    <row r="2178" spans="1:7" x14ac:dyDescent="0.25">
      <c r="A2178" s="17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</row>
    <row r="2179" spans="1:7" x14ac:dyDescent="0.25">
      <c r="A2179" s="17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</row>
    <row r="2180" spans="1:7" x14ac:dyDescent="0.25">
      <c r="A2180" s="17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</row>
    <row r="2181" spans="1:7" x14ac:dyDescent="0.25">
      <c r="A2181" s="17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</row>
    <row r="2182" spans="1:7" x14ac:dyDescent="0.25">
      <c r="A2182" s="17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</row>
    <row r="2183" spans="1:7" x14ac:dyDescent="0.25">
      <c r="A2183" s="17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</row>
    <row r="2184" spans="1:7" x14ac:dyDescent="0.25">
      <c r="A2184" s="17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</row>
    <row r="2185" spans="1:7" x14ac:dyDescent="0.25">
      <c r="A2185" s="17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</row>
    <row r="2186" spans="1:7" x14ac:dyDescent="0.25">
      <c r="A2186" s="17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36</v>
      </c>
    </row>
    <row r="2187" spans="1:7" x14ac:dyDescent="0.25">
      <c r="A2187" s="17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</row>
    <row r="2188" spans="1:7" x14ac:dyDescent="0.25">
      <c r="A2188" s="17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</row>
    <row r="2189" spans="1:7" x14ac:dyDescent="0.25">
      <c r="A2189" s="17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</row>
    <row r="2190" spans="1:7" x14ac:dyDescent="0.25">
      <c r="A2190" s="17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</row>
    <row r="2191" spans="1:7" x14ac:dyDescent="0.25">
      <c r="A2191" s="17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</row>
    <row r="2192" spans="1:7" x14ac:dyDescent="0.25">
      <c r="A2192" s="17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</row>
    <row r="2193" spans="1:7" x14ac:dyDescent="0.25">
      <c r="A2193" s="17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</row>
    <row r="2194" spans="1:7" x14ac:dyDescent="0.25">
      <c r="A2194" s="17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</row>
    <row r="2195" spans="1:7" x14ac:dyDescent="0.25">
      <c r="A2195" s="17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</row>
    <row r="2196" spans="1:7" x14ac:dyDescent="0.25">
      <c r="A2196" s="17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</row>
    <row r="2197" spans="1:7" x14ac:dyDescent="0.25">
      <c r="A2197" s="17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</row>
    <row r="2198" spans="1:7" x14ac:dyDescent="0.25">
      <c r="A2198" s="17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</row>
    <row r="2199" spans="1:7" x14ac:dyDescent="0.25">
      <c r="A2199" s="17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</row>
    <row r="2200" spans="1:7" x14ac:dyDescent="0.25">
      <c r="A2200" s="17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</row>
    <row r="2201" spans="1:7" x14ac:dyDescent="0.25">
      <c r="A2201" s="17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</row>
    <row r="2202" spans="1:7" x14ac:dyDescent="0.25">
      <c r="A2202" s="17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</row>
    <row r="2203" spans="1:7" x14ac:dyDescent="0.25">
      <c r="A2203" s="17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</row>
    <row r="2204" spans="1:7" x14ac:dyDescent="0.25">
      <c r="A2204" s="17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</row>
    <row r="2205" spans="1:7" x14ac:dyDescent="0.25">
      <c r="A2205" s="17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</row>
    <row r="2206" spans="1:7" x14ac:dyDescent="0.25">
      <c r="A2206" s="17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</row>
    <row r="2207" spans="1:7" x14ac:dyDescent="0.25">
      <c r="A2207" s="17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</row>
    <row r="2208" spans="1:7" x14ac:dyDescent="0.25">
      <c r="A2208" s="17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">
        <v>36</v>
      </c>
    </row>
    <row r="2209" spans="1:7" x14ac:dyDescent="0.25">
      <c r="A2209" s="17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</row>
    <row r="2210" spans="1:7" x14ac:dyDescent="0.25">
      <c r="A2210" s="17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</row>
    <row r="2211" spans="1:7" x14ac:dyDescent="0.25">
      <c r="A2211" s="17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</row>
    <row r="2212" spans="1:7" x14ac:dyDescent="0.25">
      <c r="A2212" s="17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</row>
    <row r="2213" spans="1:7" x14ac:dyDescent="0.25">
      <c r="A2213" s="17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</row>
    <row r="2214" spans="1:7" x14ac:dyDescent="0.25">
      <c r="A2214" s="17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</row>
    <row r="2215" spans="1:7" x14ac:dyDescent="0.25">
      <c r="A2215" s="17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</row>
    <row r="2216" spans="1:7" x14ac:dyDescent="0.25">
      <c r="A2216" s="17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</row>
    <row r="2217" spans="1:7" x14ac:dyDescent="0.25">
      <c r="A2217" s="17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16</v>
      </c>
    </row>
    <row r="2218" spans="1:7" x14ac:dyDescent="0.25">
      <c r="A2218" s="17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</row>
    <row r="2219" spans="1:7" x14ac:dyDescent="0.25">
      <c r="A2219" s="17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</row>
    <row r="2220" spans="1:7" x14ac:dyDescent="0.25">
      <c r="A2220" s="17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</row>
    <row r="2221" spans="1:7" x14ac:dyDescent="0.25">
      <c r="A2221" s="17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</row>
    <row r="2222" spans="1:7" x14ac:dyDescent="0.25">
      <c r="A2222" s="17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</row>
    <row r="2223" spans="1:7" x14ac:dyDescent="0.25">
      <c r="A2223" s="17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</row>
    <row r="2224" spans="1:7" x14ac:dyDescent="0.25">
      <c r="A2224" s="17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</row>
    <row r="2225" spans="1:7" x14ac:dyDescent="0.25">
      <c r="A2225" s="17"/>
      <c r="B2225" s="4" t="s">
        <v>2129</v>
      </c>
      <c r="C2225" s="4" t="s">
        <v>14</v>
      </c>
      <c r="D2225" s="4" t="s">
        <v>15</v>
      </c>
      <c r="E2225" s="4" t="s">
        <v>16</v>
      </c>
      <c r="F2225" s="4" t="s">
        <v>14</v>
      </c>
      <c r="G2225" s="5" t="s">
        <v>16</v>
      </c>
    </row>
    <row r="2226" spans="1:7" x14ac:dyDescent="0.25">
      <c r="A2226" s="17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</row>
    <row r="2227" spans="1:7" x14ac:dyDescent="0.25">
      <c r="A2227" s="17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</row>
    <row r="2228" spans="1:7" x14ac:dyDescent="0.25">
      <c r="A2228" s="17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</row>
    <row r="2229" spans="1:7" x14ac:dyDescent="0.25">
      <c r="A2229" s="17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</row>
    <row r="2230" spans="1:7" x14ac:dyDescent="0.25">
      <c r="A2230" s="17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</row>
    <row r="2231" spans="1:7" x14ac:dyDescent="0.25">
      <c r="A2231" s="17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</row>
    <row r="2232" spans="1:7" x14ac:dyDescent="0.25">
      <c r="A2232" s="17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</row>
    <row r="2233" spans="1:7" x14ac:dyDescent="0.25">
      <c r="A2233" s="17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</row>
    <row r="2234" spans="1:7" x14ac:dyDescent="0.25">
      <c r="A2234" s="17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</row>
    <row r="2235" spans="1:7" x14ac:dyDescent="0.25">
      <c r="A2235" s="17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</row>
    <row r="2236" spans="1:7" x14ac:dyDescent="0.25">
      <c r="A2236" s="17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</row>
    <row r="2237" spans="1:7" x14ac:dyDescent="0.25">
      <c r="A2237" s="17"/>
      <c r="B2237" s="4" t="s">
        <v>2141</v>
      </c>
      <c r="C2237" s="4" t="s">
        <v>14</v>
      </c>
      <c r="D2237" s="4" t="s">
        <v>15</v>
      </c>
      <c r="E2237" s="4" t="s">
        <v>16</v>
      </c>
      <c r="F2237" s="4" t="s">
        <v>14</v>
      </c>
      <c r="G2237" s="5" t="s">
        <v>16</v>
      </c>
    </row>
    <row r="2238" spans="1:7" x14ac:dyDescent="0.25">
      <c r="A2238" s="17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</row>
    <row r="2239" spans="1:7" x14ac:dyDescent="0.25">
      <c r="A2239" s="17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</row>
    <row r="2240" spans="1:7" x14ac:dyDescent="0.25">
      <c r="A2240" s="17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</row>
    <row r="2241" spans="1:7" x14ac:dyDescent="0.25">
      <c r="A2241" s="17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</row>
    <row r="2242" spans="1:7" x14ac:dyDescent="0.25">
      <c r="A2242" s="17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</row>
    <row r="2243" spans="1:7" x14ac:dyDescent="0.25">
      <c r="A2243" s="17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</row>
    <row r="2244" spans="1:7" x14ac:dyDescent="0.25">
      <c r="A2244" s="17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</row>
    <row r="2245" spans="1:7" x14ac:dyDescent="0.25">
      <c r="A2245" s="17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</row>
    <row r="2246" spans="1:7" x14ac:dyDescent="0.25">
      <c r="A2246" s="17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</row>
    <row r="2247" spans="1:7" x14ac:dyDescent="0.25">
      <c r="A2247" s="17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</row>
    <row r="2248" spans="1:7" x14ac:dyDescent="0.25">
      <c r="A2248" s="17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</row>
    <row r="2249" spans="1:7" x14ac:dyDescent="0.25">
      <c r="A2249" s="17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</row>
    <row r="2250" spans="1:7" x14ac:dyDescent="0.25">
      <c r="A2250" s="17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</row>
    <row r="2251" spans="1:7" x14ac:dyDescent="0.25">
      <c r="A2251" s="17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</row>
    <row r="2252" spans="1:7" x14ac:dyDescent="0.25">
      <c r="A2252" s="17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</row>
    <row r="2253" spans="1:7" x14ac:dyDescent="0.25">
      <c r="A2253" s="17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</row>
    <row r="2254" spans="1:7" x14ac:dyDescent="0.25">
      <c r="A2254" s="17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</row>
    <row r="2255" spans="1:7" x14ac:dyDescent="0.25">
      <c r="A2255" s="17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</row>
    <row r="2256" spans="1:7" x14ac:dyDescent="0.25">
      <c r="A2256" s="17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</row>
    <row r="2257" spans="1:7" x14ac:dyDescent="0.25">
      <c r="A2257" s="17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</row>
    <row r="2258" spans="1:7" x14ac:dyDescent="0.25">
      <c r="A2258" s="17"/>
      <c r="B2258" s="4" t="s">
        <v>2163</v>
      </c>
      <c r="C2258" s="4" t="s">
        <v>14</v>
      </c>
      <c r="D2258" s="4" t="s">
        <v>15</v>
      </c>
      <c r="E2258" s="4" t="s">
        <v>16</v>
      </c>
      <c r="F2258" s="4" t="s">
        <v>14</v>
      </c>
      <c r="G2258" s="5" t="s">
        <v>16</v>
      </c>
    </row>
    <row r="2259" spans="1:7" x14ac:dyDescent="0.25">
      <c r="A2259" s="17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</row>
    <row r="2260" spans="1:7" x14ac:dyDescent="0.25">
      <c r="A2260" s="17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</row>
    <row r="2261" spans="1:7" x14ac:dyDescent="0.25">
      <c r="A2261" s="17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</row>
    <row r="2262" spans="1:7" x14ac:dyDescent="0.25">
      <c r="A2262" s="17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</row>
    <row r="2263" spans="1:7" x14ac:dyDescent="0.25">
      <c r="A2263" s="17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</row>
    <row r="2264" spans="1:7" x14ac:dyDescent="0.25">
      <c r="A2264" s="17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</row>
    <row r="2265" spans="1:7" x14ac:dyDescent="0.25">
      <c r="A2265" s="17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</row>
    <row r="2266" spans="1:7" x14ac:dyDescent="0.25">
      <c r="A2266" s="17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</row>
    <row r="2267" spans="1:7" x14ac:dyDescent="0.25">
      <c r="A2267" s="17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</row>
    <row r="2268" spans="1:7" x14ac:dyDescent="0.25">
      <c r="A2268" s="17"/>
      <c r="B2268" s="4" t="s">
        <v>2173</v>
      </c>
      <c r="C2268" s="4" t="s">
        <v>11</v>
      </c>
      <c r="D2268" s="4" t="s">
        <v>11</v>
      </c>
      <c r="E2268" s="4" t="s">
        <v>11</v>
      </c>
      <c r="F2268" s="4" t="s">
        <v>137</v>
      </c>
      <c r="G2268" s="5" t="s">
        <v>11</v>
      </c>
    </row>
    <row r="2269" spans="1:7" x14ac:dyDescent="0.25">
      <c r="A2269" s="17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</row>
    <row r="2270" spans="1:7" x14ac:dyDescent="0.25">
      <c r="A2270" s="17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</row>
    <row r="2271" spans="1:7" x14ac:dyDescent="0.25">
      <c r="A2271" s="17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</row>
    <row r="2272" spans="1:7" x14ac:dyDescent="0.25">
      <c r="A2272" s="17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</row>
    <row r="2273" spans="1:7" x14ac:dyDescent="0.25">
      <c r="A2273" s="17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</row>
    <row r="2274" spans="1:7" x14ac:dyDescent="0.25">
      <c r="A2274" s="17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</row>
    <row r="2275" spans="1:7" x14ac:dyDescent="0.25">
      <c r="A2275" s="17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</row>
    <row r="2276" spans="1:7" x14ac:dyDescent="0.25">
      <c r="A2276" s="17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</row>
    <row r="2277" spans="1:7" x14ac:dyDescent="0.25">
      <c r="A2277" s="17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</row>
    <row r="2278" spans="1:7" x14ac:dyDescent="0.25">
      <c r="A2278" s="17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</row>
    <row r="2279" spans="1:7" x14ac:dyDescent="0.25">
      <c r="A2279" s="17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</row>
    <row r="2280" spans="1:7" x14ac:dyDescent="0.25">
      <c r="A2280" s="17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</row>
    <row r="2281" spans="1:7" x14ac:dyDescent="0.25">
      <c r="A2281" s="17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</row>
    <row r="2282" spans="1:7" x14ac:dyDescent="0.25">
      <c r="A2282" s="17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</row>
    <row r="2283" spans="1:7" x14ac:dyDescent="0.25">
      <c r="A2283" s="17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</row>
    <row r="2284" spans="1:7" x14ac:dyDescent="0.25">
      <c r="A2284" s="17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</row>
    <row r="2285" spans="1:7" x14ac:dyDescent="0.25">
      <c r="A2285" s="17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</row>
    <row r="2286" spans="1:7" x14ac:dyDescent="0.25">
      <c r="A2286" s="17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</row>
    <row r="2287" spans="1:7" x14ac:dyDescent="0.25">
      <c r="A2287" s="17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</row>
    <row r="2288" spans="1:7" x14ac:dyDescent="0.25">
      <c r="A2288" s="17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</row>
    <row r="2289" spans="1:7" x14ac:dyDescent="0.25">
      <c r="A2289" s="17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</row>
    <row r="2290" spans="1:7" x14ac:dyDescent="0.25">
      <c r="A2290" s="17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</row>
    <row r="2291" spans="1:7" x14ac:dyDescent="0.25">
      <c r="A2291" s="17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</row>
    <row r="2292" spans="1:7" x14ac:dyDescent="0.25">
      <c r="A2292" s="17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</row>
    <row r="2293" spans="1:7" x14ac:dyDescent="0.25">
      <c r="A2293" s="17"/>
      <c r="B2293" s="4" t="s">
        <v>2199</v>
      </c>
      <c r="C2293" s="4" t="s">
        <v>35</v>
      </c>
      <c r="D2293" s="4" t="s">
        <v>35</v>
      </c>
      <c r="E2293" s="4" t="s">
        <v>163</v>
      </c>
      <c r="F2293" s="4" t="s">
        <v>21</v>
      </c>
      <c r="G2293" s="5" t="s">
        <v>20</v>
      </c>
    </row>
    <row r="2294" spans="1:7" x14ac:dyDescent="0.25">
      <c r="A2294" s="17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</row>
    <row r="2295" spans="1:7" x14ac:dyDescent="0.25">
      <c r="A2295" s="17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</row>
    <row r="2296" spans="1:7" x14ac:dyDescent="0.25">
      <c r="A2296" s="17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</row>
    <row r="2297" spans="1:7" x14ac:dyDescent="0.25">
      <c r="A2297" s="17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</row>
    <row r="2298" spans="1:7" x14ac:dyDescent="0.25">
      <c r="A2298" s="17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</row>
    <row r="2299" spans="1:7" x14ac:dyDescent="0.25">
      <c r="A2299" s="17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</row>
    <row r="2300" spans="1:7" x14ac:dyDescent="0.25">
      <c r="A2300" s="17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</row>
    <row r="2301" spans="1:7" x14ac:dyDescent="0.25">
      <c r="A2301" s="17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</row>
    <row r="2302" spans="1:7" x14ac:dyDescent="0.25">
      <c r="A2302" s="17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">
        <v>20</v>
      </c>
    </row>
    <row r="2303" spans="1:7" x14ac:dyDescent="0.25">
      <c r="A2303" s="17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</row>
    <row r="2304" spans="1:7" x14ac:dyDescent="0.25">
      <c r="A2304" s="17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</row>
    <row r="2305" spans="1:7" x14ac:dyDescent="0.25">
      <c r="A2305" s="17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</row>
    <row r="2306" spans="1:7" x14ac:dyDescent="0.25">
      <c r="A2306" s="17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</row>
    <row r="2307" spans="1:7" x14ac:dyDescent="0.25">
      <c r="A2307" s="17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</row>
    <row r="2308" spans="1:7" x14ac:dyDescent="0.25">
      <c r="A2308" s="17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</row>
    <row r="2309" spans="1:7" x14ac:dyDescent="0.25">
      <c r="A2309" s="17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</row>
    <row r="2310" spans="1:7" x14ac:dyDescent="0.25">
      <c r="A2310" s="17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">
        <v>36</v>
      </c>
    </row>
    <row r="2311" spans="1:7" x14ac:dyDescent="0.25">
      <c r="A2311" s="17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</row>
    <row r="2312" spans="1:7" x14ac:dyDescent="0.25">
      <c r="A2312" s="17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</row>
    <row r="2313" spans="1:7" x14ac:dyDescent="0.25">
      <c r="A2313" s="17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</row>
    <row r="2314" spans="1:7" x14ac:dyDescent="0.25">
      <c r="A2314" s="17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</row>
    <row r="2315" spans="1:7" x14ac:dyDescent="0.25">
      <c r="A2315" s="17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</row>
    <row r="2316" spans="1:7" x14ac:dyDescent="0.25">
      <c r="A2316" s="17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</row>
    <row r="2317" spans="1:7" x14ac:dyDescent="0.25">
      <c r="A2317" s="17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</row>
    <row r="2318" spans="1:7" x14ac:dyDescent="0.25">
      <c r="A2318" s="17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</row>
    <row r="2319" spans="1:7" x14ac:dyDescent="0.25">
      <c r="A2319" s="17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</row>
    <row r="2320" spans="1:7" x14ac:dyDescent="0.25">
      <c r="A2320" s="17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</row>
    <row r="2321" spans="1:7" x14ac:dyDescent="0.25">
      <c r="A2321" s="17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">
        <v>57</v>
      </c>
    </row>
    <row r="2322" spans="1:7" x14ac:dyDescent="0.25">
      <c r="A2322" s="17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11</v>
      </c>
    </row>
    <row r="2323" spans="1:7" x14ac:dyDescent="0.25">
      <c r="A2323" s="17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</row>
    <row r="2324" spans="1:7" x14ac:dyDescent="0.25">
      <c r="A2324" s="17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</row>
    <row r="2325" spans="1:7" x14ac:dyDescent="0.25">
      <c r="A2325" s="17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</row>
    <row r="2326" spans="1:7" x14ac:dyDescent="0.25">
      <c r="A2326" s="17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</row>
    <row r="2327" spans="1:7" x14ac:dyDescent="0.25">
      <c r="A2327" s="17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</row>
    <row r="2328" spans="1:7" x14ac:dyDescent="0.25">
      <c r="A2328" s="17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</row>
    <row r="2329" spans="1:7" x14ac:dyDescent="0.25">
      <c r="A2329" s="17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">
        <v>11</v>
      </c>
    </row>
    <row r="2330" spans="1:7" x14ac:dyDescent="0.25">
      <c r="A2330" s="17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</row>
    <row r="2331" spans="1:7" x14ac:dyDescent="0.25">
      <c r="A2331" s="17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</row>
    <row r="2332" spans="1:7" x14ac:dyDescent="0.25">
      <c r="A2332" s="17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</row>
    <row r="2333" spans="1:7" x14ac:dyDescent="0.25">
      <c r="A2333" s="17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</row>
    <row r="2334" spans="1:7" x14ac:dyDescent="0.25">
      <c r="A2334" s="17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</row>
    <row r="2335" spans="1:7" x14ac:dyDescent="0.25">
      <c r="A2335" s="17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</row>
    <row r="2336" spans="1:7" x14ac:dyDescent="0.25">
      <c r="A2336" s="17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</row>
    <row r="2337" spans="1:7" x14ac:dyDescent="0.25">
      <c r="A2337" s="17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</row>
    <row r="2338" spans="1:7" x14ac:dyDescent="0.25">
      <c r="A2338" s="17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</row>
    <row r="2339" spans="1:7" x14ac:dyDescent="0.25">
      <c r="A2339" s="17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</row>
    <row r="2340" spans="1:7" x14ac:dyDescent="0.25">
      <c r="A2340" s="17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</row>
    <row r="2341" spans="1:7" x14ac:dyDescent="0.25">
      <c r="A2341" s="17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</row>
    <row r="2342" spans="1:7" x14ac:dyDescent="0.25">
      <c r="A2342" s="17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</row>
    <row r="2343" spans="1:7" x14ac:dyDescent="0.25">
      <c r="A2343" s="17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</row>
    <row r="2344" spans="1:7" x14ac:dyDescent="0.25">
      <c r="A2344" s="17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</row>
    <row r="2345" spans="1:7" x14ac:dyDescent="0.25">
      <c r="A2345" s="17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</row>
    <row r="2346" spans="1:7" x14ac:dyDescent="0.25">
      <c r="A2346" s="17"/>
      <c r="B2346" s="4" t="s">
        <v>2252</v>
      </c>
      <c r="C2346" s="4" t="s">
        <v>14</v>
      </c>
      <c r="D2346" s="4" t="s">
        <v>15</v>
      </c>
      <c r="E2346" s="4" t="s">
        <v>16</v>
      </c>
      <c r="F2346" s="4" t="s">
        <v>14</v>
      </c>
      <c r="G2346" s="5" t="s">
        <v>16</v>
      </c>
    </row>
    <row r="2347" spans="1:7" x14ac:dyDescent="0.25">
      <c r="A2347" s="17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</row>
    <row r="2348" spans="1:7" x14ac:dyDescent="0.25">
      <c r="A2348" s="17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</row>
    <row r="2349" spans="1:7" x14ac:dyDescent="0.25">
      <c r="A2349" s="17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</row>
    <row r="2350" spans="1:7" x14ac:dyDescent="0.25">
      <c r="A2350" s="17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</row>
    <row r="2351" spans="1:7" x14ac:dyDescent="0.25">
      <c r="A2351" s="17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</row>
    <row r="2352" spans="1:7" x14ac:dyDescent="0.25">
      <c r="A2352" s="17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</row>
    <row r="2353" spans="1:7" x14ac:dyDescent="0.25">
      <c r="A2353" s="17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</row>
    <row r="2354" spans="1:7" x14ac:dyDescent="0.25">
      <c r="A2354" s="17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</row>
    <row r="2355" spans="1:7" x14ac:dyDescent="0.25">
      <c r="A2355" s="17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</row>
    <row r="2356" spans="1:7" x14ac:dyDescent="0.25">
      <c r="A2356" s="17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</row>
    <row r="2357" spans="1:7" x14ac:dyDescent="0.25">
      <c r="A2357" s="17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</row>
    <row r="2358" spans="1:7" x14ac:dyDescent="0.25">
      <c r="A2358" s="17"/>
      <c r="B2358" s="4" t="s">
        <v>2264</v>
      </c>
      <c r="C2358" s="4" t="s">
        <v>14</v>
      </c>
      <c r="D2358" s="4" t="s">
        <v>15</v>
      </c>
      <c r="E2358" s="4" t="s">
        <v>16</v>
      </c>
      <c r="F2358" s="4" t="s">
        <v>14</v>
      </c>
      <c r="G2358" s="5" t="s">
        <v>16</v>
      </c>
    </row>
    <row r="2359" spans="1:7" x14ac:dyDescent="0.25">
      <c r="A2359" s="17"/>
      <c r="B2359" s="4" t="s">
        <v>2265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5" t="s">
        <v>163</v>
      </c>
    </row>
    <row r="2360" spans="1:7" x14ac:dyDescent="0.25">
      <c r="A2360" s="17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</row>
    <row r="2361" spans="1:7" x14ac:dyDescent="0.25">
      <c r="A2361" s="17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</row>
    <row r="2362" spans="1:7" x14ac:dyDescent="0.25">
      <c r="A2362" s="17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</row>
    <row r="2363" spans="1:7" x14ac:dyDescent="0.25">
      <c r="A2363" s="17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</row>
    <row r="2364" spans="1:7" x14ac:dyDescent="0.25">
      <c r="A2364" s="17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</row>
    <row r="2365" spans="1:7" x14ac:dyDescent="0.25">
      <c r="A2365" s="17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</row>
    <row r="2366" spans="1:7" x14ac:dyDescent="0.25">
      <c r="A2366" s="17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">
        <v>11</v>
      </c>
    </row>
    <row r="2367" spans="1:7" x14ac:dyDescent="0.25">
      <c r="A2367" s="17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</row>
    <row r="2368" spans="1:7" x14ac:dyDescent="0.25">
      <c r="A2368" s="17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</row>
    <row r="2369" spans="1:7" x14ac:dyDescent="0.25">
      <c r="A2369" s="17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</row>
    <row r="2370" spans="1:7" x14ac:dyDescent="0.25">
      <c r="A2370" s="17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</row>
    <row r="2371" spans="1:7" x14ac:dyDescent="0.25">
      <c r="A2371" s="17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</row>
    <row r="2372" spans="1:7" x14ac:dyDescent="0.25">
      <c r="A2372" s="17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</row>
    <row r="2373" spans="1:7" x14ac:dyDescent="0.25">
      <c r="A2373" s="17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</row>
    <row r="2374" spans="1:7" x14ac:dyDescent="0.25">
      <c r="A2374" s="17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</row>
    <row r="2375" spans="1:7" x14ac:dyDescent="0.25">
      <c r="A2375" s="17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</row>
    <row r="2376" spans="1:7" x14ac:dyDescent="0.25">
      <c r="A2376" s="17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</row>
    <row r="2377" spans="1:7" x14ac:dyDescent="0.25">
      <c r="A2377" s="17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</row>
    <row r="2378" spans="1:7" x14ac:dyDescent="0.25">
      <c r="A2378" s="17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</row>
    <row r="2379" spans="1:7" x14ac:dyDescent="0.25">
      <c r="A2379" s="17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</row>
    <row r="2380" spans="1:7" x14ac:dyDescent="0.25">
      <c r="A2380" s="17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</row>
    <row r="2381" spans="1:7" x14ac:dyDescent="0.25">
      <c r="A2381" s="17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</row>
    <row r="2382" spans="1:7" x14ac:dyDescent="0.25">
      <c r="A2382" s="17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</row>
    <row r="2383" spans="1:7" x14ac:dyDescent="0.25">
      <c r="A2383" s="17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</row>
    <row r="2384" spans="1:7" x14ac:dyDescent="0.25">
      <c r="A2384" s="17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</row>
    <row r="2385" spans="1:7" x14ac:dyDescent="0.25">
      <c r="A2385" s="17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</row>
    <row r="2386" spans="1:7" x14ac:dyDescent="0.25">
      <c r="A2386" s="17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">
        <v>57</v>
      </c>
    </row>
    <row r="2387" spans="1:7" x14ac:dyDescent="0.25">
      <c r="A2387" s="17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</row>
    <row r="2388" spans="1:7" x14ac:dyDescent="0.25">
      <c r="A2388" s="17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</row>
    <row r="2389" spans="1:7" x14ac:dyDescent="0.25">
      <c r="A2389" s="17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</row>
    <row r="2390" spans="1:7" x14ac:dyDescent="0.25">
      <c r="A2390" s="17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36</v>
      </c>
    </row>
    <row r="2391" spans="1:7" x14ac:dyDescent="0.25">
      <c r="A2391" s="17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</row>
    <row r="2392" spans="1:7" x14ac:dyDescent="0.25">
      <c r="A2392" s="17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</row>
    <row r="2393" spans="1:7" x14ac:dyDescent="0.25">
      <c r="A2393" s="17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</row>
    <row r="2394" spans="1:7" x14ac:dyDescent="0.25">
      <c r="A2394" s="17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</row>
    <row r="2395" spans="1:7" x14ac:dyDescent="0.25">
      <c r="A2395" s="17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</row>
    <row r="2396" spans="1:7" x14ac:dyDescent="0.25">
      <c r="A2396" s="17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</row>
    <row r="2397" spans="1:7" x14ac:dyDescent="0.25">
      <c r="A2397" s="17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</row>
    <row r="2398" spans="1:7" x14ac:dyDescent="0.25">
      <c r="A2398" s="17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</row>
    <row r="2399" spans="1:7" x14ac:dyDescent="0.25">
      <c r="A2399" s="17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</row>
    <row r="2400" spans="1:7" x14ac:dyDescent="0.25">
      <c r="A2400" s="17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</row>
    <row r="2401" spans="1:7" x14ac:dyDescent="0.25">
      <c r="A2401" s="17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</row>
    <row r="2402" spans="1:7" x14ac:dyDescent="0.25">
      <c r="A2402" s="17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</row>
    <row r="2403" spans="1:7" x14ac:dyDescent="0.25">
      <c r="A2403" s="17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</row>
    <row r="2404" spans="1:7" x14ac:dyDescent="0.25">
      <c r="A2404" s="17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</row>
    <row r="2405" spans="1:7" x14ac:dyDescent="0.25">
      <c r="A2405" s="17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</row>
    <row r="2406" spans="1:7" x14ac:dyDescent="0.25">
      <c r="A2406" s="17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</row>
    <row r="2407" spans="1:7" x14ac:dyDescent="0.25">
      <c r="A2407" s="17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</row>
    <row r="2408" spans="1:7" x14ac:dyDescent="0.25">
      <c r="A2408" s="17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</row>
    <row r="2409" spans="1:7" x14ac:dyDescent="0.25">
      <c r="A2409" s="17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</row>
    <row r="2410" spans="1:7" x14ac:dyDescent="0.25">
      <c r="A2410" s="17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</row>
    <row r="2411" spans="1:7" x14ac:dyDescent="0.25">
      <c r="A2411" s="17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</row>
    <row r="2412" spans="1:7" x14ac:dyDescent="0.25">
      <c r="A2412" s="17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</row>
    <row r="2413" spans="1:7" x14ac:dyDescent="0.25">
      <c r="A2413" s="17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</row>
    <row r="2414" spans="1:7" x14ac:dyDescent="0.25">
      <c r="A2414" s="17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</row>
    <row r="2415" spans="1:7" x14ac:dyDescent="0.25">
      <c r="A2415" s="17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</row>
    <row r="2416" spans="1:7" x14ac:dyDescent="0.25">
      <c r="A2416" s="17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</row>
    <row r="2417" spans="1:7" x14ac:dyDescent="0.25">
      <c r="A2417" s="17"/>
      <c r="B2417" s="4" t="s">
        <v>2325</v>
      </c>
      <c r="C2417" s="4" t="s">
        <v>35</v>
      </c>
      <c r="D2417" s="4" t="s">
        <v>35</v>
      </c>
      <c r="E2417" s="4" t="s">
        <v>163</v>
      </c>
      <c r="F2417" s="4" t="s">
        <v>21</v>
      </c>
      <c r="G2417" s="5" t="s">
        <v>163</v>
      </c>
    </row>
    <row r="2418" spans="1:7" x14ac:dyDescent="0.25">
      <c r="A2418" s="17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</row>
    <row r="2419" spans="1:7" x14ac:dyDescent="0.25">
      <c r="A2419" s="17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</row>
    <row r="2420" spans="1:7" x14ac:dyDescent="0.25">
      <c r="A2420" s="17"/>
      <c r="B2420" s="4" t="s">
        <v>2328</v>
      </c>
      <c r="C2420" s="4" t="s">
        <v>14</v>
      </c>
      <c r="D2420" s="4" t="s">
        <v>15</v>
      </c>
      <c r="E2420" s="4" t="s">
        <v>16</v>
      </c>
      <c r="F2420" s="4" t="s">
        <v>14</v>
      </c>
      <c r="G2420" s="5" t="s">
        <v>16</v>
      </c>
    </row>
    <row r="2421" spans="1:7" x14ac:dyDescent="0.25">
      <c r="A2421" s="17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</row>
    <row r="2422" spans="1:7" x14ac:dyDescent="0.25">
      <c r="A2422" s="17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</row>
    <row r="2423" spans="1:7" x14ac:dyDescent="0.25">
      <c r="A2423" s="17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">
        <v>11</v>
      </c>
    </row>
    <row r="2424" spans="1:7" x14ac:dyDescent="0.25">
      <c r="A2424" s="17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</row>
    <row r="2425" spans="1:7" x14ac:dyDescent="0.25">
      <c r="A2425" s="17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</row>
    <row r="2426" spans="1:7" x14ac:dyDescent="0.25">
      <c r="A2426" s="17"/>
      <c r="B2426" s="4" t="s">
        <v>2334</v>
      </c>
      <c r="C2426" s="4" t="s">
        <v>11</v>
      </c>
      <c r="D2426" s="4" t="s">
        <v>11</v>
      </c>
      <c r="E2426" s="4" t="s">
        <v>11</v>
      </c>
      <c r="F2426" s="4" t="s">
        <v>1270</v>
      </c>
      <c r="G2426" s="5" t="s">
        <v>11</v>
      </c>
    </row>
    <row r="2427" spans="1:7" x14ac:dyDescent="0.25">
      <c r="A2427" s="17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</row>
    <row r="2428" spans="1:7" x14ac:dyDescent="0.25">
      <c r="A2428" s="17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</row>
    <row r="2429" spans="1:7" x14ac:dyDescent="0.25">
      <c r="A2429" s="17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</row>
    <row r="2430" spans="1:7" x14ac:dyDescent="0.25">
      <c r="A2430" s="17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</row>
    <row r="2431" spans="1:7" x14ac:dyDescent="0.25">
      <c r="A2431" s="17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</row>
    <row r="2432" spans="1:7" x14ac:dyDescent="0.25">
      <c r="A2432" s="17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</row>
    <row r="2433" spans="1:7" x14ac:dyDescent="0.25">
      <c r="A2433" s="17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">
        <v>549</v>
      </c>
    </row>
    <row r="2434" spans="1:7" x14ac:dyDescent="0.25">
      <c r="A2434" s="17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">
        <v>11</v>
      </c>
    </row>
    <row r="2435" spans="1:7" x14ac:dyDescent="0.25">
      <c r="A2435" s="17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</row>
    <row r="2436" spans="1:7" x14ac:dyDescent="0.25">
      <c r="A2436" s="17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</row>
    <row r="2437" spans="1:7" x14ac:dyDescent="0.25">
      <c r="A2437" s="17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</row>
    <row r="2438" spans="1:7" x14ac:dyDescent="0.25">
      <c r="A2438" s="17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</row>
    <row r="2439" spans="1:7" x14ac:dyDescent="0.25">
      <c r="A2439" s="17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</row>
    <row r="2440" spans="1:7" x14ac:dyDescent="0.25">
      <c r="A2440" s="17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</row>
    <row r="2441" spans="1:7" x14ac:dyDescent="0.25">
      <c r="A2441" s="17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</row>
    <row r="2442" spans="1:7" x14ac:dyDescent="0.25">
      <c r="A2442" s="17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</row>
    <row r="2443" spans="1:7" x14ac:dyDescent="0.25">
      <c r="A2443" s="17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</row>
    <row r="2444" spans="1:7" x14ac:dyDescent="0.25">
      <c r="A2444" s="17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</row>
    <row r="2445" spans="1:7" x14ac:dyDescent="0.25">
      <c r="A2445" s="17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</row>
    <row r="2446" spans="1:7" x14ac:dyDescent="0.25">
      <c r="A2446" s="17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</row>
    <row r="2447" spans="1:7" x14ac:dyDescent="0.25">
      <c r="A2447" s="17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</row>
    <row r="2448" spans="1:7" x14ac:dyDescent="0.25">
      <c r="A2448" s="17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</row>
    <row r="2449" spans="1:7" x14ac:dyDescent="0.25">
      <c r="A2449" s="17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</row>
    <row r="2450" spans="1:7" x14ac:dyDescent="0.25">
      <c r="A2450" s="17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26</v>
      </c>
    </row>
    <row r="2451" spans="1:7" x14ac:dyDescent="0.25">
      <c r="A2451" s="17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</row>
    <row r="2452" spans="1:7" x14ac:dyDescent="0.25">
      <c r="A2452" s="17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</row>
    <row r="2453" spans="1:7" x14ac:dyDescent="0.25">
      <c r="A2453" s="17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</row>
    <row r="2454" spans="1:7" x14ac:dyDescent="0.25">
      <c r="A2454" s="17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</row>
    <row r="2455" spans="1:7" x14ac:dyDescent="0.25">
      <c r="A2455" s="17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</row>
    <row r="2456" spans="1:7" x14ac:dyDescent="0.25">
      <c r="A2456" s="17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</row>
    <row r="2457" spans="1:7" x14ac:dyDescent="0.25">
      <c r="A2457" s="17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</row>
    <row r="2458" spans="1:7" x14ac:dyDescent="0.25">
      <c r="A2458" s="17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</row>
    <row r="2459" spans="1:7" x14ac:dyDescent="0.25">
      <c r="A2459" s="17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</row>
    <row r="2460" spans="1:7" x14ac:dyDescent="0.25">
      <c r="A2460" s="17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</row>
    <row r="2461" spans="1:7" x14ac:dyDescent="0.25">
      <c r="A2461" s="17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</row>
    <row r="2462" spans="1:7" x14ac:dyDescent="0.25">
      <c r="A2462" s="17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</row>
    <row r="2463" spans="1:7" x14ac:dyDescent="0.25">
      <c r="A2463" s="17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</row>
    <row r="2464" spans="1:7" x14ac:dyDescent="0.25">
      <c r="A2464" s="17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</row>
    <row r="2465" spans="1:7" x14ac:dyDescent="0.25">
      <c r="A2465" s="17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</row>
    <row r="2466" spans="1:7" x14ac:dyDescent="0.25">
      <c r="A2466" s="17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</row>
    <row r="2467" spans="1:7" x14ac:dyDescent="0.25">
      <c r="A2467" s="17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</row>
    <row r="2468" spans="1:7" x14ac:dyDescent="0.25">
      <c r="A2468" s="17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</row>
    <row r="2469" spans="1:7" x14ac:dyDescent="0.25">
      <c r="A2469" s="17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</row>
    <row r="2470" spans="1:7" x14ac:dyDescent="0.25">
      <c r="A2470" s="17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</row>
    <row r="2471" spans="1:7" x14ac:dyDescent="0.25">
      <c r="A2471" s="17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</row>
    <row r="2472" spans="1:7" x14ac:dyDescent="0.25">
      <c r="A2472" s="17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</row>
    <row r="2473" spans="1:7" x14ac:dyDescent="0.25">
      <c r="A2473" s="17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</row>
    <row r="2474" spans="1:7" x14ac:dyDescent="0.25">
      <c r="A2474" s="17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</row>
    <row r="2475" spans="1:7" x14ac:dyDescent="0.25">
      <c r="A2475" s="17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</row>
    <row r="2476" spans="1:7" x14ac:dyDescent="0.25">
      <c r="A2476" s="17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</row>
    <row r="2477" spans="1:7" x14ac:dyDescent="0.25">
      <c r="A2477" s="17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</row>
    <row r="2478" spans="1:7" x14ac:dyDescent="0.25">
      <c r="A2478" s="17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</row>
    <row r="2479" spans="1:7" x14ac:dyDescent="0.25">
      <c r="A2479" s="17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</row>
    <row r="2480" spans="1:7" x14ac:dyDescent="0.25">
      <c r="A2480" s="17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">
        <v>36</v>
      </c>
    </row>
    <row r="2481" spans="1:7" x14ac:dyDescent="0.25">
      <c r="A2481" s="17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57</v>
      </c>
    </row>
    <row r="2482" spans="1:7" x14ac:dyDescent="0.25">
      <c r="A2482" s="17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</row>
    <row r="2483" spans="1:7" x14ac:dyDescent="0.25">
      <c r="A2483" s="17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</row>
    <row r="2484" spans="1:7" x14ac:dyDescent="0.25">
      <c r="A2484" s="17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</row>
    <row r="2485" spans="1:7" x14ac:dyDescent="0.25">
      <c r="A2485" s="17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</row>
    <row r="2486" spans="1:7" x14ac:dyDescent="0.25">
      <c r="A2486" s="17"/>
      <c r="B2486" s="4" t="s">
        <v>2395</v>
      </c>
      <c r="C2486" s="4" t="s">
        <v>14</v>
      </c>
      <c r="D2486" s="4" t="s">
        <v>15</v>
      </c>
      <c r="E2486" s="4" t="s">
        <v>16</v>
      </c>
      <c r="F2486" s="4" t="s">
        <v>14</v>
      </c>
      <c r="G2486" s="5" t="s">
        <v>16</v>
      </c>
    </row>
    <row r="2487" spans="1:7" x14ac:dyDescent="0.25">
      <c r="A2487" s="17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</row>
    <row r="2488" spans="1:7" x14ac:dyDescent="0.25">
      <c r="A2488" s="17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</row>
    <row r="2489" spans="1:7" x14ac:dyDescent="0.25">
      <c r="A2489" s="17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</row>
    <row r="2490" spans="1:7" x14ac:dyDescent="0.25">
      <c r="A2490" s="17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</row>
    <row r="2491" spans="1:7" x14ac:dyDescent="0.25">
      <c r="A2491" s="17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</row>
    <row r="2492" spans="1:7" x14ac:dyDescent="0.25">
      <c r="A2492" s="17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</row>
    <row r="2493" spans="1:7" x14ac:dyDescent="0.25">
      <c r="A2493" s="17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</row>
    <row r="2494" spans="1:7" x14ac:dyDescent="0.25">
      <c r="A2494" s="17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</row>
    <row r="2495" spans="1:7" x14ac:dyDescent="0.25">
      <c r="A2495" s="17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</row>
    <row r="2496" spans="1:7" x14ac:dyDescent="0.25">
      <c r="A2496" s="17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</row>
    <row r="2497" spans="1:7" x14ac:dyDescent="0.25">
      <c r="A2497" s="17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</row>
    <row r="2498" spans="1:7" x14ac:dyDescent="0.25">
      <c r="A2498" s="17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</row>
    <row r="2499" spans="1:7" x14ac:dyDescent="0.25">
      <c r="A2499" s="17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</row>
    <row r="2500" spans="1:7" x14ac:dyDescent="0.25">
      <c r="A2500" s="17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</row>
    <row r="2501" spans="1:7" x14ac:dyDescent="0.25">
      <c r="A2501" s="17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</row>
    <row r="2502" spans="1:7" x14ac:dyDescent="0.25">
      <c r="A2502" s="17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</row>
    <row r="2503" spans="1:7" x14ac:dyDescent="0.25">
      <c r="A2503" s="17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</row>
    <row r="2504" spans="1:7" x14ac:dyDescent="0.25">
      <c r="A2504" s="17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</row>
    <row r="2505" spans="1:7" x14ac:dyDescent="0.25">
      <c r="A2505" s="17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</row>
    <row r="2506" spans="1:7" x14ac:dyDescent="0.25">
      <c r="A2506" s="17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</row>
    <row r="2507" spans="1:7" x14ac:dyDescent="0.25">
      <c r="A2507" s="17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</row>
    <row r="2508" spans="1:7" x14ac:dyDescent="0.25">
      <c r="A2508" s="17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</row>
    <row r="2509" spans="1:7" x14ac:dyDescent="0.25">
      <c r="A2509" s="17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</row>
    <row r="2510" spans="1:7" x14ac:dyDescent="0.25">
      <c r="A2510" s="17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</row>
    <row r="2511" spans="1:7" x14ac:dyDescent="0.25">
      <c r="A2511" s="17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</row>
    <row r="2512" spans="1:7" x14ac:dyDescent="0.25">
      <c r="A2512" s="17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</row>
    <row r="2513" spans="1:7" x14ac:dyDescent="0.25">
      <c r="A2513" s="17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</row>
    <row r="2514" spans="1:7" x14ac:dyDescent="0.25">
      <c r="A2514" s="17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</row>
    <row r="2515" spans="1:7" x14ac:dyDescent="0.25">
      <c r="A2515" s="17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">
        <v>11</v>
      </c>
    </row>
    <row r="2516" spans="1:7" x14ac:dyDescent="0.25">
      <c r="A2516" s="17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</row>
    <row r="2517" spans="1:7" x14ac:dyDescent="0.25">
      <c r="A2517" s="17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</row>
    <row r="2518" spans="1:7" x14ac:dyDescent="0.25">
      <c r="A2518" s="17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</row>
    <row r="2519" spans="1:7" x14ac:dyDescent="0.25">
      <c r="A2519" s="17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</row>
    <row r="2520" spans="1:7" x14ac:dyDescent="0.25">
      <c r="A2520" s="17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</row>
    <row r="2521" spans="1:7" x14ac:dyDescent="0.25">
      <c r="A2521" s="17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</row>
    <row r="2522" spans="1:7" x14ac:dyDescent="0.25">
      <c r="A2522" s="17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</row>
    <row r="2523" spans="1:7" x14ac:dyDescent="0.25">
      <c r="A2523" s="17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</row>
    <row r="2524" spans="1:7" x14ac:dyDescent="0.25">
      <c r="A2524" s="17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20</v>
      </c>
    </row>
    <row r="2525" spans="1:7" x14ac:dyDescent="0.25">
      <c r="A2525" s="17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</row>
    <row r="2526" spans="1:7" x14ac:dyDescent="0.25">
      <c r="A2526" s="17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</row>
    <row r="2527" spans="1:7" x14ac:dyDescent="0.25">
      <c r="A2527" s="17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</row>
    <row r="2528" spans="1:7" x14ac:dyDescent="0.25">
      <c r="A2528" s="17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</row>
    <row r="2529" spans="1:7" x14ac:dyDescent="0.25">
      <c r="A2529" s="17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</row>
    <row r="2530" spans="1:7" x14ac:dyDescent="0.25">
      <c r="A2530" s="17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</row>
    <row r="2531" spans="1:7" x14ac:dyDescent="0.25">
      <c r="A2531" s="17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</row>
    <row r="2532" spans="1:7" x14ac:dyDescent="0.25">
      <c r="A2532" s="17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26</v>
      </c>
    </row>
    <row r="2533" spans="1:7" x14ac:dyDescent="0.25">
      <c r="A2533" s="17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</row>
    <row r="2534" spans="1:7" x14ac:dyDescent="0.25">
      <c r="A2534" s="17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</row>
    <row r="2535" spans="1:7" x14ac:dyDescent="0.25">
      <c r="A2535" s="17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</row>
    <row r="2536" spans="1:7" x14ac:dyDescent="0.25">
      <c r="A2536" s="17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</row>
    <row r="2537" spans="1:7" x14ac:dyDescent="0.25">
      <c r="A2537" s="17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</row>
    <row r="2538" spans="1:7" x14ac:dyDescent="0.25">
      <c r="A2538" s="17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</row>
    <row r="2539" spans="1:7" x14ac:dyDescent="0.25">
      <c r="A2539" s="17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</row>
    <row r="2540" spans="1:7" x14ac:dyDescent="0.25">
      <c r="A2540" s="17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</row>
    <row r="2541" spans="1:7" x14ac:dyDescent="0.25">
      <c r="A2541" s="17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</row>
    <row r="2542" spans="1:7" x14ac:dyDescent="0.25">
      <c r="A2542" s="17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</row>
    <row r="2543" spans="1:7" x14ac:dyDescent="0.25">
      <c r="A2543" s="17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</row>
    <row r="2544" spans="1:7" x14ac:dyDescent="0.25">
      <c r="A2544" s="17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</row>
    <row r="2545" spans="1:7" x14ac:dyDescent="0.25">
      <c r="A2545" s="17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</row>
    <row r="2546" spans="1:7" x14ac:dyDescent="0.25">
      <c r="A2546" s="17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</row>
    <row r="2547" spans="1:7" x14ac:dyDescent="0.25">
      <c r="A2547" s="17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</row>
    <row r="2548" spans="1:7" x14ac:dyDescent="0.25">
      <c r="A2548" s="17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</row>
    <row r="2549" spans="1:7" x14ac:dyDescent="0.25">
      <c r="A2549" s="17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</row>
    <row r="2550" spans="1:7" x14ac:dyDescent="0.25">
      <c r="A2550" s="17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</row>
    <row r="2551" spans="1:7" x14ac:dyDescent="0.25">
      <c r="A2551" s="17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</row>
    <row r="2552" spans="1:7" x14ac:dyDescent="0.25">
      <c r="A2552" s="17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</row>
    <row r="2553" spans="1:7" x14ac:dyDescent="0.25">
      <c r="A2553" s="17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</row>
    <row r="2554" spans="1:7" x14ac:dyDescent="0.25">
      <c r="A2554" s="17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</row>
    <row r="2555" spans="1:7" x14ac:dyDescent="0.25">
      <c r="A2555" s="17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</row>
    <row r="2556" spans="1:7" x14ac:dyDescent="0.25">
      <c r="A2556" s="17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</row>
    <row r="2557" spans="1:7" x14ac:dyDescent="0.25">
      <c r="A2557" s="17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</row>
    <row r="2558" spans="1:7" x14ac:dyDescent="0.25">
      <c r="A2558" s="17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</row>
    <row r="2559" spans="1:7" x14ac:dyDescent="0.25">
      <c r="A2559" s="17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</row>
    <row r="2560" spans="1:7" x14ac:dyDescent="0.25">
      <c r="A2560" s="17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</row>
    <row r="2561" spans="1:7" x14ac:dyDescent="0.25">
      <c r="A2561" s="17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</row>
    <row r="2562" spans="1:7" x14ac:dyDescent="0.25">
      <c r="A2562" s="17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</row>
    <row r="2563" spans="1:7" x14ac:dyDescent="0.25">
      <c r="A2563" s="17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</row>
    <row r="2564" spans="1:7" x14ac:dyDescent="0.25">
      <c r="A2564" s="17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</row>
    <row r="2565" spans="1:7" x14ac:dyDescent="0.25">
      <c r="A2565" s="17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</row>
    <row r="2566" spans="1:7" x14ac:dyDescent="0.25">
      <c r="A2566" s="17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16</v>
      </c>
    </row>
    <row r="2567" spans="1:7" x14ac:dyDescent="0.25">
      <c r="A2567" s="17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</row>
    <row r="2568" spans="1:7" x14ac:dyDescent="0.25">
      <c r="A2568" s="17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</row>
    <row r="2569" spans="1:7" x14ac:dyDescent="0.25">
      <c r="A2569" s="17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57</v>
      </c>
    </row>
    <row r="2570" spans="1:7" x14ac:dyDescent="0.25">
      <c r="A2570" s="17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</row>
    <row r="2571" spans="1:7" x14ac:dyDescent="0.25">
      <c r="A2571" s="17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</row>
    <row r="2572" spans="1:7" x14ac:dyDescent="0.25">
      <c r="A2572" s="17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</row>
    <row r="2573" spans="1:7" x14ac:dyDescent="0.25">
      <c r="A2573" s="17"/>
      <c r="B2573" s="4" t="s">
        <v>2483</v>
      </c>
      <c r="C2573" s="4" t="s">
        <v>109</v>
      </c>
      <c r="D2573" s="4" t="s">
        <v>110</v>
      </c>
      <c r="E2573" s="4" t="s">
        <v>111</v>
      </c>
      <c r="F2573" s="4" t="s">
        <v>112</v>
      </c>
      <c r="G2573" s="5" t="s">
        <v>111</v>
      </c>
    </row>
    <row r="2574" spans="1:7" x14ac:dyDescent="0.25">
      <c r="A2574" s="17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</row>
    <row r="2575" spans="1:7" x14ac:dyDescent="0.25">
      <c r="A2575" s="17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</row>
    <row r="2576" spans="1:7" x14ac:dyDescent="0.25">
      <c r="A2576" s="17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</row>
    <row r="2577" spans="1:7" x14ac:dyDescent="0.25">
      <c r="A2577" s="17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</row>
    <row r="2578" spans="1:7" x14ac:dyDescent="0.25">
      <c r="A2578" s="17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</row>
    <row r="2579" spans="1:7" x14ac:dyDescent="0.25">
      <c r="A2579" s="17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</row>
    <row r="2580" spans="1:7" x14ac:dyDescent="0.25">
      <c r="A2580" s="17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</row>
    <row r="2581" spans="1:7" x14ac:dyDescent="0.25">
      <c r="A2581" s="17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</row>
    <row r="2582" spans="1:7" x14ac:dyDescent="0.25">
      <c r="A2582" s="17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</row>
    <row r="2583" spans="1:7" x14ac:dyDescent="0.25">
      <c r="A2583" s="17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</row>
    <row r="2584" spans="1:7" x14ac:dyDescent="0.25">
      <c r="A2584" s="17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</row>
    <row r="2585" spans="1:7" x14ac:dyDescent="0.25">
      <c r="A2585" s="17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</row>
    <row r="2586" spans="1:7" x14ac:dyDescent="0.25">
      <c r="A2586" s="17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</row>
    <row r="2587" spans="1:7" x14ac:dyDescent="0.25">
      <c r="A2587" s="17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</row>
    <row r="2588" spans="1:7" x14ac:dyDescent="0.25">
      <c r="A2588" s="17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</row>
    <row r="2589" spans="1:7" x14ac:dyDescent="0.25">
      <c r="A2589" s="17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</row>
    <row r="2590" spans="1:7" x14ac:dyDescent="0.25">
      <c r="A2590" s="17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</row>
    <row r="2591" spans="1:7" x14ac:dyDescent="0.25">
      <c r="A2591" s="17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</row>
    <row r="2592" spans="1:7" x14ac:dyDescent="0.25">
      <c r="A2592" s="17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</row>
    <row r="2593" spans="1:7" x14ac:dyDescent="0.25">
      <c r="A2593" s="17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</row>
    <row r="2594" spans="1:7" x14ac:dyDescent="0.25">
      <c r="A2594" s="17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</row>
    <row r="2595" spans="1:7" x14ac:dyDescent="0.25">
      <c r="A2595" s="17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</row>
    <row r="2596" spans="1:7" x14ac:dyDescent="0.25">
      <c r="A2596" s="17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</row>
    <row r="2597" spans="1:7" x14ac:dyDescent="0.25">
      <c r="A2597" s="17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</row>
    <row r="2598" spans="1:7" x14ac:dyDescent="0.25">
      <c r="A2598" s="17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</row>
    <row r="2599" spans="1:7" x14ac:dyDescent="0.25">
      <c r="A2599" s="17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</row>
    <row r="2600" spans="1:7" x14ac:dyDescent="0.25">
      <c r="A2600" s="17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</row>
    <row r="2601" spans="1:7" x14ac:dyDescent="0.25">
      <c r="A2601" s="17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">
        <v>20</v>
      </c>
    </row>
    <row r="2602" spans="1:7" x14ac:dyDescent="0.25">
      <c r="A2602" s="17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</row>
    <row r="2603" spans="1:7" x14ac:dyDescent="0.25">
      <c r="A2603" s="17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</row>
    <row r="2604" spans="1:7" x14ac:dyDescent="0.25">
      <c r="A2604" s="17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</row>
    <row r="2605" spans="1:7" x14ac:dyDescent="0.25">
      <c r="A2605" s="17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</row>
    <row r="2606" spans="1:7" x14ac:dyDescent="0.25">
      <c r="A2606" s="17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</row>
    <row r="2607" spans="1:7" x14ac:dyDescent="0.25">
      <c r="A2607" s="17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</row>
    <row r="2608" spans="1:7" x14ac:dyDescent="0.25">
      <c r="A2608" s="17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</row>
    <row r="2609" spans="1:7" x14ac:dyDescent="0.25">
      <c r="A2609" s="17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</row>
    <row r="2610" spans="1:7" x14ac:dyDescent="0.25">
      <c r="A2610" s="17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</row>
    <row r="2611" spans="1:7" x14ac:dyDescent="0.25">
      <c r="A2611" s="17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</row>
    <row r="2612" spans="1:7" x14ac:dyDescent="0.25">
      <c r="A2612" s="17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</row>
    <row r="2613" spans="1:7" x14ac:dyDescent="0.25">
      <c r="A2613" s="17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</row>
    <row r="2614" spans="1:7" x14ac:dyDescent="0.25">
      <c r="A2614" s="17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</row>
    <row r="2615" spans="1:7" x14ac:dyDescent="0.25">
      <c r="A2615" s="17"/>
      <c r="B2615" s="4" t="s">
        <v>2525</v>
      </c>
      <c r="C2615" s="4" t="s">
        <v>549</v>
      </c>
      <c r="D2615" s="4" t="s">
        <v>549</v>
      </c>
      <c r="E2615" s="4" t="s">
        <v>549</v>
      </c>
      <c r="F2615" s="4" t="s">
        <v>1090</v>
      </c>
      <c r="G2615" s="5" t="s">
        <v>549</v>
      </c>
    </row>
    <row r="2616" spans="1:7" x14ac:dyDescent="0.25">
      <c r="A2616" s="17"/>
      <c r="B2616" s="4" t="s">
        <v>2526</v>
      </c>
      <c r="C2616" s="4" t="s">
        <v>14</v>
      </c>
      <c r="D2616" s="4" t="s">
        <v>15</v>
      </c>
      <c r="E2616" s="4" t="s">
        <v>16</v>
      </c>
      <c r="F2616" s="4" t="s">
        <v>14</v>
      </c>
      <c r="G2616" s="5" t="s">
        <v>16</v>
      </c>
    </row>
    <row r="2617" spans="1:7" x14ac:dyDescent="0.25">
      <c r="A2617" s="17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</row>
    <row r="2618" spans="1:7" x14ac:dyDescent="0.25">
      <c r="A2618" s="17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</row>
    <row r="2619" spans="1:7" x14ac:dyDescent="0.25">
      <c r="A2619" s="17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</row>
    <row r="2620" spans="1:7" x14ac:dyDescent="0.25">
      <c r="A2620" s="17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</row>
    <row r="2621" spans="1:7" x14ac:dyDescent="0.25">
      <c r="A2621" s="17"/>
      <c r="B2621" s="4" t="s">
        <v>2531</v>
      </c>
      <c r="C2621" s="4" t="s">
        <v>35</v>
      </c>
      <c r="D2621" s="4" t="s">
        <v>35</v>
      </c>
      <c r="E2621" s="4" t="s">
        <v>57</v>
      </c>
      <c r="F2621" s="4" t="s">
        <v>1822</v>
      </c>
      <c r="G2621" s="5" t="s">
        <v>11</v>
      </c>
    </row>
    <row r="2622" spans="1:7" x14ac:dyDescent="0.25">
      <c r="A2622" s="17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</row>
    <row r="2623" spans="1:7" x14ac:dyDescent="0.25">
      <c r="A2623" s="17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</row>
    <row r="2624" spans="1:7" x14ac:dyDescent="0.25">
      <c r="A2624" s="17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</row>
    <row r="2625" spans="1:7" x14ac:dyDescent="0.25">
      <c r="A2625" s="17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</row>
    <row r="2626" spans="1:7" x14ac:dyDescent="0.25">
      <c r="A2626" s="17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</row>
    <row r="2627" spans="1:7" x14ac:dyDescent="0.25">
      <c r="A2627" s="17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</row>
    <row r="2628" spans="1:7" x14ac:dyDescent="0.25">
      <c r="A2628" s="17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</row>
    <row r="2629" spans="1:7" x14ac:dyDescent="0.25">
      <c r="A2629" s="17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</row>
    <row r="2630" spans="1:7" x14ac:dyDescent="0.25">
      <c r="A2630" s="17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</row>
    <row r="2631" spans="1:7" x14ac:dyDescent="0.25">
      <c r="A2631" s="17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</row>
    <row r="2632" spans="1:7" x14ac:dyDescent="0.25">
      <c r="A2632" s="17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</row>
    <row r="2633" spans="1:7" x14ac:dyDescent="0.25">
      <c r="A2633" s="17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</row>
    <row r="2634" spans="1:7" x14ac:dyDescent="0.25">
      <c r="A2634" s="17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</row>
    <row r="2635" spans="1:7" x14ac:dyDescent="0.25">
      <c r="A2635" s="17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</row>
    <row r="2636" spans="1:7" x14ac:dyDescent="0.25">
      <c r="A2636" s="17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</row>
    <row r="2637" spans="1:7" x14ac:dyDescent="0.25">
      <c r="A2637" s="17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</row>
    <row r="2638" spans="1:7" x14ac:dyDescent="0.25">
      <c r="A2638" s="17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</row>
    <row r="2639" spans="1:7" x14ac:dyDescent="0.25">
      <c r="A2639" s="17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</row>
    <row r="2640" spans="1:7" x14ac:dyDescent="0.25">
      <c r="A2640" s="17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</row>
    <row r="2641" spans="1:7" x14ac:dyDescent="0.25">
      <c r="A2641" s="17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</row>
    <row r="2642" spans="1:7" x14ac:dyDescent="0.25">
      <c r="A2642" s="17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</row>
    <row r="2643" spans="1:7" x14ac:dyDescent="0.25">
      <c r="A2643" s="17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</row>
    <row r="2644" spans="1:7" x14ac:dyDescent="0.25">
      <c r="A2644" s="17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</row>
    <row r="2645" spans="1:7" x14ac:dyDescent="0.25">
      <c r="A2645" s="17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</row>
    <row r="2646" spans="1:7" x14ac:dyDescent="0.25">
      <c r="A2646" s="17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</row>
    <row r="2647" spans="1:7" x14ac:dyDescent="0.25">
      <c r="A2647" s="17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</row>
    <row r="2648" spans="1:7" x14ac:dyDescent="0.25">
      <c r="A2648" s="17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</row>
    <row r="2649" spans="1:7" x14ac:dyDescent="0.25">
      <c r="A2649" s="17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11</v>
      </c>
    </row>
    <row r="2650" spans="1:7" x14ac:dyDescent="0.25">
      <c r="A2650" s="17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</row>
    <row r="2651" spans="1:7" x14ac:dyDescent="0.25">
      <c r="A2651" s="17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</row>
    <row r="2652" spans="1:7" x14ac:dyDescent="0.25">
      <c r="A2652" s="17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</row>
    <row r="2653" spans="1:7" x14ac:dyDescent="0.25">
      <c r="A2653" s="17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</row>
    <row r="2654" spans="1:7" x14ac:dyDescent="0.25">
      <c r="A2654" s="17"/>
      <c r="B2654" s="4" t="s">
        <v>2564</v>
      </c>
      <c r="C2654" s="4" t="s">
        <v>11</v>
      </c>
      <c r="D2654" s="4" t="s">
        <v>11</v>
      </c>
      <c r="E2654" s="4" t="s">
        <v>11</v>
      </c>
      <c r="F2654" s="4" t="s">
        <v>2049</v>
      </c>
      <c r="G2654" s="5" t="s">
        <v>11</v>
      </c>
    </row>
    <row r="2655" spans="1:7" x14ac:dyDescent="0.25">
      <c r="A2655" s="17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</row>
    <row r="2656" spans="1:7" x14ac:dyDescent="0.25">
      <c r="A2656" s="17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11</v>
      </c>
    </row>
    <row r="2657" spans="1:7" x14ac:dyDescent="0.25">
      <c r="A2657" s="17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</row>
    <row r="2658" spans="1:7" x14ac:dyDescent="0.25">
      <c r="A2658" s="17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</row>
    <row r="2659" spans="1:7" x14ac:dyDescent="0.25">
      <c r="A2659" s="17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">
        <v>11</v>
      </c>
    </row>
    <row r="2660" spans="1:7" x14ac:dyDescent="0.25">
      <c r="A2660" s="17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">
        <v>163</v>
      </c>
    </row>
    <row r="2661" spans="1:7" x14ac:dyDescent="0.25">
      <c r="A2661" s="17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</row>
    <row r="2662" spans="1:7" x14ac:dyDescent="0.25">
      <c r="A2662" s="17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</row>
    <row r="2663" spans="1:7" x14ac:dyDescent="0.25">
      <c r="A2663" s="17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</row>
    <row r="2664" spans="1:7" x14ac:dyDescent="0.25">
      <c r="A2664" s="17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</row>
    <row r="2665" spans="1:7" x14ac:dyDescent="0.25">
      <c r="A2665" s="17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</row>
    <row r="2666" spans="1:7" x14ac:dyDescent="0.25">
      <c r="A2666" s="17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</row>
    <row r="2667" spans="1:7" x14ac:dyDescent="0.25">
      <c r="A2667" s="17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</row>
    <row r="2668" spans="1:7" x14ac:dyDescent="0.25">
      <c r="A2668" s="17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</row>
    <row r="2669" spans="1:7" x14ac:dyDescent="0.25">
      <c r="A2669" s="17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</row>
    <row r="2670" spans="1:7" x14ac:dyDescent="0.25">
      <c r="A2670" s="17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">
        <v>111</v>
      </c>
    </row>
    <row r="2671" spans="1:7" x14ac:dyDescent="0.25">
      <c r="A2671" s="17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</row>
    <row r="2672" spans="1:7" x14ac:dyDescent="0.25">
      <c r="A2672" s="17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</row>
    <row r="2673" spans="1:7" x14ac:dyDescent="0.25">
      <c r="A2673" s="17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</row>
    <row r="2674" spans="1:7" x14ac:dyDescent="0.25">
      <c r="A2674" s="17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</row>
    <row r="2675" spans="1:7" x14ac:dyDescent="0.25">
      <c r="A2675" s="17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</row>
    <row r="2676" spans="1:7" x14ac:dyDescent="0.25">
      <c r="A2676" s="17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</row>
    <row r="2677" spans="1:7" x14ac:dyDescent="0.25">
      <c r="A2677" s="17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</row>
    <row r="2678" spans="1:7" x14ac:dyDescent="0.25">
      <c r="A2678" s="17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</row>
    <row r="2679" spans="1:7" x14ac:dyDescent="0.25">
      <c r="A2679" s="17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</row>
    <row r="2680" spans="1:7" x14ac:dyDescent="0.25">
      <c r="A2680" s="17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26</v>
      </c>
    </row>
    <row r="2681" spans="1:7" x14ac:dyDescent="0.25">
      <c r="A2681" s="17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</row>
    <row r="2682" spans="1:7" x14ac:dyDescent="0.25">
      <c r="A2682" s="17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</row>
    <row r="2683" spans="1:7" x14ac:dyDescent="0.25">
      <c r="A2683" s="17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</row>
    <row r="2684" spans="1:7" x14ac:dyDescent="0.25">
      <c r="A2684" s="17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</row>
    <row r="2685" spans="1:7" x14ac:dyDescent="0.25">
      <c r="A2685" s="17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</row>
    <row r="2686" spans="1:7" x14ac:dyDescent="0.25">
      <c r="A2686" s="17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</row>
    <row r="2687" spans="1:7" x14ac:dyDescent="0.25">
      <c r="A2687" s="17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</row>
    <row r="2688" spans="1:7" x14ac:dyDescent="0.25">
      <c r="A2688" s="17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</row>
    <row r="2689" spans="1:7" x14ac:dyDescent="0.25">
      <c r="A2689" s="17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</row>
    <row r="2690" spans="1:7" x14ac:dyDescent="0.25">
      <c r="A2690" s="17"/>
      <c r="B2690" s="4" t="s">
        <v>2600</v>
      </c>
      <c r="C2690" s="4" t="s">
        <v>11</v>
      </c>
      <c r="D2690" s="4" t="s">
        <v>11</v>
      </c>
      <c r="E2690" s="4" t="s">
        <v>11</v>
      </c>
      <c r="F2690" s="4" t="s">
        <v>2049</v>
      </c>
      <c r="G2690" s="5" t="s">
        <v>11</v>
      </c>
    </row>
    <row r="2691" spans="1:7" x14ac:dyDescent="0.25">
      <c r="A2691" s="17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</row>
    <row r="2692" spans="1:7" x14ac:dyDescent="0.25">
      <c r="A2692" s="17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</row>
    <row r="2693" spans="1:7" x14ac:dyDescent="0.25">
      <c r="A2693" s="17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</row>
    <row r="2694" spans="1:7" x14ac:dyDescent="0.25">
      <c r="A2694" s="17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</row>
    <row r="2695" spans="1:7" x14ac:dyDescent="0.25">
      <c r="A2695" s="17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</row>
    <row r="2696" spans="1:7" x14ac:dyDescent="0.25">
      <c r="A2696" s="17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</row>
    <row r="2697" spans="1:7" x14ac:dyDescent="0.25">
      <c r="A2697" s="17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</row>
    <row r="2698" spans="1:7" x14ac:dyDescent="0.25">
      <c r="A2698" s="17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</row>
    <row r="2699" spans="1:7" x14ac:dyDescent="0.25">
      <c r="A2699" s="17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</row>
    <row r="2700" spans="1:7" x14ac:dyDescent="0.25">
      <c r="A2700" s="17"/>
      <c r="B2700" s="4" t="s">
        <v>2610</v>
      </c>
      <c r="C2700" s="4" t="s">
        <v>11</v>
      </c>
      <c r="D2700" s="4" t="s">
        <v>11</v>
      </c>
      <c r="E2700" s="4" t="s">
        <v>11</v>
      </c>
      <c r="F2700" s="4" t="s">
        <v>2014</v>
      </c>
      <c r="G2700" s="5" t="s">
        <v>11</v>
      </c>
    </row>
    <row r="2701" spans="1:7" x14ac:dyDescent="0.25">
      <c r="A2701" s="17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</row>
    <row r="2702" spans="1:7" x14ac:dyDescent="0.25">
      <c r="A2702" s="17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163</v>
      </c>
    </row>
    <row r="2703" spans="1:7" x14ac:dyDescent="0.25">
      <c r="A2703" s="17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</row>
    <row r="2704" spans="1:7" x14ac:dyDescent="0.25">
      <c r="A2704" s="17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</row>
    <row r="2705" spans="1:7" x14ac:dyDescent="0.25">
      <c r="A2705" s="17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</row>
    <row r="2706" spans="1:7" x14ac:dyDescent="0.25">
      <c r="A2706" s="17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</row>
    <row r="2707" spans="1:7" x14ac:dyDescent="0.25">
      <c r="A2707" s="17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</row>
    <row r="2708" spans="1:7" x14ac:dyDescent="0.25">
      <c r="A2708" s="17"/>
      <c r="B2708" s="4" t="s">
        <v>2618</v>
      </c>
      <c r="C2708" s="4" t="s">
        <v>35</v>
      </c>
      <c r="D2708" s="4" t="s">
        <v>35</v>
      </c>
      <c r="E2708" s="4" t="s">
        <v>36</v>
      </c>
      <c r="F2708" s="4" t="s">
        <v>21</v>
      </c>
      <c r="G2708" s="5" t="s">
        <v>36</v>
      </c>
    </row>
    <row r="2709" spans="1:7" x14ac:dyDescent="0.25">
      <c r="A2709" s="17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</row>
    <row r="2710" spans="1:7" x14ac:dyDescent="0.25">
      <c r="A2710" s="17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</row>
    <row r="2711" spans="1:7" x14ac:dyDescent="0.25">
      <c r="A2711" s="17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</row>
    <row r="2712" spans="1:7" x14ac:dyDescent="0.25">
      <c r="A2712" s="17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">
        <v>75</v>
      </c>
    </row>
    <row r="2713" spans="1:7" x14ac:dyDescent="0.25">
      <c r="A2713" s="17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</row>
    <row r="2714" spans="1:7" x14ac:dyDescent="0.25">
      <c r="A2714" s="17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</row>
    <row r="2715" spans="1:7" x14ac:dyDescent="0.25">
      <c r="A2715" s="17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</row>
    <row r="2716" spans="1:7" x14ac:dyDescent="0.25">
      <c r="A2716" s="17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</row>
    <row r="2717" spans="1:7" x14ac:dyDescent="0.25">
      <c r="A2717" s="17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</row>
    <row r="2718" spans="1:7" x14ac:dyDescent="0.25">
      <c r="A2718" s="17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</row>
    <row r="2719" spans="1:7" x14ac:dyDescent="0.25">
      <c r="A2719" s="17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</row>
    <row r="2720" spans="1:7" x14ac:dyDescent="0.25">
      <c r="A2720" s="17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</row>
    <row r="2721" spans="1:7" x14ac:dyDescent="0.25">
      <c r="A2721" s="17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</row>
    <row r="2722" spans="1:7" x14ac:dyDescent="0.25">
      <c r="A2722" s="17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</row>
    <row r="2723" spans="1:7" x14ac:dyDescent="0.25">
      <c r="A2723" s="17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</row>
    <row r="2724" spans="1:7" x14ac:dyDescent="0.25">
      <c r="A2724" s="17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</row>
    <row r="2725" spans="1:7" x14ac:dyDescent="0.25">
      <c r="A2725" s="17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</row>
    <row r="2726" spans="1:7" x14ac:dyDescent="0.25">
      <c r="A2726" s="17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</row>
    <row r="2727" spans="1:7" x14ac:dyDescent="0.25">
      <c r="A2727" s="17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</row>
    <row r="2728" spans="1:7" x14ac:dyDescent="0.25">
      <c r="A2728" s="17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</row>
    <row r="2729" spans="1:7" x14ac:dyDescent="0.25">
      <c r="A2729" s="17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</row>
    <row r="2730" spans="1:7" x14ac:dyDescent="0.25">
      <c r="A2730" s="17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</row>
    <row r="2731" spans="1:7" x14ac:dyDescent="0.25">
      <c r="A2731" s="17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</row>
    <row r="2732" spans="1:7" x14ac:dyDescent="0.25">
      <c r="A2732" s="17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</row>
    <row r="2733" spans="1:7" x14ac:dyDescent="0.25">
      <c r="A2733" s="17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</row>
    <row r="2734" spans="1:7" x14ac:dyDescent="0.25">
      <c r="A2734" s="17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</row>
    <row r="2735" spans="1:7" x14ac:dyDescent="0.25">
      <c r="A2735" s="17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</row>
    <row r="2736" spans="1:7" x14ac:dyDescent="0.25">
      <c r="A2736" s="17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</row>
    <row r="2737" spans="1:7" x14ac:dyDescent="0.25">
      <c r="A2737" s="17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</row>
    <row r="2738" spans="1:7" x14ac:dyDescent="0.25">
      <c r="A2738" s="17"/>
      <c r="B2738" s="4" t="s">
        <v>2648</v>
      </c>
      <c r="C2738" s="4" t="s">
        <v>14</v>
      </c>
      <c r="D2738" s="4" t="s">
        <v>15</v>
      </c>
      <c r="E2738" s="4" t="s">
        <v>16</v>
      </c>
      <c r="F2738" s="4" t="s">
        <v>14</v>
      </c>
      <c r="G2738" s="5" t="s">
        <v>16</v>
      </c>
    </row>
    <row r="2739" spans="1:7" x14ac:dyDescent="0.25">
      <c r="A2739" s="17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</row>
    <row r="2740" spans="1:7" x14ac:dyDescent="0.25">
      <c r="A2740" s="17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</row>
    <row r="2741" spans="1:7" x14ac:dyDescent="0.25">
      <c r="A2741" s="17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</row>
    <row r="2742" spans="1:7" x14ac:dyDescent="0.25">
      <c r="A2742" s="17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</row>
    <row r="2743" spans="1:7" x14ac:dyDescent="0.25">
      <c r="A2743" s="17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</row>
    <row r="2744" spans="1:7" x14ac:dyDescent="0.25">
      <c r="A2744" s="17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</row>
    <row r="2745" spans="1:7" x14ac:dyDescent="0.25">
      <c r="A2745" s="17"/>
      <c r="B2745" s="4" t="s">
        <v>2655</v>
      </c>
      <c r="C2745" s="4" t="s">
        <v>35</v>
      </c>
      <c r="D2745" s="4" t="s">
        <v>35</v>
      </c>
      <c r="E2745" s="4" t="s">
        <v>57</v>
      </c>
      <c r="F2745" s="4" t="s">
        <v>1931</v>
      </c>
      <c r="G2745" s="5" t="s">
        <v>57</v>
      </c>
    </row>
    <row r="2746" spans="1:7" x14ac:dyDescent="0.25">
      <c r="A2746" s="17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</row>
    <row r="2747" spans="1:7" x14ac:dyDescent="0.25">
      <c r="A2747" s="17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</row>
    <row r="2748" spans="1:7" x14ac:dyDescent="0.25">
      <c r="A2748" s="17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</row>
    <row r="2749" spans="1:7" x14ac:dyDescent="0.25">
      <c r="A2749" s="17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</row>
    <row r="2750" spans="1:7" x14ac:dyDescent="0.25">
      <c r="A2750" s="17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36</v>
      </c>
    </row>
    <row r="2751" spans="1:7" x14ac:dyDescent="0.25">
      <c r="A2751" s="17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</row>
    <row r="2752" spans="1:7" x14ac:dyDescent="0.25">
      <c r="A2752" s="17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</row>
    <row r="2753" spans="1:7" x14ac:dyDescent="0.25">
      <c r="A2753" s="17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</row>
    <row r="2754" spans="1:7" x14ac:dyDescent="0.25">
      <c r="A2754" s="17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">
        <v>11</v>
      </c>
    </row>
    <row r="2755" spans="1:7" x14ac:dyDescent="0.25">
      <c r="A2755" s="17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</row>
    <row r="2756" spans="1:7" x14ac:dyDescent="0.25">
      <c r="A2756" s="17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</row>
    <row r="2757" spans="1:7" x14ac:dyDescent="0.25">
      <c r="A2757" s="17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</row>
    <row r="2758" spans="1:7" x14ac:dyDescent="0.25">
      <c r="A2758" s="17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</row>
    <row r="2759" spans="1:7" x14ac:dyDescent="0.25">
      <c r="A2759" s="17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</row>
    <row r="2760" spans="1:7" x14ac:dyDescent="0.25">
      <c r="A2760" s="17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</row>
    <row r="2761" spans="1:7" x14ac:dyDescent="0.25">
      <c r="A2761" s="17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</row>
    <row r="2762" spans="1:7" x14ac:dyDescent="0.25">
      <c r="A2762" s="17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</row>
    <row r="2763" spans="1:7" x14ac:dyDescent="0.25">
      <c r="A2763" s="17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">
        <v>11</v>
      </c>
    </row>
    <row r="2764" spans="1:7" x14ac:dyDescent="0.25">
      <c r="A2764" s="17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">
        <v>36</v>
      </c>
    </row>
    <row r="2765" spans="1:7" x14ac:dyDescent="0.25">
      <c r="A2765" s="17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</row>
    <row r="2766" spans="1:7" x14ac:dyDescent="0.25">
      <c r="A2766" s="17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</row>
    <row r="2767" spans="1:7" x14ac:dyDescent="0.25">
      <c r="A2767" s="17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</row>
    <row r="2768" spans="1:7" x14ac:dyDescent="0.25">
      <c r="A2768" s="17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</row>
    <row r="2769" spans="1:7" x14ac:dyDescent="0.25">
      <c r="A2769" s="17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">
        <v>36</v>
      </c>
    </row>
    <row r="2770" spans="1:7" x14ac:dyDescent="0.25">
      <c r="A2770" s="17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</row>
    <row r="2771" spans="1:7" x14ac:dyDescent="0.25">
      <c r="A2771" s="17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</row>
    <row r="2772" spans="1:7" x14ac:dyDescent="0.25">
      <c r="A2772" s="17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</row>
    <row r="2773" spans="1:7" x14ac:dyDescent="0.25">
      <c r="A2773" s="17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</row>
    <row r="2774" spans="1:7" x14ac:dyDescent="0.25">
      <c r="A2774" s="17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</row>
    <row r="2775" spans="1:7" x14ac:dyDescent="0.25">
      <c r="A2775" s="17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</row>
    <row r="2776" spans="1:7" x14ac:dyDescent="0.25">
      <c r="A2776" s="17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</row>
    <row r="2777" spans="1:7" x14ac:dyDescent="0.25">
      <c r="A2777" s="17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</row>
    <row r="2778" spans="1:7" x14ac:dyDescent="0.25">
      <c r="A2778" s="17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</row>
    <row r="2779" spans="1:7" x14ac:dyDescent="0.25">
      <c r="A2779" s="17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</row>
    <row r="2780" spans="1:7" x14ac:dyDescent="0.25">
      <c r="A2780" s="17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</row>
    <row r="2781" spans="1:7" x14ac:dyDescent="0.25">
      <c r="A2781" s="17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</row>
    <row r="2782" spans="1:7" x14ac:dyDescent="0.25">
      <c r="A2782" s="17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</row>
    <row r="2783" spans="1:7" x14ac:dyDescent="0.25">
      <c r="A2783" s="17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</row>
    <row r="2784" spans="1:7" x14ac:dyDescent="0.25">
      <c r="A2784" s="17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</row>
    <row r="2785" spans="1:7" x14ac:dyDescent="0.25">
      <c r="A2785" s="17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</row>
    <row r="2786" spans="1:7" x14ac:dyDescent="0.25">
      <c r="A2786" s="17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</row>
    <row r="2787" spans="1:7" x14ac:dyDescent="0.25">
      <c r="A2787" s="17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</row>
    <row r="2788" spans="1:7" x14ac:dyDescent="0.25">
      <c r="A2788" s="17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</row>
    <row r="2789" spans="1:7" x14ac:dyDescent="0.25">
      <c r="A2789" s="17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</row>
    <row r="2790" spans="1:7" x14ac:dyDescent="0.25">
      <c r="A2790" s="17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</row>
    <row r="2791" spans="1:7" x14ac:dyDescent="0.25">
      <c r="A2791" s="17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</row>
    <row r="2792" spans="1:7" x14ac:dyDescent="0.25">
      <c r="A2792" s="17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</row>
    <row r="2793" spans="1:7" x14ac:dyDescent="0.25">
      <c r="A2793" s="17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11</v>
      </c>
    </row>
    <row r="2794" spans="1:7" x14ac:dyDescent="0.25">
      <c r="A2794" s="17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">
        <v>20</v>
      </c>
    </row>
    <row r="2795" spans="1:7" x14ac:dyDescent="0.25">
      <c r="A2795" s="17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</row>
    <row r="2796" spans="1:7" x14ac:dyDescent="0.25">
      <c r="A2796" s="17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</row>
    <row r="2797" spans="1:7" x14ac:dyDescent="0.25">
      <c r="A2797" s="17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</row>
    <row r="2798" spans="1:7" x14ac:dyDescent="0.25">
      <c r="A2798" s="17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</row>
    <row r="2799" spans="1:7" x14ac:dyDescent="0.25">
      <c r="A2799" s="17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</row>
    <row r="2800" spans="1:7" x14ac:dyDescent="0.25">
      <c r="A2800" s="17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</row>
    <row r="2801" spans="1:7" x14ac:dyDescent="0.25">
      <c r="A2801" s="17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</row>
    <row r="2802" spans="1:7" x14ac:dyDescent="0.25">
      <c r="A2802" s="17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</row>
    <row r="2803" spans="1:7" x14ac:dyDescent="0.25">
      <c r="A2803" s="17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</row>
    <row r="2804" spans="1:7" x14ac:dyDescent="0.25">
      <c r="A2804" s="17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">
        <v>11</v>
      </c>
    </row>
    <row r="2805" spans="1:7" x14ac:dyDescent="0.25">
      <c r="A2805" s="17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</row>
    <row r="2806" spans="1:7" x14ac:dyDescent="0.25">
      <c r="A2806" s="17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</row>
    <row r="2807" spans="1:7" x14ac:dyDescent="0.25">
      <c r="A2807" s="17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</row>
    <row r="2808" spans="1:7" x14ac:dyDescent="0.25">
      <c r="A2808" s="17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</row>
    <row r="2809" spans="1:7" x14ac:dyDescent="0.25">
      <c r="A2809" s="17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</row>
    <row r="2810" spans="1:7" x14ac:dyDescent="0.25">
      <c r="A2810" s="17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</row>
    <row r="2811" spans="1:7" x14ac:dyDescent="0.25">
      <c r="A2811" s="17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</row>
    <row r="2812" spans="1:7" x14ac:dyDescent="0.25">
      <c r="A2812" s="17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</row>
    <row r="2813" spans="1:7" x14ac:dyDescent="0.25">
      <c r="A2813" s="17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</row>
    <row r="2814" spans="1:7" x14ac:dyDescent="0.25">
      <c r="A2814" s="17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</row>
    <row r="2815" spans="1:7" x14ac:dyDescent="0.25">
      <c r="A2815" s="17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</row>
    <row r="2816" spans="1:7" x14ac:dyDescent="0.25">
      <c r="A2816" s="17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</row>
    <row r="2817" spans="1:7" x14ac:dyDescent="0.25">
      <c r="A2817" s="17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11</v>
      </c>
    </row>
    <row r="2818" spans="1:7" x14ac:dyDescent="0.25">
      <c r="A2818" s="17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</row>
    <row r="2819" spans="1:7" x14ac:dyDescent="0.25">
      <c r="A2819" s="17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</row>
    <row r="2820" spans="1:7" x14ac:dyDescent="0.25">
      <c r="A2820" s="17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</row>
    <row r="2821" spans="1:7" x14ac:dyDescent="0.25">
      <c r="A2821" s="17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</row>
    <row r="2822" spans="1:7" x14ac:dyDescent="0.25">
      <c r="A2822" s="17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</row>
    <row r="2823" spans="1:7" x14ac:dyDescent="0.25">
      <c r="A2823" s="17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</row>
    <row r="2824" spans="1:7" x14ac:dyDescent="0.25">
      <c r="A2824" s="17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</row>
    <row r="2825" spans="1:7" x14ac:dyDescent="0.25">
      <c r="A2825" s="17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">
        <v>11</v>
      </c>
    </row>
    <row r="2826" spans="1:7" x14ac:dyDescent="0.25">
      <c r="A2826" s="17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</row>
    <row r="2827" spans="1:7" x14ac:dyDescent="0.25">
      <c r="A2827" s="17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</row>
    <row r="2828" spans="1:7" x14ac:dyDescent="0.25">
      <c r="A2828" s="17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</row>
    <row r="2829" spans="1:7" x14ac:dyDescent="0.25">
      <c r="A2829" s="17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</row>
    <row r="2830" spans="1:7" x14ac:dyDescent="0.25">
      <c r="A2830" s="17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</row>
    <row r="2831" spans="1:7" x14ac:dyDescent="0.25">
      <c r="A2831" s="17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</row>
    <row r="2832" spans="1:7" x14ac:dyDescent="0.25">
      <c r="A2832" s="17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</row>
    <row r="2833" spans="1:7" x14ac:dyDescent="0.25">
      <c r="A2833" s="17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</row>
    <row r="2834" spans="1:7" x14ac:dyDescent="0.25">
      <c r="A2834" s="17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</row>
    <row r="2835" spans="1:7" x14ac:dyDescent="0.25">
      <c r="A2835" s="17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</row>
    <row r="2836" spans="1:7" x14ac:dyDescent="0.25">
      <c r="A2836" s="17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</row>
    <row r="2837" spans="1:7" x14ac:dyDescent="0.25">
      <c r="A2837" s="17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</row>
    <row r="2838" spans="1:7" x14ac:dyDescent="0.25">
      <c r="A2838" s="17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</row>
    <row r="2839" spans="1:7" x14ac:dyDescent="0.25">
      <c r="A2839" s="17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</row>
    <row r="2840" spans="1:7" x14ac:dyDescent="0.25">
      <c r="A2840" s="17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</row>
    <row r="2841" spans="1:7" x14ac:dyDescent="0.25">
      <c r="A2841" s="17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</row>
    <row r="2842" spans="1:7" x14ac:dyDescent="0.25">
      <c r="A2842" s="17"/>
      <c r="B2842" s="4" t="s">
        <v>2753</v>
      </c>
      <c r="C2842" s="4" t="s">
        <v>11</v>
      </c>
      <c r="D2842" s="4" t="s">
        <v>11</v>
      </c>
      <c r="E2842" s="4" t="s">
        <v>11</v>
      </c>
      <c r="F2842" s="4" t="s">
        <v>973</v>
      </c>
      <c r="G2842" s="5" t="s">
        <v>11</v>
      </c>
    </row>
    <row r="2843" spans="1:7" x14ac:dyDescent="0.25">
      <c r="A2843" s="17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</row>
    <row r="2844" spans="1:7" x14ac:dyDescent="0.25">
      <c r="A2844" s="17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</row>
    <row r="2845" spans="1:7" x14ac:dyDescent="0.25">
      <c r="A2845" s="17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</row>
    <row r="2846" spans="1:7" x14ac:dyDescent="0.25">
      <c r="A2846" s="17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</row>
    <row r="2847" spans="1:7" x14ac:dyDescent="0.25">
      <c r="A2847" s="17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</row>
    <row r="2848" spans="1:7" x14ac:dyDescent="0.25">
      <c r="A2848" s="17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</row>
    <row r="2849" spans="1:7" x14ac:dyDescent="0.25">
      <c r="A2849" s="17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</row>
    <row r="2850" spans="1:7" x14ac:dyDescent="0.25">
      <c r="A2850" s="17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</row>
    <row r="2851" spans="1:7" x14ac:dyDescent="0.25">
      <c r="A2851" s="17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">
        <v>11</v>
      </c>
    </row>
    <row r="2852" spans="1:7" x14ac:dyDescent="0.25">
      <c r="A2852" s="17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</row>
    <row r="2853" spans="1:7" x14ac:dyDescent="0.25">
      <c r="A2853" s="17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</row>
    <row r="2854" spans="1:7" x14ac:dyDescent="0.25">
      <c r="A2854" s="17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</row>
    <row r="2855" spans="1:7" x14ac:dyDescent="0.25">
      <c r="A2855" s="17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</row>
    <row r="2856" spans="1:7" x14ac:dyDescent="0.25">
      <c r="A2856" s="17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</row>
    <row r="2857" spans="1:7" x14ac:dyDescent="0.25">
      <c r="A2857" s="17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</row>
    <row r="2858" spans="1:7" x14ac:dyDescent="0.25">
      <c r="A2858" s="17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</row>
    <row r="2859" spans="1:7" x14ac:dyDescent="0.25">
      <c r="A2859" s="17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</row>
    <row r="2860" spans="1:7" x14ac:dyDescent="0.25">
      <c r="A2860" s="17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">
        <v>11</v>
      </c>
    </row>
    <row r="2861" spans="1:7" x14ac:dyDescent="0.25">
      <c r="A2861" s="17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</row>
    <row r="2862" spans="1:7" x14ac:dyDescent="0.25">
      <c r="A2862" s="17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</row>
    <row r="2863" spans="1:7" x14ac:dyDescent="0.25">
      <c r="A2863" s="17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</row>
    <row r="2864" spans="1:7" x14ac:dyDescent="0.25">
      <c r="A2864" s="17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</row>
    <row r="2865" spans="1:7" x14ac:dyDescent="0.25">
      <c r="A2865" s="17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</row>
    <row r="2866" spans="1:7" x14ac:dyDescent="0.25">
      <c r="A2866" s="17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</row>
    <row r="2867" spans="1:7" x14ac:dyDescent="0.25">
      <c r="A2867" s="17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</row>
    <row r="2868" spans="1:7" x14ac:dyDescent="0.25">
      <c r="A2868" s="17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</row>
    <row r="2869" spans="1:7" x14ac:dyDescent="0.25">
      <c r="A2869" s="17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</row>
    <row r="2870" spans="1:7" x14ac:dyDescent="0.25">
      <c r="A2870" s="17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</row>
    <row r="2871" spans="1:7" x14ac:dyDescent="0.25">
      <c r="A2871" s="17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</row>
    <row r="2872" spans="1:7" x14ac:dyDescent="0.25">
      <c r="A2872" s="17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</row>
    <row r="2873" spans="1:7" x14ac:dyDescent="0.25">
      <c r="A2873" s="17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</row>
    <row r="2874" spans="1:7" x14ac:dyDescent="0.25">
      <c r="A2874" s="17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</row>
    <row r="2875" spans="1:7" x14ac:dyDescent="0.25">
      <c r="A2875" s="17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</row>
    <row r="2876" spans="1:7" x14ac:dyDescent="0.25">
      <c r="A2876" s="17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">
        <v>11</v>
      </c>
    </row>
    <row r="2877" spans="1:7" x14ac:dyDescent="0.25">
      <c r="A2877" s="17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</row>
    <row r="2878" spans="1:7" x14ac:dyDescent="0.25">
      <c r="A2878" s="17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</row>
    <row r="2879" spans="1:7" x14ac:dyDescent="0.25">
      <c r="A2879" s="17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</row>
    <row r="2880" spans="1:7" x14ac:dyDescent="0.25">
      <c r="A2880" s="17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</row>
    <row r="2881" spans="1:7" x14ac:dyDescent="0.25">
      <c r="A2881" s="17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</row>
    <row r="2882" spans="1:7" x14ac:dyDescent="0.25">
      <c r="A2882" s="17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</row>
    <row r="2883" spans="1:7" x14ac:dyDescent="0.25">
      <c r="A2883" s="17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</row>
    <row r="2884" spans="1:7" x14ac:dyDescent="0.25">
      <c r="A2884" s="17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</row>
    <row r="2885" spans="1:7" x14ac:dyDescent="0.25">
      <c r="A2885" s="17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</row>
    <row r="2886" spans="1:7" x14ac:dyDescent="0.25">
      <c r="A2886" s="17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</row>
    <row r="2887" spans="1:7" x14ac:dyDescent="0.25">
      <c r="A2887" s="17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</row>
    <row r="2888" spans="1:7" x14ac:dyDescent="0.25">
      <c r="A2888" s="17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</row>
    <row r="2889" spans="1:7" x14ac:dyDescent="0.25">
      <c r="A2889" s="17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">
        <v>11</v>
      </c>
    </row>
    <row r="2890" spans="1:7" x14ac:dyDescent="0.25">
      <c r="A2890" s="17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</row>
    <row r="2891" spans="1:7" x14ac:dyDescent="0.25">
      <c r="A2891" s="17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">
        <v>11</v>
      </c>
    </row>
    <row r="2892" spans="1:7" x14ac:dyDescent="0.25">
      <c r="A2892" s="17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</row>
    <row r="2893" spans="1:7" x14ac:dyDescent="0.25">
      <c r="A2893" s="17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</row>
    <row r="2894" spans="1:7" x14ac:dyDescent="0.25">
      <c r="A2894" s="17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">
        <v>11</v>
      </c>
    </row>
    <row r="2895" spans="1:7" x14ac:dyDescent="0.25">
      <c r="A2895" s="17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</row>
    <row r="2896" spans="1:7" x14ac:dyDescent="0.25">
      <c r="A2896" s="17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</row>
    <row r="2897" spans="1:7" x14ac:dyDescent="0.25">
      <c r="A2897" s="17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</row>
    <row r="2898" spans="1:7" x14ac:dyDescent="0.25">
      <c r="A2898" s="17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</row>
    <row r="2899" spans="1:7" x14ac:dyDescent="0.25">
      <c r="A2899" s="17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</row>
    <row r="2900" spans="1:7" x14ac:dyDescent="0.25">
      <c r="A2900" s="17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</row>
    <row r="2901" spans="1:7" x14ac:dyDescent="0.25">
      <c r="A2901" s="17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</row>
    <row r="2902" spans="1:7" x14ac:dyDescent="0.25">
      <c r="A2902" s="17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</row>
    <row r="2903" spans="1:7" x14ac:dyDescent="0.25">
      <c r="A2903" s="17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</row>
    <row r="2904" spans="1:7" x14ac:dyDescent="0.25">
      <c r="A2904" s="17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</row>
    <row r="2905" spans="1:7" x14ac:dyDescent="0.25">
      <c r="A2905" s="17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</row>
    <row r="2906" spans="1:7" x14ac:dyDescent="0.25">
      <c r="A2906" s="17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</row>
    <row r="2907" spans="1:7" x14ac:dyDescent="0.25">
      <c r="A2907" s="17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</row>
    <row r="2908" spans="1:7" x14ac:dyDescent="0.25">
      <c r="A2908" s="17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</row>
    <row r="2909" spans="1:7" x14ac:dyDescent="0.25">
      <c r="A2909" s="17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</row>
    <row r="2910" spans="1:7" x14ac:dyDescent="0.25">
      <c r="A2910" s="17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</row>
    <row r="2911" spans="1:7" x14ac:dyDescent="0.25">
      <c r="A2911" s="17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</row>
    <row r="2912" spans="1:7" x14ac:dyDescent="0.25">
      <c r="A2912" s="17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</row>
    <row r="2913" spans="1:7" x14ac:dyDescent="0.25">
      <c r="A2913" s="17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</row>
    <row r="2914" spans="1:7" x14ac:dyDescent="0.25">
      <c r="A2914" s="17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</row>
    <row r="2915" spans="1:7" x14ac:dyDescent="0.25">
      <c r="A2915" s="17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36</v>
      </c>
    </row>
    <row r="2916" spans="1:7" x14ac:dyDescent="0.25">
      <c r="A2916" s="17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</row>
    <row r="2917" spans="1:7" x14ac:dyDescent="0.25">
      <c r="A2917" s="17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</row>
    <row r="2918" spans="1:7" x14ac:dyDescent="0.25">
      <c r="A2918" s="17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</row>
    <row r="2919" spans="1:7" x14ac:dyDescent="0.25">
      <c r="A2919" s="17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</row>
    <row r="2920" spans="1:7" x14ac:dyDescent="0.25">
      <c r="A2920" s="17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</row>
    <row r="2921" spans="1:7" x14ac:dyDescent="0.25">
      <c r="A2921" s="17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</row>
    <row r="2922" spans="1:7" x14ac:dyDescent="0.25">
      <c r="A2922" s="17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</row>
    <row r="2923" spans="1:7" x14ac:dyDescent="0.25">
      <c r="A2923" s="17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</row>
    <row r="2924" spans="1:7" x14ac:dyDescent="0.25">
      <c r="A2924" s="17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</row>
    <row r="2925" spans="1:7" x14ac:dyDescent="0.25">
      <c r="A2925" s="17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</row>
    <row r="2926" spans="1:7" x14ac:dyDescent="0.25">
      <c r="A2926" s="17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</row>
    <row r="2927" spans="1:7" x14ac:dyDescent="0.25">
      <c r="A2927" s="17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</row>
    <row r="2928" spans="1:7" x14ac:dyDescent="0.25">
      <c r="A2928" s="17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">
        <v>11</v>
      </c>
    </row>
    <row r="2929" spans="1:7" x14ac:dyDescent="0.25">
      <c r="A2929" s="17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</row>
    <row r="2930" spans="1:7" x14ac:dyDescent="0.25">
      <c r="A2930" s="17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</row>
    <row r="2931" spans="1:7" x14ac:dyDescent="0.25">
      <c r="A2931" s="17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</row>
    <row r="2932" spans="1:7" x14ac:dyDescent="0.25">
      <c r="A2932" s="17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20</v>
      </c>
    </row>
    <row r="2933" spans="1:7" x14ac:dyDescent="0.25">
      <c r="A2933" s="17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</row>
    <row r="2934" spans="1:7" x14ac:dyDescent="0.25">
      <c r="A2934" s="17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</row>
    <row r="2935" spans="1:7" x14ac:dyDescent="0.25">
      <c r="A2935" s="17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</row>
    <row r="2936" spans="1:7" x14ac:dyDescent="0.25">
      <c r="A2936" s="17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</row>
    <row r="2937" spans="1:7" x14ac:dyDescent="0.25">
      <c r="A2937" s="17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</row>
    <row r="2938" spans="1:7" x14ac:dyDescent="0.25">
      <c r="A2938" s="17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</row>
    <row r="2939" spans="1:7" x14ac:dyDescent="0.25">
      <c r="A2939" s="17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</row>
    <row r="2940" spans="1:7" x14ac:dyDescent="0.25">
      <c r="A2940" s="17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</row>
    <row r="2941" spans="1:7" x14ac:dyDescent="0.25">
      <c r="A2941" s="17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</row>
    <row r="2942" spans="1:7" x14ac:dyDescent="0.25">
      <c r="A2942" s="17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</row>
    <row r="2943" spans="1:7" x14ac:dyDescent="0.25">
      <c r="A2943" s="17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</row>
    <row r="2944" spans="1:7" x14ac:dyDescent="0.25">
      <c r="A2944" s="17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</row>
    <row r="2945" spans="1:7" x14ac:dyDescent="0.25">
      <c r="A2945" s="17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">
        <v>20</v>
      </c>
    </row>
    <row r="2946" spans="1:7" x14ac:dyDescent="0.25">
      <c r="A2946" s="17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</row>
    <row r="2947" spans="1:7" x14ac:dyDescent="0.25">
      <c r="A2947" s="17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</row>
    <row r="2948" spans="1:7" x14ac:dyDescent="0.25">
      <c r="A2948" s="17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</row>
    <row r="2949" spans="1:7" x14ac:dyDescent="0.25">
      <c r="A2949" s="17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</row>
    <row r="2950" spans="1:7" x14ac:dyDescent="0.25">
      <c r="A2950" s="17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</row>
    <row r="2951" spans="1:7" x14ac:dyDescent="0.25">
      <c r="A2951" s="17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</row>
    <row r="2952" spans="1:7" x14ac:dyDescent="0.25">
      <c r="A2952" s="17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</row>
    <row r="2953" spans="1:7" x14ac:dyDescent="0.25">
      <c r="A2953" s="17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</row>
    <row r="2954" spans="1:7" x14ac:dyDescent="0.25">
      <c r="A2954" s="17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</row>
    <row r="2955" spans="1:7" x14ac:dyDescent="0.25">
      <c r="A2955" s="17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</row>
    <row r="2956" spans="1:7" x14ac:dyDescent="0.25">
      <c r="A2956" s="17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</row>
    <row r="2957" spans="1:7" x14ac:dyDescent="0.25">
      <c r="A2957" s="17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</row>
    <row r="2958" spans="1:7" x14ac:dyDescent="0.25">
      <c r="A2958" s="17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</row>
    <row r="2959" spans="1:7" x14ac:dyDescent="0.25">
      <c r="A2959" s="17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</row>
    <row r="2960" spans="1:7" x14ac:dyDescent="0.25">
      <c r="A2960" s="17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</row>
    <row r="2961" spans="1:7" x14ac:dyDescent="0.25">
      <c r="A2961" s="17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">
        <v>57</v>
      </c>
    </row>
    <row r="2962" spans="1:7" x14ac:dyDescent="0.25">
      <c r="A2962" s="17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</row>
    <row r="2963" spans="1:7" x14ac:dyDescent="0.25">
      <c r="A2963" s="17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</row>
    <row r="2964" spans="1:7" x14ac:dyDescent="0.25">
      <c r="A2964" s="17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549</v>
      </c>
    </row>
    <row r="2965" spans="1:7" x14ac:dyDescent="0.25">
      <c r="A2965" s="17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</row>
    <row r="2966" spans="1:7" x14ac:dyDescent="0.25">
      <c r="A2966" s="17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</row>
    <row r="2967" spans="1:7" x14ac:dyDescent="0.25">
      <c r="A2967" s="17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</row>
    <row r="2968" spans="1:7" x14ac:dyDescent="0.25">
      <c r="A2968" s="17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</row>
    <row r="2969" spans="1:7" x14ac:dyDescent="0.25">
      <c r="A2969" s="17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</row>
    <row r="2970" spans="1:7" x14ac:dyDescent="0.25">
      <c r="A2970" s="17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</row>
    <row r="2971" spans="1:7" x14ac:dyDescent="0.25">
      <c r="A2971" s="17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</row>
    <row r="2972" spans="1:7" x14ac:dyDescent="0.25">
      <c r="A2972" s="17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</row>
    <row r="2973" spans="1:7" x14ac:dyDescent="0.25">
      <c r="A2973" s="17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</row>
    <row r="2974" spans="1:7" x14ac:dyDescent="0.25">
      <c r="A2974" s="17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</row>
    <row r="2975" spans="1:7" x14ac:dyDescent="0.25">
      <c r="A2975" s="17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</row>
    <row r="2976" spans="1:7" x14ac:dyDescent="0.25">
      <c r="A2976" s="17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36</v>
      </c>
    </row>
    <row r="2977" spans="1:7" x14ac:dyDescent="0.25">
      <c r="A2977" s="17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</row>
    <row r="2978" spans="1:7" x14ac:dyDescent="0.25">
      <c r="A2978" s="17"/>
      <c r="B2978" s="4" t="s">
        <v>2890</v>
      </c>
      <c r="C2978" s="4" t="s">
        <v>14</v>
      </c>
      <c r="D2978" s="4" t="s">
        <v>15</v>
      </c>
      <c r="E2978" s="4" t="s">
        <v>16</v>
      </c>
      <c r="F2978" s="4" t="s">
        <v>14</v>
      </c>
      <c r="G2978" s="5" t="s">
        <v>16</v>
      </c>
    </row>
    <row r="2979" spans="1:7" x14ac:dyDescent="0.25">
      <c r="A2979" s="17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</row>
    <row r="2980" spans="1:7" x14ac:dyDescent="0.25">
      <c r="A2980" s="17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</row>
    <row r="2981" spans="1:7" x14ac:dyDescent="0.25">
      <c r="A2981" s="17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</row>
    <row r="2982" spans="1:7" x14ac:dyDescent="0.25">
      <c r="A2982" s="17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</row>
    <row r="2983" spans="1:7" x14ac:dyDescent="0.25">
      <c r="A2983" s="17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">
        <v>57</v>
      </c>
    </row>
    <row r="2984" spans="1:7" x14ac:dyDescent="0.25">
      <c r="A2984" s="17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">
        <v>11</v>
      </c>
    </row>
    <row r="2985" spans="1:7" x14ac:dyDescent="0.25">
      <c r="A2985" s="17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</row>
    <row r="2986" spans="1:7" x14ac:dyDescent="0.25">
      <c r="A2986" s="17"/>
      <c r="B2986" s="4" t="s">
        <v>2898</v>
      </c>
      <c r="C2986" s="4" t="s">
        <v>14</v>
      </c>
      <c r="D2986" s="4" t="s">
        <v>15</v>
      </c>
      <c r="E2986" s="4" t="s">
        <v>16</v>
      </c>
      <c r="F2986" s="4" t="s">
        <v>14</v>
      </c>
      <c r="G2986" s="5" t="s">
        <v>16</v>
      </c>
    </row>
    <row r="2987" spans="1:7" x14ac:dyDescent="0.25">
      <c r="A2987" s="17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</row>
    <row r="2988" spans="1:7" x14ac:dyDescent="0.25">
      <c r="A2988" s="17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</row>
    <row r="2989" spans="1:7" x14ac:dyDescent="0.25">
      <c r="A2989" s="17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">
        <v>11</v>
      </c>
    </row>
    <row r="2990" spans="1:7" x14ac:dyDescent="0.25">
      <c r="A2990" s="17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</row>
    <row r="2991" spans="1:7" x14ac:dyDescent="0.25">
      <c r="A2991" s="17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</row>
    <row r="2992" spans="1:7" x14ac:dyDescent="0.25">
      <c r="A2992" s="17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</row>
    <row r="2993" spans="1:7" x14ac:dyDescent="0.25">
      <c r="A2993" s="17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">
        <v>20</v>
      </c>
    </row>
    <row r="2994" spans="1:7" x14ac:dyDescent="0.25">
      <c r="A2994" s="17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</row>
    <row r="2995" spans="1:7" x14ac:dyDescent="0.25">
      <c r="A2995" s="17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</row>
    <row r="2996" spans="1:7" x14ac:dyDescent="0.25">
      <c r="A2996" s="17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</row>
    <row r="2997" spans="1:7" x14ac:dyDescent="0.25">
      <c r="A2997" s="17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</row>
    <row r="2998" spans="1:7" x14ac:dyDescent="0.25">
      <c r="A2998" s="17"/>
      <c r="B2998" s="4" t="s">
        <v>2910</v>
      </c>
      <c r="C2998" s="4" t="s">
        <v>35</v>
      </c>
      <c r="D2998" s="4" t="s">
        <v>35</v>
      </c>
      <c r="E2998" s="4" t="s">
        <v>5631</v>
      </c>
      <c r="F2998" s="4" t="s">
        <v>1090</v>
      </c>
      <c r="G2998" s="5" t="s">
        <v>5631</v>
      </c>
    </row>
    <row r="2999" spans="1:7" x14ac:dyDescent="0.25">
      <c r="A2999" s="17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</row>
    <row r="3000" spans="1:7" x14ac:dyDescent="0.25">
      <c r="A3000" s="17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</row>
    <row r="3001" spans="1:7" x14ac:dyDescent="0.25">
      <c r="A3001" s="17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</row>
    <row r="3002" spans="1:7" x14ac:dyDescent="0.25">
      <c r="A3002" s="17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</row>
    <row r="3003" spans="1:7" x14ac:dyDescent="0.25">
      <c r="A3003" s="17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</row>
    <row r="3004" spans="1:7" x14ac:dyDescent="0.25">
      <c r="A3004" s="17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</row>
    <row r="3005" spans="1:7" x14ac:dyDescent="0.25">
      <c r="A3005" s="17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</row>
    <row r="3006" spans="1:7" x14ac:dyDescent="0.25">
      <c r="A3006" s="17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</row>
    <row r="3007" spans="1:7" x14ac:dyDescent="0.25">
      <c r="A3007" s="17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</row>
    <row r="3008" spans="1:7" x14ac:dyDescent="0.25">
      <c r="A3008" s="17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</row>
    <row r="3009" spans="1:7" x14ac:dyDescent="0.25">
      <c r="A3009" s="17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">
        <v>57</v>
      </c>
    </row>
    <row r="3010" spans="1:7" x14ac:dyDescent="0.25">
      <c r="A3010" s="17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</row>
    <row r="3011" spans="1:7" x14ac:dyDescent="0.25">
      <c r="A3011" s="17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</row>
    <row r="3012" spans="1:7" x14ac:dyDescent="0.25">
      <c r="A3012" s="17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</row>
    <row r="3013" spans="1:7" x14ac:dyDescent="0.25">
      <c r="A3013" s="17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</row>
    <row r="3014" spans="1:7" x14ac:dyDescent="0.25">
      <c r="A3014" s="17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</row>
    <row r="3015" spans="1:7" x14ac:dyDescent="0.25">
      <c r="A3015" s="17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</row>
    <row r="3016" spans="1:7" x14ac:dyDescent="0.25">
      <c r="A3016" s="17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</row>
    <row r="3017" spans="1:7" x14ac:dyDescent="0.25">
      <c r="A3017" s="17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</row>
    <row r="3018" spans="1:7" x14ac:dyDescent="0.25">
      <c r="A3018" s="17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</row>
    <row r="3019" spans="1:7" x14ac:dyDescent="0.25">
      <c r="A3019" s="17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</row>
    <row r="3020" spans="1:7" x14ac:dyDescent="0.25">
      <c r="A3020" s="17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</row>
    <row r="3021" spans="1:7" x14ac:dyDescent="0.25">
      <c r="A3021" s="17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</row>
    <row r="3022" spans="1:7" x14ac:dyDescent="0.25">
      <c r="A3022" s="17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">
        <v>11</v>
      </c>
    </row>
    <row r="3023" spans="1:7" x14ac:dyDescent="0.25">
      <c r="A3023" s="17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</row>
    <row r="3024" spans="1:7" x14ac:dyDescent="0.25">
      <c r="A3024" s="17"/>
      <c r="B3024" s="4" t="s">
        <v>2936</v>
      </c>
      <c r="C3024" s="4" t="s">
        <v>35</v>
      </c>
      <c r="D3024" s="4" t="s">
        <v>35</v>
      </c>
      <c r="E3024" s="4" t="s">
        <v>163</v>
      </c>
      <c r="F3024" s="4" t="s">
        <v>21</v>
      </c>
      <c r="G3024" s="5" t="s">
        <v>163</v>
      </c>
    </row>
    <row r="3025" spans="1:7" x14ac:dyDescent="0.25">
      <c r="A3025" s="17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</row>
    <row r="3026" spans="1:7" x14ac:dyDescent="0.25">
      <c r="A3026" s="17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</row>
    <row r="3027" spans="1:7" x14ac:dyDescent="0.25">
      <c r="A3027" s="17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</row>
    <row r="3028" spans="1:7" x14ac:dyDescent="0.25">
      <c r="A3028" s="17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</row>
    <row r="3029" spans="1:7" x14ac:dyDescent="0.25">
      <c r="A3029" s="17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</row>
    <row r="3030" spans="1:7" x14ac:dyDescent="0.25">
      <c r="A3030" s="17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</row>
    <row r="3031" spans="1:7" x14ac:dyDescent="0.25">
      <c r="A3031" s="17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</row>
    <row r="3032" spans="1:7" x14ac:dyDescent="0.25">
      <c r="A3032" s="17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</row>
    <row r="3033" spans="1:7" x14ac:dyDescent="0.25">
      <c r="A3033" s="17"/>
      <c r="B3033" s="4" t="s">
        <v>2945</v>
      </c>
      <c r="C3033" s="4" t="s">
        <v>11</v>
      </c>
      <c r="D3033" s="4" t="s">
        <v>11</v>
      </c>
      <c r="E3033" s="4" t="s">
        <v>11</v>
      </c>
      <c r="F3033" s="4" t="s">
        <v>1822</v>
      </c>
      <c r="G3033" s="5" t="s">
        <v>11</v>
      </c>
    </row>
    <row r="3034" spans="1:7" x14ac:dyDescent="0.25">
      <c r="A3034" s="17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</row>
    <row r="3035" spans="1:7" x14ac:dyDescent="0.25">
      <c r="A3035" s="17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</row>
    <row r="3036" spans="1:7" x14ac:dyDescent="0.25">
      <c r="A3036" s="17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</row>
    <row r="3037" spans="1:7" x14ac:dyDescent="0.25">
      <c r="A3037" s="17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</row>
    <row r="3038" spans="1:7" x14ac:dyDescent="0.25">
      <c r="A3038" s="17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">
        <v>20</v>
      </c>
    </row>
    <row r="3039" spans="1:7" x14ac:dyDescent="0.25">
      <c r="A3039" s="17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">
        <v>11</v>
      </c>
    </row>
    <row r="3040" spans="1:7" x14ac:dyDescent="0.25">
      <c r="A3040" s="17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</row>
    <row r="3041" spans="1:7" x14ac:dyDescent="0.25">
      <c r="A3041" s="17"/>
      <c r="B3041" s="4" t="s">
        <v>2953</v>
      </c>
      <c r="C3041" s="4" t="s">
        <v>35</v>
      </c>
      <c r="D3041" s="4" t="s">
        <v>35</v>
      </c>
      <c r="E3041" s="4" t="s">
        <v>163</v>
      </c>
      <c r="F3041" s="4" t="s">
        <v>21</v>
      </c>
      <c r="G3041" s="5" t="s">
        <v>163</v>
      </c>
    </row>
    <row r="3042" spans="1:7" x14ac:dyDescent="0.25">
      <c r="A3042" s="17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</row>
    <row r="3043" spans="1:7" x14ac:dyDescent="0.25">
      <c r="A3043" s="17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</row>
    <row r="3044" spans="1:7" x14ac:dyDescent="0.25">
      <c r="A3044" s="17"/>
      <c r="B3044" s="4" t="s">
        <v>2956</v>
      </c>
      <c r="C3044" s="4" t="s">
        <v>14</v>
      </c>
      <c r="D3044" s="4" t="s">
        <v>15</v>
      </c>
      <c r="E3044" s="4" t="s">
        <v>16</v>
      </c>
      <c r="F3044" s="4" t="s">
        <v>14</v>
      </c>
      <c r="G3044" s="5" t="s">
        <v>16</v>
      </c>
    </row>
    <row r="3045" spans="1:7" x14ac:dyDescent="0.25">
      <c r="A3045" s="17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</row>
    <row r="3046" spans="1:7" x14ac:dyDescent="0.25">
      <c r="A3046" s="17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</row>
    <row r="3047" spans="1:7" x14ac:dyDescent="0.25">
      <c r="A3047" s="17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</row>
    <row r="3048" spans="1:7" x14ac:dyDescent="0.25">
      <c r="A3048" s="17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</row>
    <row r="3049" spans="1:7" x14ac:dyDescent="0.25">
      <c r="A3049" s="17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</row>
    <row r="3050" spans="1:7" x14ac:dyDescent="0.25">
      <c r="A3050" s="17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</row>
    <row r="3051" spans="1:7" x14ac:dyDescent="0.25">
      <c r="A3051" s="17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</row>
    <row r="3052" spans="1:7" x14ac:dyDescent="0.25">
      <c r="A3052" s="17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</row>
    <row r="3053" spans="1:7" x14ac:dyDescent="0.25">
      <c r="A3053" s="17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</row>
    <row r="3054" spans="1:7" x14ac:dyDescent="0.25">
      <c r="A3054" s="17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</row>
    <row r="3055" spans="1:7" x14ac:dyDescent="0.25">
      <c r="A3055" s="17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</row>
    <row r="3056" spans="1:7" x14ac:dyDescent="0.25">
      <c r="A3056" s="17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</row>
    <row r="3057" spans="1:7" x14ac:dyDescent="0.25">
      <c r="A3057" s="17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</row>
    <row r="3058" spans="1:7" x14ac:dyDescent="0.25">
      <c r="A3058" s="17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</row>
    <row r="3059" spans="1:7" x14ac:dyDescent="0.25">
      <c r="A3059" s="17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</row>
    <row r="3060" spans="1:7" x14ac:dyDescent="0.25">
      <c r="A3060" s="17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</row>
    <row r="3061" spans="1:7" x14ac:dyDescent="0.25">
      <c r="A3061" s="17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</row>
    <row r="3062" spans="1:7" x14ac:dyDescent="0.25">
      <c r="A3062" s="17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</row>
    <row r="3063" spans="1:7" x14ac:dyDescent="0.25">
      <c r="A3063" s="17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</row>
    <row r="3064" spans="1:7" x14ac:dyDescent="0.25">
      <c r="A3064" s="17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</row>
    <row r="3065" spans="1:7" x14ac:dyDescent="0.25">
      <c r="A3065" s="17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</row>
    <row r="3066" spans="1:7" x14ac:dyDescent="0.25">
      <c r="A3066" s="17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</row>
    <row r="3067" spans="1:7" x14ac:dyDescent="0.25">
      <c r="A3067" s="17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</row>
    <row r="3068" spans="1:7" x14ac:dyDescent="0.25">
      <c r="A3068" s="17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</row>
    <row r="3069" spans="1:7" x14ac:dyDescent="0.25">
      <c r="A3069" s="17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</row>
    <row r="3070" spans="1:7" x14ac:dyDescent="0.25">
      <c r="A3070" s="17"/>
      <c r="B3070" s="4" t="s">
        <v>2982</v>
      </c>
      <c r="C3070" s="4" t="s">
        <v>11</v>
      </c>
      <c r="D3070" s="4" t="s">
        <v>11</v>
      </c>
      <c r="E3070" s="4" t="s">
        <v>11</v>
      </c>
      <c r="F3070" s="4" t="s">
        <v>2049</v>
      </c>
      <c r="G3070" s="5" t="s">
        <v>11</v>
      </c>
    </row>
    <row r="3071" spans="1:7" x14ac:dyDescent="0.25">
      <c r="A3071" s="17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</row>
    <row r="3072" spans="1:7" x14ac:dyDescent="0.25">
      <c r="A3072" s="17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</row>
    <row r="3073" spans="1:7" x14ac:dyDescent="0.25">
      <c r="A3073" s="17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</row>
    <row r="3074" spans="1:7" x14ac:dyDescent="0.25">
      <c r="A3074" s="17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</row>
    <row r="3075" spans="1:7" x14ac:dyDescent="0.25">
      <c r="A3075" s="17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</row>
    <row r="3076" spans="1:7" x14ac:dyDescent="0.25">
      <c r="A3076" s="17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</row>
    <row r="3077" spans="1:7" x14ac:dyDescent="0.25">
      <c r="A3077" s="17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20</v>
      </c>
    </row>
    <row r="3078" spans="1:7" x14ac:dyDescent="0.25">
      <c r="A3078" s="17"/>
      <c r="B3078" s="4" t="s">
        <v>2990</v>
      </c>
      <c r="C3078" s="4" t="s">
        <v>35</v>
      </c>
      <c r="D3078" s="4" t="s">
        <v>35</v>
      </c>
      <c r="E3078" s="4" t="s">
        <v>163</v>
      </c>
      <c r="F3078" s="4" t="s">
        <v>21</v>
      </c>
      <c r="G3078" s="5" t="s">
        <v>163</v>
      </c>
    </row>
    <row r="3079" spans="1:7" x14ac:dyDescent="0.25">
      <c r="A3079" s="17"/>
      <c r="B3079" s="4" t="s">
        <v>2991</v>
      </c>
      <c r="C3079" s="4" t="s">
        <v>35</v>
      </c>
      <c r="D3079" s="4" t="s">
        <v>35</v>
      </c>
      <c r="E3079" s="4" t="s">
        <v>36</v>
      </c>
      <c r="F3079" s="4" t="s">
        <v>21</v>
      </c>
      <c r="G3079" s="5" t="s">
        <v>36</v>
      </c>
    </row>
    <row r="3080" spans="1:7" x14ac:dyDescent="0.25">
      <c r="A3080" s="17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163</v>
      </c>
    </row>
    <row r="3081" spans="1:7" x14ac:dyDescent="0.25">
      <c r="A3081" s="17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</row>
    <row r="3082" spans="1:7" x14ac:dyDescent="0.25">
      <c r="A3082" s="17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</row>
    <row r="3083" spans="1:7" x14ac:dyDescent="0.25">
      <c r="A3083" s="17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</row>
    <row r="3084" spans="1:7" x14ac:dyDescent="0.25">
      <c r="A3084" s="17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</row>
    <row r="3085" spans="1:7" x14ac:dyDescent="0.25">
      <c r="A3085" s="17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</row>
    <row r="3086" spans="1:7" x14ac:dyDescent="0.25">
      <c r="A3086" s="17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</row>
    <row r="3087" spans="1:7" x14ac:dyDescent="0.25">
      <c r="A3087" s="17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</row>
    <row r="3088" spans="1:7" x14ac:dyDescent="0.25">
      <c r="A3088" s="17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</row>
    <row r="3089" spans="1:7" x14ac:dyDescent="0.25">
      <c r="A3089" s="17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20</v>
      </c>
    </row>
    <row r="3090" spans="1:7" x14ac:dyDescent="0.25">
      <c r="A3090" s="17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">
        <v>36</v>
      </c>
    </row>
    <row r="3091" spans="1:7" x14ac:dyDescent="0.25">
      <c r="A3091" s="17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</row>
    <row r="3092" spans="1:7" x14ac:dyDescent="0.25">
      <c r="A3092" s="17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</row>
    <row r="3093" spans="1:7" x14ac:dyDescent="0.25">
      <c r="A3093" s="17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</row>
    <row r="3094" spans="1:7" x14ac:dyDescent="0.25">
      <c r="A3094" s="17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</row>
    <row r="3095" spans="1:7" x14ac:dyDescent="0.25">
      <c r="A3095" s="17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</row>
    <row r="3096" spans="1:7" x14ac:dyDescent="0.25">
      <c r="A3096" s="17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</row>
    <row r="3097" spans="1:7" x14ac:dyDescent="0.25">
      <c r="A3097" s="17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</row>
    <row r="3098" spans="1:7" x14ac:dyDescent="0.25">
      <c r="A3098" s="17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</row>
    <row r="3099" spans="1:7" x14ac:dyDescent="0.25">
      <c r="A3099" s="17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11</v>
      </c>
    </row>
    <row r="3100" spans="1:7" x14ac:dyDescent="0.25">
      <c r="A3100" s="17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">
        <v>11</v>
      </c>
    </row>
    <row r="3101" spans="1:7" x14ac:dyDescent="0.25">
      <c r="A3101" s="17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</row>
    <row r="3102" spans="1:7" x14ac:dyDescent="0.25">
      <c r="A3102" s="17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</row>
    <row r="3103" spans="1:7" x14ac:dyDescent="0.25">
      <c r="A3103" s="17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</row>
    <row r="3104" spans="1:7" x14ac:dyDescent="0.25">
      <c r="A3104" s="17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</row>
    <row r="3105" spans="1:7" x14ac:dyDescent="0.25">
      <c r="A3105" s="17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</row>
    <row r="3106" spans="1:7" x14ac:dyDescent="0.25">
      <c r="A3106" s="17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</row>
    <row r="3107" spans="1:7" x14ac:dyDescent="0.25">
      <c r="A3107" s="17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</row>
    <row r="3108" spans="1:7" x14ac:dyDescent="0.25">
      <c r="A3108" s="17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</row>
    <row r="3109" spans="1:7" x14ac:dyDescent="0.25">
      <c r="A3109" s="17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</row>
    <row r="3110" spans="1:7" x14ac:dyDescent="0.25">
      <c r="A3110" s="17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</row>
    <row r="3111" spans="1:7" x14ac:dyDescent="0.25">
      <c r="A3111" s="17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</row>
    <row r="3112" spans="1:7" x14ac:dyDescent="0.25">
      <c r="A3112" s="17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</row>
    <row r="3113" spans="1:7" x14ac:dyDescent="0.25">
      <c r="A3113" s="17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</row>
    <row r="3114" spans="1:7" x14ac:dyDescent="0.25">
      <c r="A3114" s="17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</row>
    <row r="3115" spans="1:7" x14ac:dyDescent="0.25">
      <c r="A3115" s="17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</row>
    <row r="3116" spans="1:7" x14ac:dyDescent="0.25">
      <c r="A3116" s="17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">
        <v>11</v>
      </c>
    </row>
    <row r="3117" spans="1:7" x14ac:dyDescent="0.25">
      <c r="A3117" s="17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</row>
    <row r="3118" spans="1:7" x14ac:dyDescent="0.25">
      <c r="A3118" s="17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">
        <v>11</v>
      </c>
    </row>
    <row r="3119" spans="1:7" x14ac:dyDescent="0.25">
      <c r="A3119" s="17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</row>
    <row r="3120" spans="1:7" x14ac:dyDescent="0.25">
      <c r="A3120" s="17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</row>
    <row r="3121" spans="1:7" x14ac:dyDescent="0.25">
      <c r="A3121" s="17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</row>
    <row r="3122" spans="1:7" x14ac:dyDescent="0.25">
      <c r="A3122" s="17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</row>
    <row r="3123" spans="1:7" x14ac:dyDescent="0.25">
      <c r="A3123" s="17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</row>
    <row r="3124" spans="1:7" x14ac:dyDescent="0.25">
      <c r="A3124" s="17"/>
      <c r="B3124" s="4" t="s">
        <v>3036</v>
      </c>
      <c r="C3124" s="4" t="s">
        <v>35</v>
      </c>
      <c r="D3124" s="4" t="s">
        <v>35</v>
      </c>
      <c r="E3124" s="4" t="s">
        <v>2266</v>
      </c>
      <c r="F3124" s="4" t="s">
        <v>1090</v>
      </c>
      <c r="G3124" s="5" t="s">
        <v>2266</v>
      </c>
    </row>
    <row r="3125" spans="1:7" x14ac:dyDescent="0.25">
      <c r="A3125" s="17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</row>
    <row r="3126" spans="1:7" x14ac:dyDescent="0.25">
      <c r="A3126" s="17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</row>
    <row r="3127" spans="1:7" x14ac:dyDescent="0.25">
      <c r="A3127" s="17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</row>
    <row r="3128" spans="1:7" x14ac:dyDescent="0.25">
      <c r="A3128" s="17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</row>
    <row r="3129" spans="1:7" x14ac:dyDescent="0.25">
      <c r="A3129" s="17"/>
      <c r="B3129" s="4" t="s">
        <v>3041</v>
      </c>
      <c r="C3129" s="4" t="s">
        <v>14</v>
      </c>
      <c r="D3129" s="4" t="s">
        <v>15</v>
      </c>
      <c r="E3129" s="4" t="s">
        <v>16</v>
      </c>
      <c r="F3129" s="4" t="s">
        <v>14</v>
      </c>
      <c r="G3129" s="5" t="s">
        <v>16</v>
      </c>
    </row>
    <row r="3130" spans="1:7" x14ac:dyDescent="0.25">
      <c r="A3130" s="17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</row>
    <row r="3131" spans="1:7" x14ac:dyDescent="0.25">
      <c r="A3131" s="17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</row>
    <row r="3132" spans="1:7" x14ac:dyDescent="0.25">
      <c r="A3132" s="17"/>
      <c r="B3132" s="4" t="s">
        <v>3044</v>
      </c>
      <c r="C3132" s="4" t="s">
        <v>35</v>
      </c>
      <c r="D3132" s="4" t="s">
        <v>35</v>
      </c>
      <c r="E3132" s="4" t="s">
        <v>57</v>
      </c>
      <c r="F3132" s="4" t="s">
        <v>1931</v>
      </c>
      <c r="G3132" s="5" t="s">
        <v>57</v>
      </c>
    </row>
    <row r="3133" spans="1:7" x14ac:dyDescent="0.25">
      <c r="A3133" s="17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</row>
    <row r="3134" spans="1:7" x14ac:dyDescent="0.25">
      <c r="A3134" s="17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</row>
    <row r="3135" spans="1:7" x14ac:dyDescent="0.25">
      <c r="A3135" s="17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</row>
    <row r="3136" spans="1:7" x14ac:dyDescent="0.25">
      <c r="A3136" s="17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">
        <v>11</v>
      </c>
    </row>
    <row r="3137" spans="1:7" x14ac:dyDescent="0.25">
      <c r="A3137" s="17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</row>
    <row r="3138" spans="1:7" x14ac:dyDescent="0.25">
      <c r="A3138" s="17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</row>
    <row r="3139" spans="1:7" x14ac:dyDescent="0.25">
      <c r="A3139" s="17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</row>
    <row r="3140" spans="1:7" x14ac:dyDescent="0.25">
      <c r="A3140" s="17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</row>
    <row r="3141" spans="1:7" x14ac:dyDescent="0.25">
      <c r="A3141" s="17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</row>
    <row r="3142" spans="1:7" x14ac:dyDescent="0.25">
      <c r="A3142" s="17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</row>
    <row r="3143" spans="1:7" x14ac:dyDescent="0.25">
      <c r="A3143" s="17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</row>
    <row r="3144" spans="1:7" x14ac:dyDescent="0.25">
      <c r="A3144" s="17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</row>
    <row r="3145" spans="1:7" x14ac:dyDescent="0.25">
      <c r="A3145" s="17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11</v>
      </c>
    </row>
    <row r="3146" spans="1:7" x14ac:dyDescent="0.25">
      <c r="A3146" s="17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">
        <v>57</v>
      </c>
    </row>
    <row r="3147" spans="1:7" x14ac:dyDescent="0.25">
      <c r="A3147" s="17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</row>
    <row r="3148" spans="1:7" x14ac:dyDescent="0.25">
      <c r="A3148" s="17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</row>
    <row r="3149" spans="1:7" x14ac:dyDescent="0.25">
      <c r="A3149" s="17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</row>
    <row r="3150" spans="1:7" x14ac:dyDescent="0.25">
      <c r="A3150" s="17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</row>
    <row r="3151" spans="1:7" x14ac:dyDescent="0.25">
      <c r="A3151" s="17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</row>
    <row r="3152" spans="1:7" x14ac:dyDescent="0.25">
      <c r="A3152" s="17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</row>
    <row r="3153" spans="1:7" x14ac:dyDescent="0.25">
      <c r="A3153" s="17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</row>
    <row r="3154" spans="1:7" x14ac:dyDescent="0.25">
      <c r="A3154" s="17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</row>
    <row r="3155" spans="1:7" x14ac:dyDescent="0.25">
      <c r="A3155" s="17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</row>
    <row r="3156" spans="1:7" x14ac:dyDescent="0.25">
      <c r="A3156" s="17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</row>
    <row r="3157" spans="1:7" x14ac:dyDescent="0.25">
      <c r="A3157" s="17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</row>
    <row r="3158" spans="1:7" x14ac:dyDescent="0.25">
      <c r="A3158" s="17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</row>
    <row r="3159" spans="1:7" x14ac:dyDescent="0.25">
      <c r="A3159" s="17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</row>
    <row r="3160" spans="1:7" x14ac:dyDescent="0.25">
      <c r="A3160" s="17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</row>
    <row r="3161" spans="1:7" x14ac:dyDescent="0.25">
      <c r="A3161" s="17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</row>
    <row r="3162" spans="1:7" x14ac:dyDescent="0.25">
      <c r="A3162" s="17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</row>
    <row r="3163" spans="1:7" x14ac:dyDescent="0.25">
      <c r="A3163" s="17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</row>
    <row r="3164" spans="1:7" x14ac:dyDescent="0.25">
      <c r="A3164" s="17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">
        <v>11</v>
      </c>
    </row>
    <row r="3165" spans="1:7" x14ac:dyDescent="0.25">
      <c r="A3165" s="17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</row>
    <row r="3166" spans="1:7" x14ac:dyDescent="0.25">
      <c r="A3166" s="17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</row>
    <row r="3167" spans="1:7" x14ac:dyDescent="0.25">
      <c r="A3167" s="17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</row>
    <row r="3168" spans="1:7" x14ac:dyDescent="0.25">
      <c r="A3168" s="17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</row>
    <row r="3169" spans="1:7" x14ac:dyDescent="0.25">
      <c r="A3169" s="17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">
        <v>11</v>
      </c>
    </row>
    <row r="3170" spans="1:7" x14ac:dyDescent="0.25">
      <c r="A3170" s="17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</row>
    <row r="3171" spans="1:7" x14ac:dyDescent="0.25">
      <c r="A3171" s="17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</row>
    <row r="3172" spans="1:7" x14ac:dyDescent="0.25">
      <c r="A3172" s="17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</row>
    <row r="3173" spans="1:7" x14ac:dyDescent="0.25">
      <c r="A3173" s="17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</row>
    <row r="3174" spans="1:7" x14ac:dyDescent="0.25">
      <c r="A3174" s="17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</row>
    <row r="3175" spans="1:7" x14ac:dyDescent="0.25">
      <c r="A3175" s="17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</row>
    <row r="3176" spans="1:7" x14ac:dyDescent="0.25">
      <c r="A3176" s="17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</row>
    <row r="3177" spans="1:7" x14ac:dyDescent="0.25">
      <c r="A3177" s="17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">
        <v>26</v>
      </c>
    </row>
    <row r="3178" spans="1:7" x14ac:dyDescent="0.25">
      <c r="A3178" s="17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">
        <v>11</v>
      </c>
    </row>
    <row r="3179" spans="1:7" x14ac:dyDescent="0.25">
      <c r="A3179" s="17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</row>
    <row r="3180" spans="1:7" x14ac:dyDescent="0.25">
      <c r="A3180" s="17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</row>
    <row r="3181" spans="1:7" x14ac:dyDescent="0.25">
      <c r="A3181" s="17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</row>
    <row r="3182" spans="1:7" x14ac:dyDescent="0.25">
      <c r="A3182" s="17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</row>
    <row r="3183" spans="1:7" x14ac:dyDescent="0.25">
      <c r="A3183" s="17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</row>
    <row r="3184" spans="1:7" x14ac:dyDescent="0.25">
      <c r="A3184" s="17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11</v>
      </c>
    </row>
    <row r="3185" spans="1:7" x14ac:dyDescent="0.25">
      <c r="A3185" s="17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</row>
    <row r="3186" spans="1:7" x14ac:dyDescent="0.25">
      <c r="A3186" s="17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</row>
    <row r="3187" spans="1:7" x14ac:dyDescent="0.25">
      <c r="A3187" s="17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</row>
    <row r="3188" spans="1:7" x14ac:dyDescent="0.25">
      <c r="A3188" s="17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</row>
    <row r="3189" spans="1:7" x14ac:dyDescent="0.25">
      <c r="A3189" s="17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</row>
    <row r="3190" spans="1:7" x14ac:dyDescent="0.25">
      <c r="A3190" s="17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</row>
    <row r="3191" spans="1:7" x14ac:dyDescent="0.25">
      <c r="A3191" s="17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</row>
    <row r="3192" spans="1:7" x14ac:dyDescent="0.25">
      <c r="A3192" s="17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</row>
    <row r="3193" spans="1:7" x14ac:dyDescent="0.25">
      <c r="A3193" s="17"/>
      <c r="B3193" s="4" t="s">
        <v>3105</v>
      </c>
      <c r="C3193" s="4" t="s">
        <v>35</v>
      </c>
      <c r="D3193" s="4" t="s">
        <v>35</v>
      </c>
      <c r="E3193" s="4" t="s">
        <v>163</v>
      </c>
      <c r="F3193" s="4" t="s">
        <v>21</v>
      </c>
      <c r="G3193" s="5" t="s">
        <v>163</v>
      </c>
    </row>
    <row r="3194" spans="1:7" x14ac:dyDescent="0.25">
      <c r="A3194" s="17"/>
      <c r="B3194" s="4" t="s">
        <v>3106</v>
      </c>
      <c r="C3194" s="4" t="s">
        <v>35</v>
      </c>
      <c r="D3194" s="4" t="s">
        <v>35</v>
      </c>
      <c r="E3194" s="4" t="s">
        <v>163</v>
      </c>
      <c r="F3194" s="4" t="s">
        <v>21</v>
      </c>
      <c r="G3194" s="5" t="s">
        <v>163</v>
      </c>
    </row>
    <row r="3195" spans="1:7" x14ac:dyDescent="0.25">
      <c r="A3195" s="17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</row>
    <row r="3196" spans="1:7" x14ac:dyDescent="0.25">
      <c r="A3196" s="17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</row>
    <row r="3197" spans="1:7" x14ac:dyDescent="0.25">
      <c r="A3197" s="17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</row>
    <row r="3198" spans="1:7" x14ac:dyDescent="0.25">
      <c r="A3198" s="17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</row>
    <row r="3199" spans="1:7" x14ac:dyDescent="0.25">
      <c r="A3199" s="17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">
        <v>11</v>
      </c>
    </row>
    <row r="3200" spans="1:7" x14ac:dyDescent="0.25">
      <c r="A3200" s="17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</row>
    <row r="3201" spans="1:7" x14ac:dyDescent="0.25">
      <c r="A3201" s="17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</row>
    <row r="3202" spans="1:7" x14ac:dyDescent="0.25">
      <c r="A3202" s="17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</row>
    <row r="3203" spans="1:7" x14ac:dyDescent="0.25">
      <c r="A3203" s="17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</row>
    <row r="3204" spans="1:7" x14ac:dyDescent="0.25">
      <c r="A3204" s="17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</row>
    <row r="3205" spans="1:7" x14ac:dyDescent="0.25">
      <c r="A3205" s="17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</row>
    <row r="3206" spans="1:7" x14ac:dyDescent="0.25">
      <c r="A3206" s="17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</row>
    <row r="3207" spans="1:7" x14ac:dyDescent="0.25">
      <c r="A3207" s="17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</row>
    <row r="3208" spans="1:7" x14ac:dyDescent="0.25">
      <c r="A3208" s="17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</row>
    <row r="3209" spans="1:7" x14ac:dyDescent="0.25">
      <c r="A3209" s="17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</row>
    <row r="3210" spans="1:7" x14ac:dyDescent="0.25">
      <c r="A3210" s="17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</row>
    <row r="3211" spans="1:7" x14ac:dyDescent="0.25">
      <c r="A3211" s="17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</row>
    <row r="3212" spans="1:7" x14ac:dyDescent="0.25">
      <c r="A3212" s="17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</row>
    <row r="3213" spans="1:7" x14ac:dyDescent="0.25">
      <c r="A3213" s="17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</row>
    <row r="3214" spans="1:7" x14ac:dyDescent="0.25">
      <c r="A3214" s="17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">
        <v>170</v>
      </c>
    </row>
    <row r="3215" spans="1:7" x14ac:dyDescent="0.25">
      <c r="A3215" s="17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</row>
    <row r="3216" spans="1:7" x14ac:dyDescent="0.25">
      <c r="A3216" s="17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</row>
    <row r="3217" spans="1:7" x14ac:dyDescent="0.25">
      <c r="A3217" s="17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</row>
    <row r="3218" spans="1:7" x14ac:dyDescent="0.25">
      <c r="A3218" s="17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</row>
    <row r="3219" spans="1:7" x14ac:dyDescent="0.25">
      <c r="A3219" s="17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</row>
    <row r="3220" spans="1:7" x14ac:dyDescent="0.25">
      <c r="A3220" s="17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</row>
    <row r="3221" spans="1:7" x14ac:dyDescent="0.25">
      <c r="A3221" s="17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</row>
    <row r="3222" spans="1:7" x14ac:dyDescent="0.25">
      <c r="A3222" s="17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</row>
    <row r="3223" spans="1:7" x14ac:dyDescent="0.25">
      <c r="A3223" s="17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</row>
    <row r="3224" spans="1:7" x14ac:dyDescent="0.25">
      <c r="A3224" s="17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</row>
    <row r="3225" spans="1:7" x14ac:dyDescent="0.25">
      <c r="A3225" s="17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">
        <v>36</v>
      </c>
    </row>
    <row r="3226" spans="1:7" x14ac:dyDescent="0.25">
      <c r="A3226" s="17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36</v>
      </c>
    </row>
    <row r="3227" spans="1:7" x14ac:dyDescent="0.25">
      <c r="A3227" s="17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</row>
    <row r="3228" spans="1:7" x14ac:dyDescent="0.25">
      <c r="A3228" s="17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</row>
    <row r="3229" spans="1:7" x14ac:dyDescent="0.25">
      <c r="A3229" s="17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</row>
    <row r="3230" spans="1:7" x14ac:dyDescent="0.25">
      <c r="A3230" s="17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</row>
    <row r="3231" spans="1:7" x14ac:dyDescent="0.25">
      <c r="A3231" s="17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</row>
    <row r="3232" spans="1:7" x14ac:dyDescent="0.25">
      <c r="A3232" s="17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</row>
    <row r="3233" spans="1:7" x14ac:dyDescent="0.25">
      <c r="A3233" s="17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</row>
    <row r="3234" spans="1:7" x14ac:dyDescent="0.25">
      <c r="A3234" s="17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</row>
    <row r="3235" spans="1:7" x14ac:dyDescent="0.25">
      <c r="A3235" s="17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</row>
    <row r="3236" spans="1:7" x14ac:dyDescent="0.25">
      <c r="A3236" s="17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</row>
    <row r="3237" spans="1:7" x14ac:dyDescent="0.25">
      <c r="A3237" s="17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</row>
    <row r="3238" spans="1:7" x14ac:dyDescent="0.25">
      <c r="A3238" s="17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</row>
    <row r="3239" spans="1:7" x14ac:dyDescent="0.25">
      <c r="A3239" s="17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</row>
    <row r="3240" spans="1:7" x14ac:dyDescent="0.25">
      <c r="A3240" s="17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</row>
    <row r="3241" spans="1:7" x14ac:dyDescent="0.25">
      <c r="A3241" s="17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</row>
    <row r="3242" spans="1:7" x14ac:dyDescent="0.25">
      <c r="A3242" s="17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">
        <v>57</v>
      </c>
    </row>
    <row r="3243" spans="1:7" x14ac:dyDescent="0.25">
      <c r="A3243" s="17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</row>
    <row r="3244" spans="1:7" x14ac:dyDescent="0.25">
      <c r="A3244" s="17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</row>
    <row r="3245" spans="1:7" x14ac:dyDescent="0.25">
      <c r="A3245" s="17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</row>
    <row r="3246" spans="1:7" x14ac:dyDescent="0.25">
      <c r="A3246" s="17"/>
      <c r="B3246" s="4" t="s">
        <v>3158</v>
      </c>
      <c r="C3246" s="4" t="s">
        <v>35</v>
      </c>
      <c r="D3246" s="4" t="s">
        <v>35</v>
      </c>
      <c r="E3246" s="4" t="s">
        <v>686</v>
      </c>
      <c r="F3246" s="4" t="s">
        <v>112</v>
      </c>
      <c r="G3246" s="5" t="s">
        <v>686</v>
      </c>
    </row>
    <row r="3247" spans="1:7" x14ac:dyDescent="0.25">
      <c r="A3247" s="17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</row>
    <row r="3248" spans="1:7" x14ac:dyDescent="0.25">
      <c r="A3248" s="17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</row>
    <row r="3249" spans="1:7" x14ac:dyDescent="0.25">
      <c r="A3249" s="17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</row>
    <row r="3250" spans="1:7" x14ac:dyDescent="0.25">
      <c r="A3250" s="17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</row>
    <row r="3251" spans="1:7" x14ac:dyDescent="0.25">
      <c r="A3251" s="17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</row>
    <row r="3252" spans="1:7" x14ac:dyDescent="0.25">
      <c r="A3252" s="17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</row>
    <row r="3253" spans="1:7" x14ac:dyDescent="0.25">
      <c r="A3253" s="17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</row>
    <row r="3254" spans="1:7" x14ac:dyDescent="0.25">
      <c r="A3254" s="17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</row>
    <row r="3255" spans="1:7" x14ac:dyDescent="0.25">
      <c r="A3255" s="17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</row>
    <row r="3256" spans="1:7" x14ac:dyDescent="0.25">
      <c r="A3256" s="17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</row>
    <row r="3257" spans="1:7" x14ac:dyDescent="0.25">
      <c r="A3257" s="17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</row>
    <row r="3258" spans="1:7" x14ac:dyDescent="0.25">
      <c r="A3258" s="17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</row>
    <row r="3259" spans="1:7" x14ac:dyDescent="0.25">
      <c r="A3259" s="17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</row>
    <row r="3260" spans="1:7" x14ac:dyDescent="0.25">
      <c r="A3260" s="17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</row>
    <row r="3261" spans="1:7" x14ac:dyDescent="0.25">
      <c r="A3261" s="17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</row>
    <row r="3262" spans="1:7" x14ac:dyDescent="0.25">
      <c r="A3262" s="17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</row>
    <row r="3263" spans="1:7" x14ac:dyDescent="0.25">
      <c r="A3263" s="17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</row>
    <row r="3264" spans="1:7" x14ac:dyDescent="0.25">
      <c r="A3264" s="17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</row>
    <row r="3265" spans="1:7" x14ac:dyDescent="0.25">
      <c r="A3265" s="17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</row>
    <row r="3266" spans="1:7" x14ac:dyDescent="0.25">
      <c r="A3266" s="17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</row>
    <row r="3267" spans="1:7" x14ac:dyDescent="0.25">
      <c r="A3267" s="17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</row>
    <row r="3268" spans="1:7" x14ac:dyDescent="0.25">
      <c r="A3268" s="17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">
        <v>36</v>
      </c>
    </row>
    <row r="3269" spans="1:7" x14ac:dyDescent="0.25">
      <c r="A3269" s="17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</row>
    <row r="3270" spans="1:7" x14ac:dyDescent="0.25">
      <c r="A3270" s="17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</row>
    <row r="3271" spans="1:7" x14ac:dyDescent="0.25">
      <c r="A3271" s="17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</row>
    <row r="3272" spans="1:7" x14ac:dyDescent="0.25">
      <c r="A3272" s="17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</row>
    <row r="3273" spans="1:7" x14ac:dyDescent="0.25">
      <c r="A3273" s="17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</row>
    <row r="3274" spans="1:7" x14ac:dyDescent="0.25">
      <c r="A3274" s="17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</row>
    <row r="3275" spans="1:7" x14ac:dyDescent="0.25">
      <c r="A3275" s="17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</row>
    <row r="3276" spans="1:7" x14ac:dyDescent="0.25">
      <c r="A3276" s="17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</row>
    <row r="3277" spans="1:7" x14ac:dyDescent="0.25">
      <c r="A3277" s="17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</row>
    <row r="3278" spans="1:7" x14ac:dyDescent="0.25">
      <c r="A3278" s="17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</row>
    <row r="3279" spans="1:7" x14ac:dyDescent="0.25">
      <c r="A3279" s="17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</row>
    <row r="3280" spans="1:7" x14ac:dyDescent="0.25">
      <c r="A3280" s="17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</row>
    <row r="3281" spans="1:7" x14ac:dyDescent="0.25">
      <c r="A3281" s="17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</row>
    <row r="3282" spans="1:7" x14ac:dyDescent="0.25">
      <c r="A3282" s="17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16</v>
      </c>
    </row>
    <row r="3283" spans="1:7" x14ac:dyDescent="0.25">
      <c r="A3283" s="17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</row>
    <row r="3284" spans="1:7" x14ac:dyDescent="0.25">
      <c r="A3284" s="17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</row>
    <row r="3285" spans="1:7" x14ac:dyDescent="0.25">
      <c r="A3285" s="17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</row>
    <row r="3286" spans="1:7" x14ac:dyDescent="0.25">
      <c r="A3286" s="17"/>
      <c r="B3286" s="4" t="s">
        <v>3198</v>
      </c>
      <c r="C3286" s="4" t="s">
        <v>35</v>
      </c>
      <c r="D3286" s="4" t="s">
        <v>35</v>
      </c>
      <c r="E3286" s="4" t="s">
        <v>57</v>
      </c>
      <c r="F3286" s="4" t="s">
        <v>2718</v>
      </c>
      <c r="G3286" s="5" t="s">
        <v>11</v>
      </c>
    </row>
    <row r="3287" spans="1:7" x14ac:dyDescent="0.25">
      <c r="A3287" s="17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</row>
    <row r="3288" spans="1:7" x14ac:dyDescent="0.25">
      <c r="A3288" s="17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</row>
    <row r="3289" spans="1:7" x14ac:dyDescent="0.25">
      <c r="A3289" s="17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</row>
    <row r="3290" spans="1:7" x14ac:dyDescent="0.25">
      <c r="A3290" s="17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">
        <v>11</v>
      </c>
    </row>
    <row r="3291" spans="1:7" x14ac:dyDescent="0.25">
      <c r="A3291" s="17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11</v>
      </c>
    </row>
    <row r="3292" spans="1:7" x14ac:dyDescent="0.25">
      <c r="A3292" s="17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</row>
    <row r="3293" spans="1:7" x14ac:dyDescent="0.25">
      <c r="A3293" s="17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</row>
    <row r="3294" spans="1:7" x14ac:dyDescent="0.25">
      <c r="A3294" s="17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</row>
    <row r="3295" spans="1:7" x14ac:dyDescent="0.25">
      <c r="A3295" s="17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</row>
    <row r="3296" spans="1:7" x14ac:dyDescent="0.25">
      <c r="A3296" s="17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</row>
    <row r="3297" spans="1:7" x14ac:dyDescent="0.25">
      <c r="A3297" s="17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</row>
    <row r="3298" spans="1:7" x14ac:dyDescent="0.25">
      <c r="A3298" s="17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</row>
    <row r="3299" spans="1:7" x14ac:dyDescent="0.25">
      <c r="A3299" s="17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">
        <v>11</v>
      </c>
    </row>
    <row r="3300" spans="1:7" x14ac:dyDescent="0.25">
      <c r="A3300" s="17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</row>
    <row r="3301" spans="1:7" x14ac:dyDescent="0.25">
      <c r="A3301" s="17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">
        <v>26</v>
      </c>
    </row>
    <row r="3302" spans="1:7" x14ac:dyDescent="0.25">
      <c r="A3302" s="17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</row>
    <row r="3303" spans="1:7" x14ac:dyDescent="0.25">
      <c r="A3303" s="17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</row>
    <row r="3304" spans="1:7" x14ac:dyDescent="0.25">
      <c r="A3304" s="17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</row>
    <row r="3305" spans="1:7" x14ac:dyDescent="0.25">
      <c r="A3305" s="17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</row>
    <row r="3306" spans="1:7" x14ac:dyDescent="0.25">
      <c r="A3306" s="17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</row>
    <row r="3307" spans="1:7" x14ac:dyDescent="0.25">
      <c r="A3307" s="17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</row>
    <row r="3308" spans="1:7" x14ac:dyDescent="0.25">
      <c r="A3308" s="17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</row>
    <row r="3309" spans="1:7" x14ac:dyDescent="0.25">
      <c r="A3309" s="17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</row>
    <row r="3310" spans="1:7" x14ac:dyDescent="0.25">
      <c r="A3310" s="17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</row>
    <row r="3311" spans="1:7" x14ac:dyDescent="0.25">
      <c r="A3311" s="17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</row>
    <row r="3312" spans="1:7" x14ac:dyDescent="0.25">
      <c r="A3312" s="17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</row>
    <row r="3313" spans="1:7" x14ac:dyDescent="0.25">
      <c r="A3313" s="17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</row>
    <row r="3314" spans="1:7" x14ac:dyDescent="0.25">
      <c r="A3314" s="17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</row>
    <row r="3315" spans="1:7" x14ac:dyDescent="0.25">
      <c r="A3315" s="17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</row>
    <row r="3316" spans="1:7" x14ac:dyDescent="0.25">
      <c r="A3316" s="17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</row>
    <row r="3317" spans="1:7" x14ac:dyDescent="0.25">
      <c r="A3317" s="17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</row>
    <row r="3318" spans="1:7" x14ac:dyDescent="0.25">
      <c r="A3318" s="17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</row>
    <row r="3319" spans="1:7" x14ac:dyDescent="0.25">
      <c r="A3319" s="17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</row>
    <row r="3320" spans="1:7" x14ac:dyDescent="0.25">
      <c r="A3320" s="17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</row>
    <row r="3321" spans="1:7" x14ac:dyDescent="0.25">
      <c r="A3321" s="17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</row>
    <row r="3322" spans="1:7" x14ac:dyDescent="0.25">
      <c r="A3322" s="17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</row>
    <row r="3323" spans="1:7" x14ac:dyDescent="0.25">
      <c r="A3323" s="17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</row>
    <row r="3324" spans="1:7" x14ac:dyDescent="0.25">
      <c r="A3324" s="17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</row>
    <row r="3325" spans="1:7" x14ac:dyDescent="0.25">
      <c r="A3325" s="17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</row>
    <row r="3326" spans="1:7" x14ac:dyDescent="0.25">
      <c r="A3326" s="17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</row>
    <row r="3327" spans="1:7" x14ac:dyDescent="0.25">
      <c r="A3327" s="17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</row>
    <row r="3328" spans="1:7" x14ac:dyDescent="0.25">
      <c r="A3328" s="17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">
        <v>11</v>
      </c>
    </row>
    <row r="3329" spans="1:7" x14ac:dyDescent="0.25">
      <c r="A3329" s="17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</row>
    <row r="3330" spans="1:7" x14ac:dyDescent="0.25">
      <c r="A3330" s="17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">
        <v>11</v>
      </c>
    </row>
    <row r="3331" spans="1:7" x14ac:dyDescent="0.25">
      <c r="A3331" s="17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</row>
    <row r="3332" spans="1:7" x14ac:dyDescent="0.25">
      <c r="A3332" s="17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</row>
    <row r="3333" spans="1:7" x14ac:dyDescent="0.25">
      <c r="A3333" s="17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</row>
    <row r="3334" spans="1:7" x14ac:dyDescent="0.25">
      <c r="A3334" s="17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</row>
    <row r="3335" spans="1:7" x14ac:dyDescent="0.25">
      <c r="A3335" s="17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</row>
    <row r="3336" spans="1:7" x14ac:dyDescent="0.25">
      <c r="A3336" s="17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</row>
    <row r="3337" spans="1:7" x14ac:dyDescent="0.25">
      <c r="A3337" s="17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</row>
    <row r="3338" spans="1:7" x14ac:dyDescent="0.25">
      <c r="A3338" s="17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</row>
    <row r="3339" spans="1:7" x14ac:dyDescent="0.25">
      <c r="A3339" s="17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</row>
    <row r="3340" spans="1:7" x14ac:dyDescent="0.25">
      <c r="A3340" s="17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</row>
    <row r="3341" spans="1:7" x14ac:dyDescent="0.25">
      <c r="A3341" s="17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</row>
    <row r="3342" spans="1:7" x14ac:dyDescent="0.25">
      <c r="A3342" s="17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</row>
    <row r="3343" spans="1:7" x14ac:dyDescent="0.25">
      <c r="A3343" s="17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</row>
    <row r="3344" spans="1:7" x14ac:dyDescent="0.25">
      <c r="A3344" s="17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</row>
    <row r="3345" spans="1:7" x14ac:dyDescent="0.25">
      <c r="A3345" s="17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</row>
    <row r="3346" spans="1:7" x14ac:dyDescent="0.25">
      <c r="A3346" s="17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</row>
    <row r="3347" spans="1:7" x14ac:dyDescent="0.25">
      <c r="A3347" s="17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</row>
    <row r="3348" spans="1:7" x14ac:dyDescent="0.25">
      <c r="A3348" s="17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</row>
    <row r="3349" spans="1:7" x14ac:dyDescent="0.25">
      <c r="A3349" s="17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</row>
    <row r="3350" spans="1:7" x14ac:dyDescent="0.25">
      <c r="A3350" s="17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</row>
    <row r="3351" spans="1:7" x14ac:dyDescent="0.25">
      <c r="A3351" s="17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11</v>
      </c>
    </row>
    <row r="3352" spans="1:7" x14ac:dyDescent="0.25">
      <c r="A3352" s="17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</row>
    <row r="3353" spans="1:7" x14ac:dyDescent="0.25">
      <c r="A3353" s="17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</row>
    <row r="3354" spans="1:7" x14ac:dyDescent="0.25">
      <c r="A3354" s="17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</row>
    <row r="3355" spans="1:7" x14ac:dyDescent="0.25">
      <c r="A3355" s="17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</row>
    <row r="3356" spans="1:7" x14ac:dyDescent="0.25">
      <c r="A3356" s="17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</row>
    <row r="3357" spans="1:7" x14ac:dyDescent="0.25">
      <c r="A3357" s="17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</row>
    <row r="3358" spans="1:7" x14ac:dyDescent="0.25">
      <c r="A3358" s="17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</row>
    <row r="3359" spans="1:7" x14ac:dyDescent="0.25">
      <c r="A3359" s="17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</row>
    <row r="3360" spans="1:7" x14ac:dyDescent="0.25">
      <c r="A3360" s="17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</row>
    <row r="3361" spans="1:7" x14ac:dyDescent="0.25">
      <c r="A3361" s="17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</row>
    <row r="3362" spans="1:7" x14ac:dyDescent="0.25">
      <c r="A3362" s="17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</row>
    <row r="3363" spans="1:7" x14ac:dyDescent="0.25">
      <c r="A3363" s="17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</row>
    <row r="3364" spans="1:7" x14ac:dyDescent="0.25">
      <c r="A3364" s="17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</row>
    <row r="3365" spans="1:7" x14ac:dyDescent="0.25">
      <c r="A3365" s="17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</row>
    <row r="3366" spans="1:7" x14ac:dyDescent="0.25">
      <c r="A3366" s="17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</row>
    <row r="3367" spans="1:7" x14ac:dyDescent="0.25">
      <c r="A3367" s="17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</row>
    <row r="3368" spans="1:7" x14ac:dyDescent="0.25">
      <c r="A3368" s="17"/>
      <c r="B3368" s="4" t="s">
        <v>3280</v>
      </c>
      <c r="C3368" s="4" t="s">
        <v>35</v>
      </c>
      <c r="D3368" s="4" t="s">
        <v>35</v>
      </c>
      <c r="E3368" s="4" t="s">
        <v>57</v>
      </c>
      <c r="F3368" s="4" t="s">
        <v>956</v>
      </c>
      <c r="G3368" s="5" t="s">
        <v>57</v>
      </c>
    </row>
    <row r="3369" spans="1:7" x14ac:dyDescent="0.25">
      <c r="A3369" s="17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</row>
    <row r="3370" spans="1:7" x14ac:dyDescent="0.25">
      <c r="A3370" s="17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</row>
    <row r="3371" spans="1:7" x14ac:dyDescent="0.25">
      <c r="A3371" s="17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</row>
    <row r="3372" spans="1:7" x14ac:dyDescent="0.25">
      <c r="A3372" s="17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</row>
    <row r="3373" spans="1:7" x14ac:dyDescent="0.25">
      <c r="A3373" s="17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</row>
    <row r="3374" spans="1:7" x14ac:dyDescent="0.25">
      <c r="A3374" s="17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</row>
    <row r="3375" spans="1:7" x14ac:dyDescent="0.25">
      <c r="A3375" s="17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</row>
    <row r="3376" spans="1:7" x14ac:dyDescent="0.25">
      <c r="A3376" s="17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</row>
    <row r="3377" spans="1:7" x14ac:dyDescent="0.25">
      <c r="A3377" s="17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</row>
    <row r="3378" spans="1:7" x14ac:dyDescent="0.25">
      <c r="A3378" s="17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</row>
    <row r="3379" spans="1:7" x14ac:dyDescent="0.25">
      <c r="A3379" s="17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</row>
    <row r="3380" spans="1:7" x14ac:dyDescent="0.25">
      <c r="A3380" s="17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</row>
    <row r="3381" spans="1:7" x14ac:dyDescent="0.25">
      <c r="A3381" s="17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</row>
    <row r="3382" spans="1:7" x14ac:dyDescent="0.25">
      <c r="A3382" s="17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</row>
    <row r="3383" spans="1:7" x14ac:dyDescent="0.25">
      <c r="A3383" s="17"/>
      <c r="B3383" s="4" t="s">
        <v>3295</v>
      </c>
      <c r="C3383" s="4" t="s">
        <v>14</v>
      </c>
      <c r="D3383" s="4" t="s">
        <v>15</v>
      </c>
      <c r="E3383" s="4" t="s">
        <v>16</v>
      </c>
      <c r="F3383" s="4" t="s">
        <v>14</v>
      </c>
      <c r="G3383" s="5" t="s">
        <v>16</v>
      </c>
    </row>
    <row r="3384" spans="1:7" x14ac:dyDescent="0.25">
      <c r="A3384" s="17"/>
      <c r="B3384" s="4" t="s">
        <v>3296</v>
      </c>
      <c r="C3384" s="4" t="s">
        <v>35</v>
      </c>
      <c r="D3384" s="4" t="s">
        <v>35</v>
      </c>
      <c r="E3384" s="4" t="s">
        <v>57</v>
      </c>
      <c r="F3384" s="4" t="s">
        <v>973</v>
      </c>
      <c r="G3384" s="5" t="s">
        <v>57</v>
      </c>
    </row>
    <row r="3385" spans="1:7" x14ac:dyDescent="0.25">
      <c r="A3385" s="17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</row>
    <row r="3386" spans="1:7" x14ac:dyDescent="0.25">
      <c r="A3386" s="17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549</v>
      </c>
    </row>
    <row r="3387" spans="1:7" x14ac:dyDescent="0.25">
      <c r="A3387" s="17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</row>
    <row r="3388" spans="1:7" x14ac:dyDescent="0.25">
      <c r="A3388" s="17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</row>
    <row r="3389" spans="1:7" x14ac:dyDescent="0.25">
      <c r="A3389" s="17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</row>
    <row r="3390" spans="1:7" x14ac:dyDescent="0.25">
      <c r="A3390" s="17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</row>
    <row r="3391" spans="1:7" x14ac:dyDescent="0.25">
      <c r="A3391" s="17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</row>
    <row r="3392" spans="1:7" x14ac:dyDescent="0.25">
      <c r="A3392" s="17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</row>
    <row r="3393" spans="1:7" x14ac:dyDescent="0.25">
      <c r="A3393" s="17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</row>
    <row r="3394" spans="1:7" x14ac:dyDescent="0.25">
      <c r="A3394" s="17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</row>
    <row r="3395" spans="1:7" x14ac:dyDescent="0.25">
      <c r="A3395" s="17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</row>
    <row r="3396" spans="1:7" x14ac:dyDescent="0.25">
      <c r="A3396" s="17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</row>
    <row r="3397" spans="1:7" x14ac:dyDescent="0.25">
      <c r="A3397" s="17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</row>
    <row r="3398" spans="1:7" x14ac:dyDescent="0.25">
      <c r="A3398" s="17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</row>
    <row r="3399" spans="1:7" x14ac:dyDescent="0.25">
      <c r="A3399" s="17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</row>
    <row r="3400" spans="1:7" x14ac:dyDescent="0.25">
      <c r="A3400" s="17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</row>
    <row r="3401" spans="1:7" x14ac:dyDescent="0.25">
      <c r="A3401" s="17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</row>
    <row r="3402" spans="1:7" x14ac:dyDescent="0.25">
      <c r="A3402" s="17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</row>
    <row r="3403" spans="1:7" x14ac:dyDescent="0.25">
      <c r="A3403" s="17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</row>
    <row r="3404" spans="1:7" x14ac:dyDescent="0.25">
      <c r="A3404" s="17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</row>
    <row r="3405" spans="1:7" x14ac:dyDescent="0.25">
      <c r="A3405" s="17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</row>
    <row r="3406" spans="1:7" x14ac:dyDescent="0.25">
      <c r="A3406" s="17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">
        <v>11</v>
      </c>
    </row>
    <row r="3407" spans="1:7" x14ac:dyDescent="0.25">
      <c r="A3407" s="17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</row>
    <row r="3408" spans="1:7" x14ac:dyDescent="0.25">
      <c r="A3408" s="17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</row>
    <row r="3409" spans="1:7" x14ac:dyDescent="0.25">
      <c r="A3409" s="17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</row>
    <row r="3410" spans="1:7" x14ac:dyDescent="0.25">
      <c r="A3410" s="17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</row>
    <row r="3411" spans="1:7" x14ac:dyDescent="0.25">
      <c r="A3411" s="17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</row>
    <row r="3412" spans="1:7" x14ac:dyDescent="0.25">
      <c r="A3412" s="17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</row>
    <row r="3413" spans="1:7" x14ac:dyDescent="0.25">
      <c r="A3413" s="17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</row>
    <row r="3414" spans="1:7" x14ac:dyDescent="0.25">
      <c r="A3414" s="17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</row>
    <row r="3415" spans="1:7" x14ac:dyDescent="0.25">
      <c r="A3415" s="17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</row>
    <row r="3416" spans="1:7" x14ac:dyDescent="0.25">
      <c r="A3416" s="17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</row>
    <row r="3417" spans="1:7" x14ac:dyDescent="0.25">
      <c r="A3417" s="17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</row>
    <row r="3418" spans="1:7" x14ac:dyDescent="0.25">
      <c r="A3418" s="17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</row>
    <row r="3419" spans="1:7" x14ac:dyDescent="0.25">
      <c r="A3419" s="17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</row>
    <row r="3420" spans="1:7" x14ac:dyDescent="0.25">
      <c r="A3420" s="17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</row>
    <row r="3421" spans="1:7" x14ac:dyDescent="0.25">
      <c r="A3421" s="17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16</v>
      </c>
    </row>
    <row r="3422" spans="1:7" x14ac:dyDescent="0.25">
      <c r="A3422" s="17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</row>
    <row r="3423" spans="1:7" x14ac:dyDescent="0.25">
      <c r="A3423" s="17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</row>
    <row r="3424" spans="1:7" x14ac:dyDescent="0.25">
      <c r="A3424" s="17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">
        <v>11</v>
      </c>
    </row>
    <row r="3425" spans="1:7" x14ac:dyDescent="0.25">
      <c r="A3425" s="17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</row>
    <row r="3426" spans="1:7" x14ac:dyDescent="0.25">
      <c r="A3426" s="17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</row>
    <row r="3427" spans="1:7" x14ac:dyDescent="0.25">
      <c r="A3427" s="17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</row>
    <row r="3428" spans="1:7" x14ac:dyDescent="0.25">
      <c r="A3428" s="17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</row>
    <row r="3429" spans="1:7" x14ac:dyDescent="0.25">
      <c r="A3429" s="17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</row>
    <row r="3430" spans="1:7" x14ac:dyDescent="0.25">
      <c r="A3430" s="17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</row>
    <row r="3431" spans="1:7" x14ac:dyDescent="0.25">
      <c r="A3431" s="17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</row>
    <row r="3432" spans="1:7" x14ac:dyDescent="0.25">
      <c r="A3432" s="17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</row>
    <row r="3433" spans="1:7" x14ac:dyDescent="0.25">
      <c r="A3433" s="17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</row>
    <row r="3434" spans="1:7" x14ac:dyDescent="0.25">
      <c r="A3434" s="17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</row>
    <row r="3435" spans="1:7" x14ac:dyDescent="0.25">
      <c r="A3435" s="17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</row>
    <row r="3436" spans="1:7" x14ac:dyDescent="0.25">
      <c r="A3436" s="17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</row>
    <row r="3437" spans="1:7" x14ac:dyDescent="0.25">
      <c r="A3437" s="17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</row>
    <row r="3438" spans="1:7" x14ac:dyDescent="0.25">
      <c r="A3438" s="17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</row>
    <row r="3439" spans="1:7" x14ac:dyDescent="0.25">
      <c r="A3439" s="17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</row>
    <row r="3440" spans="1:7" x14ac:dyDescent="0.25">
      <c r="A3440" s="17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</row>
    <row r="3441" spans="1:7" x14ac:dyDescent="0.25">
      <c r="A3441" s="17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</row>
    <row r="3442" spans="1:7" x14ac:dyDescent="0.25">
      <c r="A3442" s="17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</row>
    <row r="3443" spans="1:7" x14ac:dyDescent="0.25">
      <c r="A3443" s="17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</row>
    <row r="3444" spans="1:7" x14ac:dyDescent="0.25">
      <c r="A3444" s="17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</row>
    <row r="3445" spans="1:7" x14ac:dyDescent="0.25">
      <c r="A3445" s="17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</row>
    <row r="3446" spans="1:7" x14ac:dyDescent="0.25">
      <c r="A3446" s="17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</row>
    <row r="3447" spans="1:7" x14ac:dyDescent="0.25">
      <c r="A3447" s="17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</row>
    <row r="3448" spans="1:7" x14ac:dyDescent="0.25">
      <c r="A3448" s="17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</row>
    <row r="3449" spans="1:7" x14ac:dyDescent="0.25">
      <c r="A3449" s="17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</row>
    <row r="3450" spans="1:7" x14ac:dyDescent="0.25">
      <c r="A3450" s="17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</row>
    <row r="3451" spans="1:7" x14ac:dyDescent="0.25">
      <c r="A3451" s="17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</row>
    <row r="3452" spans="1:7" x14ac:dyDescent="0.25">
      <c r="A3452" s="17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</row>
    <row r="3453" spans="1:7" x14ac:dyDescent="0.25">
      <c r="A3453" s="17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</row>
    <row r="3454" spans="1:7" x14ac:dyDescent="0.25">
      <c r="A3454" s="17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</row>
    <row r="3455" spans="1:7" x14ac:dyDescent="0.25">
      <c r="A3455" s="17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</row>
    <row r="3456" spans="1:7" x14ac:dyDescent="0.25">
      <c r="A3456" s="17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</row>
    <row r="3457" spans="1:7" x14ac:dyDescent="0.25">
      <c r="A3457" s="17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</row>
    <row r="3458" spans="1:7" x14ac:dyDescent="0.25">
      <c r="A3458" s="17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</row>
    <row r="3459" spans="1:7" x14ac:dyDescent="0.25">
      <c r="A3459" s="17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</row>
    <row r="3460" spans="1:7" x14ac:dyDescent="0.25">
      <c r="A3460" s="17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</row>
    <row r="3461" spans="1:7" x14ac:dyDescent="0.25">
      <c r="A3461" s="17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</row>
    <row r="3462" spans="1:7" x14ac:dyDescent="0.25">
      <c r="A3462" s="17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</row>
    <row r="3463" spans="1:7" x14ac:dyDescent="0.25">
      <c r="A3463" s="17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</row>
    <row r="3464" spans="1:7" x14ac:dyDescent="0.25">
      <c r="A3464" s="17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</row>
    <row r="3465" spans="1:7" x14ac:dyDescent="0.25">
      <c r="A3465" s="17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</row>
    <row r="3466" spans="1:7" x14ac:dyDescent="0.25">
      <c r="A3466" s="17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</row>
    <row r="3467" spans="1:7" x14ac:dyDescent="0.25">
      <c r="A3467" s="17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</row>
    <row r="3468" spans="1:7" x14ac:dyDescent="0.25">
      <c r="A3468" s="17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</row>
    <row r="3469" spans="1:7" x14ac:dyDescent="0.25">
      <c r="A3469" s="17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</row>
    <row r="3470" spans="1:7" x14ac:dyDescent="0.25">
      <c r="A3470" s="17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</row>
    <row r="3471" spans="1:7" x14ac:dyDescent="0.25">
      <c r="A3471" s="17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</row>
    <row r="3472" spans="1:7" x14ac:dyDescent="0.25">
      <c r="A3472" s="17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</row>
    <row r="3473" spans="1:7" x14ac:dyDescent="0.25">
      <c r="A3473" s="17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</row>
    <row r="3474" spans="1:7" x14ac:dyDescent="0.25">
      <c r="A3474" s="17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">
        <v>11</v>
      </c>
    </row>
    <row r="3475" spans="1:7" x14ac:dyDescent="0.25">
      <c r="A3475" s="17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</row>
    <row r="3476" spans="1:7" x14ac:dyDescent="0.25">
      <c r="A3476" s="17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</row>
    <row r="3477" spans="1:7" x14ac:dyDescent="0.25">
      <c r="A3477" s="17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</row>
    <row r="3478" spans="1:7" x14ac:dyDescent="0.25">
      <c r="A3478" s="17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</row>
    <row r="3479" spans="1:7" x14ac:dyDescent="0.25">
      <c r="A3479" s="17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</row>
    <row r="3480" spans="1:7" x14ac:dyDescent="0.25">
      <c r="A3480" s="17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</row>
    <row r="3481" spans="1:7" x14ac:dyDescent="0.25">
      <c r="A3481" s="17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</row>
    <row r="3482" spans="1:7" x14ac:dyDescent="0.25">
      <c r="A3482" s="17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</row>
    <row r="3483" spans="1:7" x14ac:dyDescent="0.25">
      <c r="A3483" s="17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">
        <v>549</v>
      </c>
    </row>
    <row r="3484" spans="1:7" x14ac:dyDescent="0.25">
      <c r="A3484" s="17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</row>
    <row r="3485" spans="1:7" x14ac:dyDescent="0.25">
      <c r="A3485" s="17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</row>
    <row r="3486" spans="1:7" x14ac:dyDescent="0.25">
      <c r="A3486" s="17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</row>
    <row r="3487" spans="1:7" x14ac:dyDescent="0.25">
      <c r="A3487" s="17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</row>
    <row r="3488" spans="1:7" x14ac:dyDescent="0.25">
      <c r="A3488" s="17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</row>
    <row r="3489" spans="1:7" x14ac:dyDescent="0.25">
      <c r="A3489" s="17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</row>
    <row r="3490" spans="1:7" x14ac:dyDescent="0.25">
      <c r="A3490" s="17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</row>
    <row r="3491" spans="1:7" x14ac:dyDescent="0.25">
      <c r="A3491" s="17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</row>
    <row r="3492" spans="1:7" x14ac:dyDescent="0.25">
      <c r="A3492" s="17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</row>
    <row r="3493" spans="1:7" x14ac:dyDescent="0.25">
      <c r="A3493" s="17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</row>
    <row r="3494" spans="1:7" x14ac:dyDescent="0.25">
      <c r="A3494" s="17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</row>
    <row r="3495" spans="1:7" x14ac:dyDescent="0.25">
      <c r="A3495" s="17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</row>
    <row r="3496" spans="1:7" x14ac:dyDescent="0.25">
      <c r="A3496" s="17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</row>
    <row r="3497" spans="1:7" x14ac:dyDescent="0.25">
      <c r="A3497" s="17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</row>
    <row r="3498" spans="1:7" x14ac:dyDescent="0.25">
      <c r="A3498" s="17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</row>
    <row r="3499" spans="1:7" x14ac:dyDescent="0.25">
      <c r="A3499" s="17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</row>
    <row r="3500" spans="1:7" x14ac:dyDescent="0.25">
      <c r="A3500" s="17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</row>
    <row r="3501" spans="1:7" x14ac:dyDescent="0.25">
      <c r="A3501" s="17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</row>
    <row r="3502" spans="1:7" x14ac:dyDescent="0.25">
      <c r="A3502" s="17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</row>
    <row r="3503" spans="1:7" x14ac:dyDescent="0.25">
      <c r="A3503" s="17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</row>
    <row r="3504" spans="1:7" x14ac:dyDescent="0.25">
      <c r="A3504" s="17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</row>
    <row r="3505" spans="1:7" x14ac:dyDescent="0.25">
      <c r="A3505" s="17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</row>
    <row r="3506" spans="1:7" x14ac:dyDescent="0.25">
      <c r="A3506" s="17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</row>
    <row r="3507" spans="1:7" x14ac:dyDescent="0.25">
      <c r="A3507" s="17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</row>
    <row r="3508" spans="1:7" x14ac:dyDescent="0.25">
      <c r="A3508" s="17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</row>
    <row r="3509" spans="1:7" x14ac:dyDescent="0.25">
      <c r="A3509" s="17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</row>
    <row r="3510" spans="1:7" x14ac:dyDescent="0.25">
      <c r="A3510" s="17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</row>
    <row r="3511" spans="1:7" x14ac:dyDescent="0.25">
      <c r="A3511" s="17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</row>
    <row r="3512" spans="1:7" x14ac:dyDescent="0.25">
      <c r="A3512" s="17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</row>
    <row r="3513" spans="1:7" x14ac:dyDescent="0.25">
      <c r="A3513" s="17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</row>
    <row r="3514" spans="1:7" x14ac:dyDescent="0.25">
      <c r="A3514" s="17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</row>
    <row r="3515" spans="1:7" x14ac:dyDescent="0.25">
      <c r="A3515" s="17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</row>
    <row r="3516" spans="1:7" x14ac:dyDescent="0.25">
      <c r="A3516" s="17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</row>
    <row r="3517" spans="1:7" x14ac:dyDescent="0.25">
      <c r="A3517" s="17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</row>
    <row r="3518" spans="1:7" x14ac:dyDescent="0.25">
      <c r="A3518" s="17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</row>
    <row r="3519" spans="1:7" x14ac:dyDescent="0.25">
      <c r="A3519" s="17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</row>
    <row r="3520" spans="1:7" x14ac:dyDescent="0.25">
      <c r="A3520" s="17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</row>
    <row r="3521" spans="1:7" x14ac:dyDescent="0.25">
      <c r="A3521" s="17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</row>
    <row r="3522" spans="1:7" x14ac:dyDescent="0.25">
      <c r="A3522" s="17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</row>
    <row r="3523" spans="1:7" x14ac:dyDescent="0.25">
      <c r="A3523" s="17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</row>
    <row r="3524" spans="1:7" x14ac:dyDescent="0.25">
      <c r="A3524" s="17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</row>
    <row r="3525" spans="1:7" x14ac:dyDescent="0.25">
      <c r="A3525" s="17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</row>
    <row r="3526" spans="1:7" x14ac:dyDescent="0.25">
      <c r="A3526" s="17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</row>
    <row r="3527" spans="1:7" x14ac:dyDescent="0.25">
      <c r="A3527" s="17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</row>
    <row r="3528" spans="1:7" x14ac:dyDescent="0.25">
      <c r="A3528" s="17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</row>
    <row r="3529" spans="1:7" x14ac:dyDescent="0.25">
      <c r="A3529" s="17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20</v>
      </c>
    </row>
    <row r="3530" spans="1:7" x14ac:dyDescent="0.25">
      <c r="A3530" s="17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</row>
    <row r="3531" spans="1:7" x14ac:dyDescent="0.25">
      <c r="A3531" s="17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</row>
    <row r="3532" spans="1:7" x14ac:dyDescent="0.25">
      <c r="A3532" s="17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</row>
    <row r="3533" spans="1:7" x14ac:dyDescent="0.25">
      <c r="A3533" s="17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">
        <v>11</v>
      </c>
    </row>
    <row r="3534" spans="1:7" x14ac:dyDescent="0.25">
      <c r="A3534" s="17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</row>
    <row r="3535" spans="1:7" x14ac:dyDescent="0.25">
      <c r="A3535" s="17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</row>
    <row r="3536" spans="1:7" x14ac:dyDescent="0.25">
      <c r="A3536" s="17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</row>
    <row r="3537" spans="1:7" x14ac:dyDescent="0.25">
      <c r="A3537" s="17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</row>
    <row r="3538" spans="1:7" x14ac:dyDescent="0.25">
      <c r="A3538" s="17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</row>
    <row r="3539" spans="1:7" x14ac:dyDescent="0.25">
      <c r="A3539" s="17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</row>
    <row r="3540" spans="1:7" x14ac:dyDescent="0.25">
      <c r="A3540" s="17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</row>
    <row r="3541" spans="1:7" x14ac:dyDescent="0.25">
      <c r="A3541" s="17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</row>
    <row r="3542" spans="1:7" x14ac:dyDescent="0.25">
      <c r="A3542" s="17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</row>
    <row r="3543" spans="1:7" x14ac:dyDescent="0.25">
      <c r="A3543" s="17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</row>
    <row r="3544" spans="1:7" x14ac:dyDescent="0.25">
      <c r="A3544" s="17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</row>
    <row r="3545" spans="1:7" x14ac:dyDescent="0.25">
      <c r="A3545" s="17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</row>
    <row r="3546" spans="1:7" x14ac:dyDescent="0.25">
      <c r="A3546" s="17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</row>
    <row r="3547" spans="1:7" x14ac:dyDescent="0.25">
      <c r="A3547" s="17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</row>
    <row r="3548" spans="1:7" x14ac:dyDescent="0.25">
      <c r="A3548" s="17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</row>
    <row r="3549" spans="1:7" x14ac:dyDescent="0.25">
      <c r="A3549" s="17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</row>
    <row r="3550" spans="1:7" x14ac:dyDescent="0.25">
      <c r="A3550" s="17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</row>
    <row r="3551" spans="1:7" x14ac:dyDescent="0.25">
      <c r="A3551" s="17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</row>
    <row r="3552" spans="1:7" x14ac:dyDescent="0.25">
      <c r="A3552" s="17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</row>
    <row r="3553" spans="1:7" x14ac:dyDescent="0.25">
      <c r="A3553" s="17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</row>
    <row r="3554" spans="1:7" x14ac:dyDescent="0.25">
      <c r="A3554" s="17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</row>
    <row r="3555" spans="1:7" x14ac:dyDescent="0.25">
      <c r="A3555" s="17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</row>
    <row r="3556" spans="1:7" x14ac:dyDescent="0.25">
      <c r="A3556" s="17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</row>
    <row r="3557" spans="1:7" x14ac:dyDescent="0.25">
      <c r="A3557" s="17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</row>
    <row r="3558" spans="1:7" x14ac:dyDescent="0.25">
      <c r="A3558" s="17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</row>
    <row r="3559" spans="1:7" x14ac:dyDescent="0.25">
      <c r="A3559" s="17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26</v>
      </c>
    </row>
    <row r="3560" spans="1:7" x14ac:dyDescent="0.25">
      <c r="A3560" s="17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</row>
    <row r="3561" spans="1:7" x14ac:dyDescent="0.25">
      <c r="A3561" s="17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</row>
    <row r="3562" spans="1:7" x14ac:dyDescent="0.25">
      <c r="A3562" s="17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</row>
    <row r="3563" spans="1:7" x14ac:dyDescent="0.25">
      <c r="A3563" s="17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</row>
    <row r="3564" spans="1:7" x14ac:dyDescent="0.25">
      <c r="A3564" s="17"/>
      <c r="B3564" s="4" t="s">
        <v>3476</v>
      </c>
      <c r="C3564" s="4" t="s">
        <v>11</v>
      </c>
      <c r="D3564" s="4" t="s">
        <v>11</v>
      </c>
      <c r="E3564" s="4" t="s">
        <v>11</v>
      </c>
      <c r="F3564" s="4" t="s">
        <v>1270</v>
      </c>
      <c r="G3564" s="5" t="s">
        <v>11</v>
      </c>
    </row>
    <row r="3565" spans="1:7" x14ac:dyDescent="0.25">
      <c r="A3565" s="17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</row>
    <row r="3566" spans="1:7" x14ac:dyDescent="0.25">
      <c r="A3566" s="17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</row>
    <row r="3567" spans="1:7" x14ac:dyDescent="0.25">
      <c r="A3567" s="17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</row>
    <row r="3568" spans="1:7" x14ac:dyDescent="0.25">
      <c r="A3568" s="17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</row>
    <row r="3569" spans="1:7" x14ac:dyDescent="0.25">
      <c r="A3569" s="17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</row>
    <row r="3570" spans="1:7" x14ac:dyDescent="0.25">
      <c r="A3570" s="17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</row>
    <row r="3571" spans="1:7" x14ac:dyDescent="0.25">
      <c r="A3571" s="17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</row>
    <row r="3572" spans="1:7" x14ac:dyDescent="0.25">
      <c r="A3572" s="17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</row>
    <row r="3573" spans="1:7" x14ac:dyDescent="0.25">
      <c r="A3573" s="17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</row>
    <row r="3574" spans="1:7" x14ac:dyDescent="0.25">
      <c r="A3574" s="17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</row>
    <row r="3575" spans="1:7" x14ac:dyDescent="0.25">
      <c r="A3575" s="17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</row>
    <row r="3576" spans="1:7" x14ac:dyDescent="0.25">
      <c r="A3576" s="17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</row>
    <row r="3577" spans="1:7" x14ac:dyDescent="0.25">
      <c r="A3577" s="17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</row>
    <row r="3578" spans="1:7" x14ac:dyDescent="0.25">
      <c r="A3578" s="17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</row>
    <row r="3579" spans="1:7" x14ac:dyDescent="0.25">
      <c r="A3579" s="17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</row>
    <row r="3580" spans="1:7" x14ac:dyDescent="0.25">
      <c r="A3580" s="17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</row>
    <row r="3581" spans="1:7" x14ac:dyDescent="0.25">
      <c r="A3581" s="17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">
        <v>11</v>
      </c>
    </row>
    <row r="3582" spans="1:7" x14ac:dyDescent="0.25">
      <c r="A3582" s="17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</row>
    <row r="3583" spans="1:7" x14ac:dyDescent="0.25">
      <c r="A3583" s="17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</row>
    <row r="3584" spans="1:7" x14ac:dyDescent="0.25">
      <c r="A3584" s="17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</row>
    <row r="3585" spans="1:7" x14ac:dyDescent="0.25">
      <c r="A3585" s="17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</row>
    <row r="3586" spans="1:7" x14ac:dyDescent="0.25">
      <c r="A3586" s="17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</row>
    <row r="3587" spans="1:7" x14ac:dyDescent="0.25">
      <c r="A3587" s="17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</row>
    <row r="3588" spans="1:7" x14ac:dyDescent="0.25">
      <c r="A3588" s="17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</row>
    <row r="3589" spans="1:7" x14ac:dyDescent="0.25">
      <c r="A3589" s="17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</row>
    <row r="3590" spans="1:7" x14ac:dyDescent="0.25">
      <c r="A3590" s="17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</row>
    <row r="3591" spans="1:7" x14ac:dyDescent="0.25">
      <c r="A3591" s="17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</row>
    <row r="3592" spans="1:7" x14ac:dyDescent="0.25">
      <c r="A3592" s="17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</row>
    <row r="3593" spans="1:7" x14ac:dyDescent="0.25">
      <c r="A3593" s="17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</row>
    <row r="3594" spans="1:7" x14ac:dyDescent="0.25">
      <c r="A3594" s="17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</row>
    <row r="3595" spans="1:7" x14ac:dyDescent="0.25">
      <c r="A3595" s="17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</row>
    <row r="3596" spans="1:7" x14ac:dyDescent="0.25">
      <c r="A3596" s="17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</row>
    <row r="3597" spans="1:7" x14ac:dyDescent="0.25">
      <c r="A3597" s="17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">
        <v>11</v>
      </c>
    </row>
    <row r="3598" spans="1:7" x14ac:dyDescent="0.25">
      <c r="A3598" s="17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</row>
    <row r="3599" spans="1:7" x14ac:dyDescent="0.25">
      <c r="A3599" s="17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</row>
    <row r="3600" spans="1:7" x14ac:dyDescent="0.25">
      <c r="A3600" s="17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</row>
    <row r="3601" spans="1:7" x14ac:dyDescent="0.25">
      <c r="A3601" s="17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</row>
    <row r="3602" spans="1:7" x14ac:dyDescent="0.25">
      <c r="A3602" s="17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</row>
    <row r="3603" spans="1:7" x14ac:dyDescent="0.25">
      <c r="A3603" s="17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</row>
    <row r="3604" spans="1:7" x14ac:dyDescent="0.25">
      <c r="A3604" s="17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</row>
    <row r="3605" spans="1:7" x14ac:dyDescent="0.25">
      <c r="A3605" s="17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</row>
    <row r="3606" spans="1:7" x14ac:dyDescent="0.25">
      <c r="A3606" s="17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</row>
    <row r="3607" spans="1:7" x14ac:dyDescent="0.25">
      <c r="A3607" s="17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</row>
    <row r="3608" spans="1:7" x14ac:dyDescent="0.25">
      <c r="A3608" s="17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</row>
    <row r="3609" spans="1:7" x14ac:dyDescent="0.25">
      <c r="A3609" s="17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</row>
    <row r="3610" spans="1:7" x14ac:dyDescent="0.25">
      <c r="A3610" s="17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</row>
    <row r="3611" spans="1:7" x14ac:dyDescent="0.25">
      <c r="A3611" s="17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</row>
    <row r="3612" spans="1:7" x14ac:dyDescent="0.25">
      <c r="A3612" s="17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</row>
    <row r="3613" spans="1:7" x14ac:dyDescent="0.25">
      <c r="A3613" s="17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</row>
    <row r="3614" spans="1:7" x14ac:dyDescent="0.25">
      <c r="A3614" s="17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</row>
    <row r="3615" spans="1:7" x14ac:dyDescent="0.25">
      <c r="A3615" s="17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</row>
    <row r="3616" spans="1:7" x14ac:dyDescent="0.25">
      <c r="A3616" s="17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</row>
    <row r="3617" spans="1:7" x14ac:dyDescent="0.25">
      <c r="A3617" s="17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</row>
    <row r="3618" spans="1:7" x14ac:dyDescent="0.25">
      <c r="A3618" s="17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</row>
    <row r="3619" spans="1:7" x14ac:dyDescent="0.25">
      <c r="A3619" s="17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</row>
    <row r="3620" spans="1:7" x14ac:dyDescent="0.25">
      <c r="A3620" s="17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</row>
    <row r="3621" spans="1:7" x14ac:dyDescent="0.25">
      <c r="A3621" s="17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</row>
    <row r="3622" spans="1:7" x14ac:dyDescent="0.25">
      <c r="A3622" s="17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</row>
    <row r="3623" spans="1:7" x14ac:dyDescent="0.25">
      <c r="A3623" s="17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</row>
    <row r="3624" spans="1:7" x14ac:dyDescent="0.25">
      <c r="A3624" s="17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</row>
    <row r="3625" spans="1:7" x14ac:dyDescent="0.25">
      <c r="A3625" s="17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</row>
    <row r="3626" spans="1:7" x14ac:dyDescent="0.25">
      <c r="A3626" s="17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</row>
    <row r="3627" spans="1:7" x14ac:dyDescent="0.25">
      <c r="A3627" s="17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</row>
    <row r="3628" spans="1:7" x14ac:dyDescent="0.25">
      <c r="A3628" s="17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</row>
    <row r="3629" spans="1:7" x14ac:dyDescent="0.25">
      <c r="A3629" s="17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</row>
    <row r="3630" spans="1:7" x14ac:dyDescent="0.25">
      <c r="A3630" s="17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</row>
    <row r="3631" spans="1:7" x14ac:dyDescent="0.25">
      <c r="A3631" s="17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</row>
    <row r="3632" spans="1:7" x14ac:dyDescent="0.25">
      <c r="A3632" s="17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</row>
    <row r="3633" spans="1:7" x14ac:dyDescent="0.25">
      <c r="A3633" s="17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</row>
    <row r="3634" spans="1:7" x14ac:dyDescent="0.25">
      <c r="A3634" s="17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11</v>
      </c>
    </row>
    <row r="3635" spans="1:7" x14ac:dyDescent="0.25">
      <c r="A3635" s="17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</row>
    <row r="3636" spans="1:7" x14ac:dyDescent="0.25">
      <c r="A3636" s="17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</row>
    <row r="3637" spans="1:7" x14ac:dyDescent="0.25">
      <c r="A3637" s="17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</row>
    <row r="3638" spans="1:7" x14ac:dyDescent="0.25">
      <c r="A3638" s="17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</row>
    <row r="3639" spans="1:7" x14ac:dyDescent="0.25">
      <c r="A3639" s="17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</row>
    <row r="3640" spans="1:7" x14ac:dyDescent="0.25">
      <c r="A3640" s="17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</row>
    <row r="3641" spans="1:7" x14ac:dyDescent="0.25">
      <c r="A3641" s="17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</row>
    <row r="3642" spans="1:7" x14ac:dyDescent="0.25">
      <c r="A3642" s="17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</row>
    <row r="3643" spans="1:7" x14ac:dyDescent="0.25">
      <c r="A3643" s="17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</row>
    <row r="3644" spans="1:7" x14ac:dyDescent="0.25">
      <c r="A3644" s="17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</row>
    <row r="3645" spans="1:7" x14ac:dyDescent="0.25">
      <c r="A3645" s="17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</row>
    <row r="3646" spans="1:7" x14ac:dyDescent="0.25">
      <c r="A3646" s="17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</row>
    <row r="3647" spans="1:7" x14ac:dyDescent="0.25">
      <c r="A3647" s="17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</row>
    <row r="3648" spans="1:7" x14ac:dyDescent="0.25">
      <c r="A3648" s="17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</row>
    <row r="3649" spans="1:7" x14ac:dyDescent="0.25">
      <c r="A3649" s="17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</row>
    <row r="3650" spans="1:7" x14ac:dyDescent="0.25">
      <c r="A3650" s="17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">
        <v>11</v>
      </c>
    </row>
    <row r="3651" spans="1:7" x14ac:dyDescent="0.25">
      <c r="A3651" s="17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</row>
    <row r="3652" spans="1:7" x14ac:dyDescent="0.25">
      <c r="A3652" s="17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</row>
    <row r="3653" spans="1:7" x14ac:dyDescent="0.25">
      <c r="A3653" s="17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</row>
    <row r="3654" spans="1:7" x14ac:dyDescent="0.25">
      <c r="A3654" s="17"/>
      <c r="B3654" s="4" t="s">
        <v>3566</v>
      </c>
      <c r="C3654" s="4" t="s">
        <v>11</v>
      </c>
      <c r="D3654" s="4" t="s">
        <v>11</v>
      </c>
      <c r="E3654" s="4" t="s">
        <v>11</v>
      </c>
      <c r="F3654" s="4" t="s">
        <v>1010</v>
      </c>
      <c r="G3654" s="5" t="s">
        <v>11</v>
      </c>
    </row>
    <row r="3655" spans="1:7" x14ac:dyDescent="0.25">
      <c r="A3655" s="17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</row>
    <row r="3656" spans="1:7" x14ac:dyDescent="0.25">
      <c r="A3656" s="17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">
        <v>57</v>
      </c>
    </row>
    <row r="3657" spans="1:7" x14ac:dyDescent="0.25">
      <c r="A3657" s="17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</row>
    <row r="3658" spans="1:7" x14ac:dyDescent="0.25">
      <c r="A3658" s="17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</row>
    <row r="3659" spans="1:7" x14ac:dyDescent="0.25">
      <c r="A3659" s="17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</row>
    <row r="3660" spans="1:7" x14ac:dyDescent="0.25">
      <c r="A3660" s="17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</row>
    <row r="3661" spans="1:7" x14ac:dyDescent="0.25">
      <c r="A3661" s="17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</row>
    <row r="3662" spans="1:7" x14ac:dyDescent="0.25">
      <c r="A3662" s="17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</row>
    <row r="3663" spans="1:7" x14ac:dyDescent="0.25">
      <c r="A3663" s="17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</row>
    <row r="3664" spans="1:7" x14ac:dyDescent="0.25">
      <c r="A3664" s="17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</row>
    <row r="3665" spans="1:7" x14ac:dyDescent="0.25">
      <c r="A3665" s="17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</row>
    <row r="3666" spans="1:7" x14ac:dyDescent="0.25">
      <c r="A3666" s="17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</row>
    <row r="3667" spans="1:7" x14ac:dyDescent="0.25">
      <c r="A3667" s="17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</row>
    <row r="3668" spans="1:7" x14ac:dyDescent="0.25">
      <c r="A3668" s="17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</row>
    <row r="3669" spans="1:7" x14ac:dyDescent="0.25">
      <c r="A3669" s="17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</row>
    <row r="3670" spans="1:7" x14ac:dyDescent="0.25">
      <c r="A3670" s="17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</row>
    <row r="3671" spans="1:7" x14ac:dyDescent="0.25">
      <c r="A3671" s="17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</row>
    <row r="3672" spans="1:7" x14ac:dyDescent="0.25">
      <c r="A3672" s="17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</row>
    <row r="3673" spans="1:7" x14ac:dyDescent="0.25">
      <c r="A3673" s="17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</row>
    <row r="3674" spans="1:7" x14ac:dyDescent="0.25">
      <c r="A3674" s="17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</row>
    <row r="3675" spans="1:7" x14ac:dyDescent="0.25">
      <c r="A3675" s="17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</row>
    <row r="3676" spans="1:7" x14ac:dyDescent="0.25">
      <c r="A3676" s="17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</row>
    <row r="3677" spans="1:7" x14ac:dyDescent="0.25">
      <c r="A3677" s="17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</row>
    <row r="3678" spans="1:7" x14ac:dyDescent="0.25">
      <c r="A3678" s="17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57</v>
      </c>
    </row>
    <row r="3679" spans="1:7" x14ac:dyDescent="0.25">
      <c r="A3679" s="17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</row>
    <row r="3680" spans="1:7" x14ac:dyDescent="0.25">
      <c r="A3680" s="17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</row>
    <row r="3681" spans="1:7" x14ac:dyDescent="0.25">
      <c r="A3681" s="17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</row>
    <row r="3682" spans="1:7" x14ac:dyDescent="0.25">
      <c r="A3682" s="17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</row>
    <row r="3683" spans="1:7" x14ac:dyDescent="0.25">
      <c r="A3683" s="17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</row>
    <row r="3684" spans="1:7" x14ac:dyDescent="0.25">
      <c r="A3684" s="17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</row>
    <row r="3685" spans="1:7" x14ac:dyDescent="0.25">
      <c r="A3685" s="17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</row>
    <row r="3686" spans="1:7" x14ac:dyDescent="0.25">
      <c r="A3686" s="17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</row>
    <row r="3687" spans="1:7" x14ac:dyDescent="0.25">
      <c r="A3687" s="17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</row>
    <row r="3688" spans="1:7" x14ac:dyDescent="0.25">
      <c r="A3688" s="17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</row>
    <row r="3689" spans="1:7" x14ac:dyDescent="0.25">
      <c r="A3689" s="17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</row>
    <row r="3690" spans="1:7" x14ac:dyDescent="0.25">
      <c r="A3690" s="17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</row>
    <row r="3691" spans="1:7" x14ac:dyDescent="0.25">
      <c r="A3691" s="17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</row>
    <row r="3692" spans="1:7" x14ac:dyDescent="0.25">
      <c r="A3692" s="17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163</v>
      </c>
    </row>
    <row r="3693" spans="1:7" x14ac:dyDescent="0.25">
      <c r="A3693" s="17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</row>
    <row r="3694" spans="1:7" x14ac:dyDescent="0.25">
      <c r="A3694" s="17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</row>
    <row r="3695" spans="1:7" x14ac:dyDescent="0.25">
      <c r="A3695" s="17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</row>
    <row r="3696" spans="1:7" x14ac:dyDescent="0.25">
      <c r="A3696" s="17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</row>
    <row r="3697" spans="1:7" x14ac:dyDescent="0.25">
      <c r="A3697" s="17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</row>
    <row r="3698" spans="1:7" x14ac:dyDescent="0.25">
      <c r="A3698" s="17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">
        <v>11</v>
      </c>
    </row>
    <row r="3699" spans="1:7" x14ac:dyDescent="0.25">
      <c r="A3699" s="17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</row>
    <row r="3700" spans="1:7" x14ac:dyDescent="0.25">
      <c r="A3700" s="17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</row>
    <row r="3701" spans="1:7" x14ac:dyDescent="0.25">
      <c r="A3701" s="17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</row>
    <row r="3702" spans="1:7" x14ac:dyDescent="0.25">
      <c r="A3702" s="17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</row>
    <row r="3703" spans="1:7" x14ac:dyDescent="0.25">
      <c r="A3703" s="17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</row>
    <row r="3704" spans="1:7" x14ac:dyDescent="0.25">
      <c r="A3704" s="17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">
        <v>20</v>
      </c>
    </row>
    <row r="3705" spans="1:7" x14ac:dyDescent="0.25">
      <c r="A3705" s="17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">
        <v>11</v>
      </c>
    </row>
    <row r="3706" spans="1:7" x14ac:dyDescent="0.25">
      <c r="A3706" s="17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</row>
    <row r="3707" spans="1:7" x14ac:dyDescent="0.25">
      <c r="A3707" s="17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</row>
    <row r="3708" spans="1:7" x14ac:dyDescent="0.25">
      <c r="A3708" s="17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</row>
    <row r="3709" spans="1:7" x14ac:dyDescent="0.25">
      <c r="A3709" s="17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</row>
    <row r="3710" spans="1:7" x14ac:dyDescent="0.25">
      <c r="A3710" s="17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</row>
    <row r="3711" spans="1:7" x14ac:dyDescent="0.25">
      <c r="A3711" s="17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</row>
    <row r="3712" spans="1:7" x14ac:dyDescent="0.25">
      <c r="A3712" s="17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</row>
    <row r="3713" spans="1:7" x14ac:dyDescent="0.25">
      <c r="A3713" s="17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</row>
    <row r="3714" spans="1:7" x14ac:dyDescent="0.25">
      <c r="A3714" s="17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</row>
    <row r="3715" spans="1:7" x14ac:dyDescent="0.25">
      <c r="A3715" s="17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</row>
    <row r="3716" spans="1:7" x14ac:dyDescent="0.25">
      <c r="A3716" s="17"/>
      <c r="B3716" s="4" t="s">
        <v>3628</v>
      </c>
      <c r="C3716" s="4" t="s">
        <v>11</v>
      </c>
      <c r="D3716" s="4" t="s">
        <v>11</v>
      </c>
      <c r="E3716" s="4" t="s">
        <v>11</v>
      </c>
      <c r="F3716" s="4" t="s">
        <v>137</v>
      </c>
      <c r="G3716" s="5" t="s">
        <v>11</v>
      </c>
    </row>
    <row r="3717" spans="1:7" x14ac:dyDescent="0.25">
      <c r="A3717" s="17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</row>
    <row r="3718" spans="1:7" x14ac:dyDescent="0.25">
      <c r="A3718" s="17"/>
      <c r="B3718" s="4" t="s">
        <v>3630</v>
      </c>
      <c r="C3718" s="4" t="s">
        <v>109</v>
      </c>
      <c r="D3718" s="4" t="s">
        <v>110</v>
      </c>
      <c r="E3718" s="4" t="s">
        <v>111</v>
      </c>
      <c r="F3718" s="4" t="s">
        <v>112</v>
      </c>
      <c r="G3718" s="5" t="s">
        <v>111</v>
      </c>
    </row>
    <row r="3719" spans="1:7" x14ac:dyDescent="0.25">
      <c r="A3719" s="17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</row>
    <row r="3720" spans="1:7" x14ac:dyDescent="0.25">
      <c r="A3720" s="17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</row>
    <row r="3721" spans="1:7" x14ac:dyDescent="0.25">
      <c r="A3721" s="17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</row>
    <row r="3722" spans="1:7" x14ac:dyDescent="0.25">
      <c r="A3722" s="17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</row>
    <row r="3723" spans="1:7" x14ac:dyDescent="0.25">
      <c r="A3723" s="17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</row>
    <row r="3724" spans="1:7" x14ac:dyDescent="0.25">
      <c r="A3724" s="17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</row>
    <row r="3725" spans="1:7" x14ac:dyDescent="0.25">
      <c r="A3725" s="17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</row>
    <row r="3726" spans="1:7" x14ac:dyDescent="0.25">
      <c r="A3726" s="17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</row>
    <row r="3727" spans="1:7" x14ac:dyDescent="0.25">
      <c r="A3727" s="17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</row>
    <row r="3728" spans="1:7" x14ac:dyDescent="0.25">
      <c r="A3728" s="17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</row>
    <row r="3729" spans="1:7" x14ac:dyDescent="0.25">
      <c r="A3729" s="17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</row>
    <row r="3730" spans="1:7" x14ac:dyDescent="0.25">
      <c r="A3730" s="17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</row>
    <row r="3731" spans="1:7" x14ac:dyDescent="0.25">
      <c r="A3731" s="17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</row>
    <row r="3732" spans="1:7" x14ac:dyDescent="0.25">
      <c r="A3732" s="17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</row>
    <row r="3733" spans="1:7" x14ac:dyDescent="0.25">
      <c r="A3733" s="17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</row>
    <row r="3734" spans="1:7" x14ac:dyDescent="0.25">
      <c r="A3734" s="17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</row>
    <row r="3735" spans="1:7" x14ac:dyDescent="0.25">
      <c r="A3735" s="17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</row>
    <row r="3736" spans="1:7" x14ac:dyDescent="0.25">
      <c r="A3736" s="17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</row>
    <row r="3737" spans="1:7" x14ac:dyDescent="0.25">
      <c r="A3737" s="17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</row>
    <row r="3738" spans="1:7" x14ac:dyDescent="0.25">
      <c r="A3738" s="17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</row>
    <row r="3739" spans="1:7" x14ac:dyDescent="0.25">
      <c r="A3739" s="17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</row>
    <row r="3740" spans="1:7" x14ac:dyDescent="0.25">
      <c r="A3740" s="17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</row>
    <row r="3741" spans="1:7" x14ac:dyDescent="0.25">
      <c r="A3741" s="17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</row>
    <row r="3742" spans="1:7" x14ac:dyDescent="0.25">
      <c r="A3742" s="17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</row>
    <row r="3743" spans="1:7" x14ac:dyDescent="0.25">
      <c r="A3743" s="17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</row>
    <row r="3744" spans="1:7" x14ac:dyDescent="0.25">
      <c r="A3744" s="17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</row>
    <row r="3745" spans="1:7" x14ac:dyDescent="0.25">
      <c r="A3745" s="17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</row>
    <row r="3746" spans="1:7" x14ac:dyDescent="0.25">
      <c r="A3746" s="17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">
        <v>11</v>
      </c>
    </row>
    <row r="3747" spans="1:7" x14ac:dyDescent="0.25">
      <c r="A3747" s="17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</row>
    <row r="3748" spans="1:7" x14ac:dyDescent="0.25">
      <c r="A3748" s="17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</row>
    <row r="3749" spans="1:7" x14ac:dyDescent="0.25">
      <c r="A3749" s="17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</row>
    <row r="3750" spans="1:7" x14ac:dyDescent="0.25">
      <c r="A3750" s="17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</row>
    <row r="3751" spans="1:7" x14ac:dyDescent="0.25">
      <c r="A3751" s="17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</row>
    <row r="3752" spans="1:7" x14ac:dyDescent="0.25">
      <c r="A3752" s="17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</row>
    <row r="3753" spans="1:7" x14ac:dyDescent="0.25">
      <c r="A3753" s="17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</row>
    <row r="3754" spans="1:7" x14ac:dyDescent="0.25">
      <c r="A3754" s="17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</row>
    <row r="3755" spans="1:7" x14ac:dyDescent="0.25">
      <c r="A3755" s="17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11</v>
      </c>
    </row>
    <row r="3756" spans="1:7" x14ac:dyDescent="0.25">
      <c r="A3756" s="17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</row>
    <row r="3757" spans="1:7" x14ac:dyDescent="0.25">
      <c r="A3757" s="17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</row>
    <row r="3758" spans="1:7" x14ac:dyDescent="0.25">
      <c r="A3758" s="17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</row>
    <row r="3759" spans="1:7" x14ac:dyDescent="0.25">
      <c r="A3759" s="17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">
        <v>11</v>
      </c>
    </row>
    <row r="3760" spans="1:7" x14ac:dyDescent="0.25">
      <c r="A3760" s="17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</row>
    <row r="3761" spans="1:7" x14ac:dyDescent="0.25">
      <c r="A3761" s="17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">
        <v>11</v>
      </c>
    </row>
    <row r="3762" spans="1:7" x14ac:dyDescent="0.25">
      <c r="A3762" s="17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</row>
    <row r="3763" spans="1:7" x14ac:dyDescent="0.25">
      <c r="A3763" s="17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</row>
    <row r="3764" spans="1:7" x14ac:dyDescent="0.25">
      <c r="A3764" s="17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</row>
    <row r="3765" spans="1:7" x14ac:dyDescent="0.25">
      <c r="A3765" s="17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</row>
    <row r="3766" spans="1:7" x14ac:dyDescent="0.25">
      <c r="A3766" s="17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</row>
    <row r="3767" spans="1:7" x14ac:dyDescent="0.25">
      <c r="A3767" s="17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</row>
    <row r="3768" spans="1:7" x14ac:dyDescent="0.25">
      <c r="A3768" s="17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</row>
    <row r="3769" spans="1:7" x14ac:dyDescent="0.25">
      <c r="A3769" s="17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">
        <v>11</v>
      </c>
    </row>
    <row r="3770" spans="1:7" x14ac:dyDescent="0.25">
      <c r="A3770" s="17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</row>
    <row r="3771" spans="1:7" x14ac:dyDescent="0.25">
      <c r="A3771" s="17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</row>
    <row r="3772" spans="1:7" x14ac:dyDescent="0.25">
      <c r="A3772" s="17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</row>
    <row r="3773" spans="1:7" x14ac:dyDescent="0.25">
      <c r="A3773" s="17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</row>
    <row r="3774" spans="1:7" x14ac:dyDescent="0.25">
      <c r="A3774" s="17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</row>
    <row r="3775" spans="1:7" x14ac:dyDescent="0.25">
      <c r="A3775" s="17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</row>
    <row r="3776" spans="1:7" x14ac:dyDescent="0.25">
      <c r="A3776" s="17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</row>
    <row r="3777" spans="1:7" x14ac:dyDescent="0.25">
      <c r="A3777" s="17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</row>
    <row r="3778" spans="1:7" x14ac:dyDescent="0.25">
      <c r="A3778" s="17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</row>
    <row r="3779" spans="1:7" x14ac:dyDescent="0.25">
      <c r="A3779" s="17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</row>
    <row r="3780" spans="1:7" x14ac:dyDescent="0.25">
      <c r="A3780" s="17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</row>
    <row r="3781" spans="1:7" x14ac:dyDescent="0.25">
      <c r="A3781" s="17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</row>
    <row r="3782" spans="1:7" x14ac:dyDescent="0.25">
      <c r="A3782" s="17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</row>
    <row r="3783" spans="1:7" x14ac:dyDescent="0.25">
      <c r="A3783" s="17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</row>
    <row r="3784" spans="1:7" x14ac:dyDescent="0.25">
      <c r="A3784" s="17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</row>
    <row r="3785" spans="1:7" x14ac:dyDescent="0.25">
      <c r="A3785" s="17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</row>
    <row r="3786" spans="1:7" x14ac:dyDescent="0.25">
      <c r="A3786" s="17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</row>
    <row r="3787" spans="1:7" x14ac:dyDescent="0.25">
      <c r="A3787" s="17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</row>
    <row r="3788" spans="1:7" x14ac:dyDescent="0.25">
      <c r="A3788" s="17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</row>
    <row r="3789" spans="1:7" x14ac:dyDescent="0.25">
      <c r="A3789" s="17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</row>
    <row r="3790" spans="1:7" x14ac:dyDescent="0.25">
      <c r="A3790" s="17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</row>
    <row r="3791" spans="1:7" x14ac:dyDescent="0.25">
      <c r="A3791" s="17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</row>
    <row r="3792" spans="1:7" x14ac:dyDescent="0.25">
      <c r="A3792" s="17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</row>
    <row r="3793" spans="1:7" x14ac:dyDescent="0.25">
      <c r="A3793" s="17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</row>
    <row r="3794" spans="1:7" x14ac:dyDescent="0.25">
      <c r="A3794" s="17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</row>
    <row r="3795" spans="1:7" x14ac:dyDescent="0.25">
      <c r="A3795" s="17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</row>
    <row r="3796" spans="1:7" x14ac:dyDescent="0.25">
      <c r="A3796" s="17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</row>
    <row r="3797" spans="1:7" x14ac:dyDescent="0.25">
      <c r="A3797" s="17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</row>
    <row r="3798" spans="1:7" x14ac:dyDescent="0.25">
      <c r="A3798" s="17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</row>
    <row r="3799" spans="1:7" x14ac:dyDescent="0.25">
      <c r="A3799" s="17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</row>
    <row r="3800" spans="1:7" x14ac:dyDescent="0.25">
      <c r="A3800" s="17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</row>
    <row r="3801" spans="1:7" x14ac:dyDescent="0.25">
      <c r="A3801" s="17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</row>
    <row r="3802" spans="1:7" x14ac:dyDescent="0.25">
      <c r="A3802" s="17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</row>
    <row r="3803" spans="1:7" x14ac:dyDescent="0.25">
      <c r="A3803" s="17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</row>
    <row r="3804" spans="1:7" x14ac:dyDescent="0.25">
      <c r="A3804" s="17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</row>
    <row r="3805" spans="1:7" x14ac:dyDescent="0.25">
      <c r="A3805" s="17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</row>
    <row r="3806" spans="1:7" x14ac:dyDescent="0.25">
      <c r="A3806" s="17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</row>
    <row r="3807" spans="1:7" x14ac:dyDescent="0.25">
      <c r="A3807" s="17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</row>
    <row r="3808" spans="1:7" x14ac:dyDescent="0.25">
      <c r="A3808" s="17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</row>
    <row r="3809" spans="1:7" x14ac:dyDescent="0.25">
      <c r="A3809" s="17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</row>
    <row r="3810" spans="1:7" x14ac:dyDescent="0.25">
      <c r="A3810" s="17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</row>
    <row r="3811" spans="1:7" x14ac:dyDescent="0.25">
      <c r="A3811" s="17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</row>
    <row r="3812" spans="1:7" x14ac:dyDescent="0.25">
      <c r="A3812" s="17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</row>
    <row r="3813" spans="1:7" x14ac:dyDescent="0.25">
      <c r="A3813" s="17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</row>
    <row r="3814" spans="1:7" x14ac:dyDescent="0.25">
      <c r="A3814" s="17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11</v>
      </c>
    </row>
    <row r="3815" spans="1:7" x14ac:dyDescent="0.25">
      <c r="A3815" s="17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</row>
    <row r="3816" spans="1:7" x14ac:dyDescent="0.25">
      <c r="A3816" s="17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</row>
    <row r="3817" spans="1:7" x14ac:dyDescent="0.25">
      <c r="A3817" s="17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</row>
    <row r="3818" spans="1:7" x14ac:dyDescent="0.25">
      <c r="A3818" s="17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">
        <v>11</v>
      </c>
    </row>
    <row r="3819" spans="1:7" x14ac:dyDescent="0.25">
      <c r="A3819" s="17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</row>
    <row r="3820" spans="1:7" x14ac:dyDescent="0.25">
      <c r="A3820" s="17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</row>
    <row r="3821" spans="1:7" x14ac:dyDescent="0.25">
      <c r="A3821" s="17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</row>
    <row r="3822" spans="1:7" x14ac:dyDescent="0.25">
      <c r="A3822" s="17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</row>
    <row r="3823" spans="1:7" x14ac:dyDescent="0.25">
      <c r="A3823" s="17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">
        <v>57</v>
      </c>
    </row>
    <row r="3824" spans="1:7" x14ac:dyDescent="0.25">
      <c r="A3824" s="17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</row>
    <row r="3825" spans="1:7" x14ac:dyDescent="0.25">
      <c r="A3825" s="17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</row>
    <row r="3826" spans="1:7" x14ac:dyDescent="0.25">
      <c r="A3826" s="17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</row>
    <row r="3827" spans="1:7" x14ac:dyDescent="0.25">
      <c r="A3827" s="17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</row>
    <row r="3828" spans="1:7" x14ac:dyDescent="0.25">
      <c r="A3828" s="17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11</v>
      </c>
    </row>
    <row r="3829" spans="1:7" x14ac:dyDescent="0.25">
      <c r="A3829" s="17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</row>
    <row r="3830" spans="1:7" x14ac:dyDescent="0.25">
      <c r="A3830" s="17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</row>
    <row r="3831" spans="1:7" x14ac:dyDescent="0.25">
      <c r="A3831" s="17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</row>
    <row r="3832" spans="1:7" x14ac:dyDescent="0.25">
      <c r="A3832" s="17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</row>
    <row r="3833" spans="1:7" x14ac:dyDescent="0.25">
      <c r="A3833" s="17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</row>
    <row r="3834" spans="1:7" x14ac:dyDescent="0.25">
      <c r="A3834" s="17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</row>
    <row r="3835" spans="1:7" x14ac:dyDescent="0.25">
      <c r="A3835" s="17"/>
      <c r="B3835" s="4" t="s">
        <v>3747</v>
      </c>
      <c r="C3835" s="4" t="s">
        <v>109</v>
      </c>
      <c r="D3835" s="4" t="s">
        <v>110</v>
      </c>
      <c r="E3835" s="4" t="s">
        <v>111</v>
      </c>
      <c r="F3835" s="4" t="s">
        <v>112</v>
      </c>
      <c r="G3835" s="5" t="s">
        <v>111</v>
      </c>
    </row>
    <row r="3836" spans="1:7" x14ac:dyDescent="0.25">
      <c r="A3836" s="17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">
        <v>57</v>
      </c>
    </row>
    <row r="3837" spans="1:7" x14ac:dyDescent="0.25">
      <c r="A3837" s="17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">
        <v>11</v>
      </c>
    </row>
    <row r="3838" spans="1:7" x14ac:dyDescent="0.25">
      <c r="A3838" s="17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</row>
    <row r="3839" spans="1:7" x14ac:dyDescent="0.25">
      <c r="A3839" s="17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</row>
    <row r="3840" spans="1:7" x14ac:dyDescent="0.25">
      <c r="A3840" s="17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</row>
    <row r="3841" spans="1:7" x14ac:dyDescent="0.25">
      <c r="A3841" s="17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</row>
    <row r="3842" spans="1:7" x14ac:dyDescent="0.25">
      <c r="A3842" s="17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">
        <v>57</v>
      </c>
    </row>
    <row r="3843" spans="1:7" x14ac:dyDescent="0.25">
      <c r="A3843" s="17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</row>
    <row r="3844" spans="1:7" x14ac:dyDescent="0.25">
      <c r="A3844" s="17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</row>
    <row r="3845" spans="1:7" x14ac:dyDescent="0.25">
      <c r="A3845" s="17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">
        <v>11</v>
      </c>
    </row>
    <row r="3846" spans="1:7" x14ac:dyDescent="0.25">
      <c r="A3846" s="17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</row>
    <row r="3847" spans="1:7" x14ac:dyDescent="0.25">
      <c r="A3847" s="17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</row>
    <row r="3848" spans="1:7" x14ac:dyDescent="0.25">
      <c r="A3848" s="17"/>
      <c r="B3848" s="4" t="s">
        <v>3760</v>
      </c>
      <c r="C3848" s="4" t="s">
        <v>11</v>
      </c>
      <c r="D3848" s="4" t="s">
        <v>11</v>
      </c>
      <c r="E3848" s="4" t="s">
        <v>11</v>
      </c>
      <c r="F3848" s="4" t="s">
        <v>1187</v>
      </c>
      <c r="G3848" s="5" t="s">
        <v>11</v>
      </c>
    </row>
    <row r="3849" spans="1:7" x14ac:dyDescent="0.25">
      <c r="A3849" s="17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</row>
    <row r="3850" spans="1:7" x14ac:dyDescent="0.25">
      <c r="A3850" s="17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">
        <v>11</v>
      </c>
    </row>
    <row r="3851" spans="1:7" x14ac:dyDescent="0.25">
      <c r="A3851" s="17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</row>
    <row r="3852" spans="1:7" x14ac:dyDescent="0.25">
      <c r="A3852" s="17"/>
      <c r="B3852" s="4" t="s">
        <v>3764</v>
      </c>
      <c r="C3852" s="4" t="s">
        <v>11</v>
      </c>
      <c r="D3852" s="4" t="s">
        <v>11</v>
      </c>
      <c r="E3852" s="4" t="s">
        <v>11</v>
      </c>
      <c r="F3852" s="4" t="s">
        <v>1036</v>
      </c>
      <c r="G3852" s="5" t="s">
        <v>11</v>
      </c>
    </row>
    <row r="3853" spans="1:7" x14ac:dyDescent="0.25">
      <c r="A3853" s="17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</row>
    <row r="3854" spans="1:7" x14ac:dyDescent="0.25">
      <c r="A3854" s="17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</row>
    <row r="3855" spans="1:7" x14ac:dyDescent="0.25">
      <c r="A3855" s="17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</row>
    <row r="3856" spans="1:7" x14ac:dyDescent="0.25">
      <c r="A3856" s="17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</row>
    <row r="3857" spans="1:7" x14ac:dyDescent="0.25">
      <c r="A3857" s="17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</row>
    <row r="3858" spans="1:7" x14ac:dyDescent="0.25">
      <c r="A3858" s="17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</row>
    <row r="3859" spans="1:7" x14ac:dyDescent="0.25">
      <c r="A3859" s="17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</row>
    <row r="3860" spans="1:7" x14ac:dyDescent="0.25">
      <c r="A3860" s="17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</row>
    <row r="3861" spans="1:7" x14ac:dyDescent="0.25">
      <c r="A3861" s="17"/>
      <c r="B3861" s="4" t="s">
        <v>3773</v>
      </c>
      <c r="C3861" s="4" t="s">
        <v>11</v>
      </c>
      <c r="D3861" s="4" t="s">
        <v>11</v>
      </c>
      <c r="E3861" s="4" t="s">
        <v>11</v>
      </c>
      <c r="F3861" s="4" t="s">
        <v>1187</v>
      </c>
      <c r="G3861" s="5" t="s">
        <v>11</v>
      </c>
    </row>
    <row r="3862" spans="1:7" x14ac:dyDescent="0.25">
      <c r="A3862" s="17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</row>
    <row r="3863" spans="1:7" x14ac:dyDescent="0.25">
      <c r="A3863" s="17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</row>
    <row r="3864" spans="1:7" x14ac:dyDescent="0.25">
      <c r="A3864" s="17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</row>
    <row r="3865" spans="1:7" x14ac:dyDescent="0.25">
      <c r="A3865" s="17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</row>
    <row r="3866" spans="1:7" x14ac:dyDescent="0.25">
      <c r="A3866" s="17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</row>
    <row r="3867" spans="1:7" x14ac:dyDescent="0.25">
      <c r="A3867" s="17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</row>
    <row r="3868" spans="1:7" x14ac:dyDescent="0.25">
      <c r="A3868" s="17"/>
      <c r="B3868" s="4" t="s">
        <v>3780</v>
      </c>
      <c r="C3868" s="4" t="s">
        <v>11</v>
      </c>
      <c r="D3868" s="4" t="s">
        <v>11</v>
      </c>
      <c r="E3868" s="4" t="s">
        <v>11</v>
      </c>
      <c r="F3868" s="4" t="s">
        <v>137</v>
      </c>
      <c r="G3868" s="5" t="s">
        <v>11</v>
      </c>
    </row>
    <row r="3869" spans="1:7" x14ac:dyDescent="0.25">
      <c r="A3869" s="17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</row>
    <row r="3870" spans="1:7" x14ac:dyDescent="0.25">
      <c r="A3870" s="17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</row>
    <row r="3871" spans="1:7" x14ac:dyDescent="0.25">
      <c r="A3871" s="17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</row>
    <row r="3872" spans="1:7" x14ac:dyDescent="0.25">
      <c r="A3872" s="17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</row>
    <row r="3873" spans="1:7" x14ac:dyDescent="0.25">
      <c r="A3873" s="17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</row>
    <row r="3874" spans="1:7" x14ac:dyDescent="0.25">
      <c r="A3874" s="17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</row>
    <row r="3875" spans="1:7" x14ac:dyDescent="0.25">
      <c r="A3875" s="17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</row>
    <row r="3876" spans="1:7" x14ac:dyDescent="0.25">
      <c r="A3876" s="17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</row>
    <row r="3877" spans="1:7" x14ac:dyDescent="0.25">
      <c r="A3877" s="17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</row>
    <row r="3878" spans="1:7" x14ac:dyDescent="0.25">
      <c r="A3878" s="17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</row>
    <row r="3879" spans="1:7" x14ac:dyDescent="0.25">
      <c r="A3879" s="17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">
        <v>11</v>
      </c>
    </row>
    <row r="3880" spans="1:7" x14ac:dyDescent="0.25">
      <c r="A3880" s="17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">
        <v>11</v>
      </c>
    </row>
    <row r="3881" spans="1:7" x14ac:dyDescent="0.25">
      <c r="A3881" s="17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</row>
    <row r="3882" spans="1:7" x14ac:dyDescent="0.25">
      <c r="A3882" s="17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</row>
    <row r="3883" spans="1:7" x14ac:dyDescent="0.25">
      <c r="A3883" s="17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</row>
    <row r="3884" spans="1:7" x14ac:dyDescent="0.25">
      <c r="A3884" s="17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</row>
    <row r="3885" spans="1:7" x14ac:dyDescent="0.25">
      <c r="A3885" s="17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">
        <v>57</v>
      </c>
    </row>
    <row r="3886" spans="1:7" x14ac:dyDescent="0.25">
      <c r="A3886" s="17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</row>
    <row r="3887" spans="1:7" x14ac:dyDescent="0.25">
      <c r="A3887" s="17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</row>
    <row r="3888" spans="1:7" x14ac:dyDescent="0.25">
      <c r="A3888" s="17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</row>
    <row r="3889" spans="1:7" x14ac:dyDescent="0.25">
      <c r="A3889" s="17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</row>
    <row r="3890" spans="1:7" x14ac:dyDescent="0.25">
      <c r="A3890" s="17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</row>
    <row r="3891" spans="1:7" x14ac:dyDescent="0.25">
      <c r="A3891" s="17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</row>
    <row r="3892" spans="1:7" x14ac:dyDescent="0.25">
      <c r="A3892" s="17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</row>
    <row r="3893" spans="1:7" x14ac:dyDescent="0.25">
      <c r="A3893" s="17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</row>
    <row r="3894" spans="1:7" x14ac:dyDescent="0.25">
      <c r="A3894" s="17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</row>
    <row r="3895" spans="1:7" x14ac:dyDescent="0.25">
      <c r="A3895" s="17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</row>
    <row r="3896" spans="1:7" x14ac:dyDescent="0.25">
      <c r="A3896" s="17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</row>
    <row r="3897" spans="1:7" x14ac:dyDescent="0.25">
      <c r="A3897" s="17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</row>
    <row r="3898" spans="1:7" x14ac:dyDescent="0.25">
      <c r="A3898" s="17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</row>
    <row r="3899" spans="1:7" x14ac:dyDescent="0.25">
      <c r="A3899" s="17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</row>
    <row r="3900" spans="1:7" x14ac:dyDescent="0.25">
      <c r="A3900" s="17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</row>
    <row r="3901" spans="1:7" x14ac:dyDescent="0.25">
      <c r="A3901" s="17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</row>
    <row r="3902" spans="1:7" x14ac:dyDescent="0.25">
      <c r="A3902" s="17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</row>
    <row r="3903" spans="1:7" x14ac:dyDescent="0.25">
      <c r="A3903" s="17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</row>
    <row r="3904" spans="1:7" x14ac:dyDescent="0.25">
      <c r="A3904" s="17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</row>
    <row r="3905" spans="1:7" x14ac:dyDescent="0.25">
      <c r="A3905" s="17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</row>
    <row r="3906" spans="1:7" x14ac:dyDescent="0.25">
      <c r="A3906" s="17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</row>
    <row r="3907" spans="1:7" x14ac:dyDescent="0.25">
      <c r="A3907" s="17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</row>
    <row r="3908" spans="1:7" x14ac:dyDescent="0.25">
      <c r="A3908" s="17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</row>
    <row r="3909" spans="1:7" x14ac:dyDescent="0.25">
      <c r="A3909" s="17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</row>
    <row r="3910" spans="1:7" x14ac:dyDescent="0.25">
      <c r="A3910" s="17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</row>
    <row r="3911" spans="1:7" x14ac:dyDescent="0.25">
      <c r="A3911" s="17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</row>
    <row r="3912" spans="1:7" x14ac:dyDescent="0.25">
      <c r="A3912" s="17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</row>
    <row r="3913" spans="1:7" x14ac:dyDescent="0.25">
      <c r="A3913" s="17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</row>
    <row r="3914" spans="1:7" x14ac:dyDescent="0.25">
      <c r="A3914" s="17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</row>
    <row r="3915" spans="1:7" x14ac:dyDescent="0.25">
      <c r="A3915" s="17"/>
      <c r="B3915" s="4" t="s">
        <v>3827</v>
      </c>
      <c r="C3915" s="4" t="s">
        <v>11</v>
      </c>
      <c r="D3915" s="4" t="s">
        <v>11</v>
      </c>
      <c r="E3915" s="4" t="s">
        <v>11</v>
      </c>
      <c r="F3915" s="4" t="s">
        <v>973</v>
      </c>
      <c r="G3915" s="5" t="s">
        <v>11</v>
      </c>
    </row>
    <row r="3916" spans="1:7" x14ac:dyDescent="0.25">
      <c r="A3916" s="17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</row>
    <row r="3917" spans="1:7" x14ac:dyDescent="0.25">
      <c r="A3917" s="17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</row>
    <row r="3918" spans="1:7" x14ac:dyDescent="0.25">
      <c r="A3918" s="17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57</v>
      </c>
    </row>
    <row r="3919" spans="1:7" x14ac:dyDescent="0.25">
      <c r="A3919" s="17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</row>
    <row r="3920" spans="1:7" x14ac:dyDescent="0.25">
      <c r="A3920" s="17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</row>
    <row r="3921" spans="1:7" x14ac:dyDescent="0.25">
      <c r="A3921" s="17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</row>
    <row r="3922" spans="1:7" x14ac:dyDescent="0.25">
      <c r="A3922" s="17"/>
      <c r="B3922" s="4" t="s">
        <v>3834</v>
      </c>
      <c r="C3922" s="4" t="s">
        <v>35</v>
      </c>
      <c r="D3922" s="4" t="s">
        <v>35</v>
      </c>
      <c r="E3922" s="4" t="s">
        <v>57</v>
      </c>
      <c r="F3922" s="4" t="s">
        <v>1931</v>
      </c>
      <c r="G3922" s="5" t="s">
        <v>11</v>
      </c>
    </row>
    <row r="3923" spans="1:7" x14ac:dyDescent="0.25">
      <c r="A3923" s="17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</row>
    <row r="3924" spans="1:7" x14ac:dyDescent="0.25">
      <c r="A3924" s="17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</row>
    <row r="3925" spans="1:7" x14ac:dyDescent="0.25">
      <c r="A3925" s="17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</row>
    <row r="3926" spans="1:7" x14ac:dyDescent="0.25">
      <c r="A3926" s="17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</row>
    <row r="3927" spans="1:7" x14ac:dyDescent="0.25">
      <c r="A3927" s="17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</row>
    <row r="3928" spans="1:7" x14ac:dyDescent="0.25">
      <c r="A3928" s="17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</row>
    <row r="3929" spans="1:7" x14ac:dyDescent="0.25">
      <c r="A3929" s="17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</row>
    <row r="3930" spans="1:7" x14ac:dyDescent="0.25">
      <c r="A3930" s="17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</row>
    <row r="3931" spans="1:7" x14ac:dyDescent="0.25">
      <c r="A3931" s="17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</row>
    <row r="3932" spans="1:7" x14ac:dyDescent="0.25">
      <c r="A3932" s="17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</row>
    <row r="3933" spans="1:7" x14ac:dyDescent="0.25">
      <c r="A3933" s="17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</row>
    <row r="3934" spans="1:7" x14ac:dyDescent="0.25">
      <c r="A3934" s="17"/>
      <c r="B3934" s="4" t="s">
        <v>3846</v>
      </c>
      <c r="C3934" s="4" t="s">
        <v>11</v>
      </c>
      <c r="D3934" s="4" t="s">
        <v>11</v>
      </c>
      <c r="E3934" s="4" t="s">
        <v>11</v>
      </c>
      <c r="F3934" s="4" t="s">
        <v>2150</v>
      </c>
      <c r="G3934" s="5" t="s">
        <v>11</v>
      </c>
    </row>
    <row r="3935" spans="1:7" x14ac:dyDescent="0.25">
      <c r="A3935" s="17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">
        <v>11</v>
      </c>
    </row>
    <row r="3936" spans="1:7" x14ac:dyDescent="0.25">
      <c r="A3936" s="17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">
        <v>11</v>
      </c>
    </row>
    <row r="3937" spans="1:7" x14ac:dyDescent="0.25">
      <c r="A3937" s="17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</row>
    <row r="3938" spans="1:7" x14ac:dyDescent="0.25">
      <c r="A3938" s="17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</row>
    <row r="3939" spans="1:7" x14ac:dyDescent="0.25">
      <c r="A3939" s="17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</row>
    <row r="3940" spans="1:7" x14ac:dyDescent="0.25">
      <c r="A3940" s="17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</row>
    <row r="3941" spans="1:7" x14ac:dyDescent="0.25">
      <c r="A3941" s="17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</row>
    <row r="3942" spans="1:7" x14ac:dyDescent="0.25">
      <c r="A3942" s="17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</row>
    <row r="3943" spans="1:7" x14ac:dyDescent="0.25">
      <c r="A3943" s="17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</row>
    <row r="3944" spans="1:7" x14ac:dyDescent="0.25">
      <c r="A3944" s="17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</row>
    <row r="3945" spans="1:7" x14ac:dyDescent="0.25">
      <c r="A3945" s="17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</row>
    <row r="3946" spans="1:7" x14ac:dyDescent="0.25">
      <c r="A3946" s="17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</row>
    <row r="3947" spans="1:7" x14ac:dyDescent="0.25">
      <c r="A3947" s="17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</row>
    <row r="3948" spans="1:7" x14ac:dyDescent="0.25">
      <c r="A3948" s="17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">
        <v>11</v>
      </c>
    </row>
    <row r="3949" spans="1:7" x14ac:dyDescent="0.25">
      <c r="A3949" s="17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</row>
    <row r="3950" spans="1:7" x14ac:dyDescent="0.25">
      <c r="A3950" s="17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</row>
    <row r="3951" spans="1:7" x14ac:dyDescent="0.25">
      <c r="A3951" s="17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</row>
    <row r="3952" spans="1:7" x14ac:dyDescent="0.25">
      <c r="A3952" s="17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</row>
    <row r="3953" spans="1:7" x14ac:dyDescent="0.25">
      <c r="A3953" s="17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</row>
    <row r="3954" spans="1:7" x14ac:dyDescent="0.25">
      <c r="A3954" s="17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</row>
    <row r="3955" spans="1:7" x14ac:dyDescent="0.25">
      <c r="A3955" s="17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">
        <v>11</v>
      </c>
    </row>
    <row r="3956" spans="1:7" x14ac:dyDescent="0.25">
      <c r="A3956" s="17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</row>
    <row r="3957" spans="1:7" x14ac:dyDescent="0.25">
      <c r="A3957" s="17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</row>
    <row r="3958" spans="1:7" x14ac:dyDescent="0.25">
      <c r="A3958" s="17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</row>
    <row r="3959" spans="1:7" x14ac:dyDescent="0.25">
      <c r="A3959" s="17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</row>
    <row r="3960" spans="1:7" x14ac:dyDescent="0.25">
      <c r="A3960" s="17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</row>
    <row r="3961" spans="1:7" x14ac:dyDescent="0.25">
      <c r="A3961" s="17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</row>
    <row r="3962" spans="1:7" x14ac:dyDescent="0.25">
      <c r="A3962" s="17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</row>
    <row r="3963" spans="1:7" x14ac:dyDescent="0.25">
      <c r="A3963" s="17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">
        <v>11</v>
      </c>
    </row>
    <row r="3964" spans="1:7" x14ac:dyDescent="0.25">
      <c r="A3964" s="17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">
        <v>11</v>
      </c>
    </row>
    <row r="3965" spans="1:7" x14ac:dyDescent="0.25">
      <c r="A3965" s="17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</row>
    <row r="3966" spans="1:7" x14ac:dyDescent="0.25">
      <c r="A3966" s="17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</row>
    <row r="3967" spans="1:7" x14ac:dyDescent="0.25">
      <c r="A3967" s="17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</row>
    <row r="3968" spans="1:7" x14ac:dyDescent="0.25">
      <c r="A3968" s="17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</row>
    <row r="3969" spans="1:7" x14ac:dyDescent="0.25">
      <c r="A3969" s="17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">
        <v>11</v>
      </c>
    </row>
    <row r="3970" spans="1:7" x14ac:dyDescent="0.25">
      <c r="A3970" s="17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</row>
    <row r="3971" spans="1:7" x14ac:dyDescent="0.25">
      <c r="A3971" s="17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</row>
    <row r="3972" spans="1:7" x14ac:dyDescent="0.25">
      <c r="A3972" s="17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</row>
    <row r="3973" spans="1:7" x14ac:dyDescent="0.25">
      <c r="A3973" s="17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11</v>
      </c>
    </row>
    <row r="3974" spans="1:7" x14ac:dyDescent="0.25">
      <c r="A3974" s="17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</row>
    <row r="3975" spans="1:7" x14ac:dyDescent="0.25">
      <c r="A3975" s="17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</row>
    <row r="3976" spans="1:7" x14ac:dyDescent="0.25">
      <c r="A3976" s="17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</row>
    <row r="3977" spans="1:7" x14ac:dyDescent="0.25">
      <c r="A3977" s="17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</row>
    <row r="3978" spans="1:7" x14ac:dyDescent="0.25">
      <c r="A3978" s="17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</row>
    <row r="3979" spans="1:7" x14ac:dyDescent="0.25">
      <c r="A3979" s="17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</row>
    <row r="3980" spans="1:7" x14ac:dyDescent="0.25">
      <c r="A3980" s="17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</row>
    <row r="3981" spans="1:7" x14ac:dyDescent="0.25">
      <c r="A3981" s="17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</row>
    <row r="3982" spans="1:7" x14ac:dyDescent="0.25">
      <c r="A3982" s="17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</row>
    <row r="3983" spans="1:7" x14ac:dyDescent="0.25">
      <c r="A3983" s="17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</row>
    <row r="3984" spans="1:7" x14ac:dyDescent="0.25">
      <c r="A3984" s="17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</row>
    <row r="3985" spans="1:7" x14ac:dyDescent="0.25">
      <c r="A3985" s="17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</row>
    <row r="3986" spans="1:7" x14ac:dyDescent="0.25">
      <c r="A3986" s="17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</row>
    <row r="3987" spans="1:7" x14ac:dyDescent="0.25">
      <c r="A3987" s="17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</row>
    <row r="3988" spans="1:7" x14ac:dyDescent="0.25">
      <c r="A3988" s="17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</row>
    <row r="3989" spans="1:7" x14ac:dyDescent="0.25">
      <c r="A3989" s="17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</row>
    <row r="3990" spans="1:7" x14ac:dyDescent="0.25">
      <c r="A3990" s="17"/>
      <c r="B3990" s="4" t="s">
        <v>3902</v>
      </c>
      <c r="C3990" s="4" t="s">
        <v>11</v>
      </c>
      <c r="D3990" s="4" t="s">
        <v>11</v>
      </c>
      <c r="E3990" s="4" t="s">
        <v>11</v>
      </c>
      <c r="F3990" s="4" t="s">
        <v>956</v>
      </c>
      <c r="G3990" s="5" t="s">
        <v>11</v>
      </c>
    </row>
    <row r="3991" spans="1:7" x14ac:dyDescent="0.25">
      <c r="A3991" s="17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</row>
    <row r="3992" spans="1:7" x14ac:dyDescent="0.25">
      <c r="A3992" s="17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</row>
    <row r="3993" spans="1:7" x14ac:dyDescent="0.25">
      <c r="A3993" s="17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</row>
    <row r="3994" spans="1:7" x14ac:dyDescent="0.25">
      <c r="A3994" s="17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</row>
    <row r="3995" spans="1:7" x14ac:dyDescent="0.25">
      <c r="A3995" s="17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</row>
    <row r="3996" spans="1:7" x14ac:dyDescent="0.25">
      <c r="A3996" s="17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</row>
    <row r="3997" spans="1:7" x14ac:dyDescent="0.25">
      <c r="A3997" s="17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</row>
    <row r="3998" spans="1:7" x14ac:dyDescent="0.25">
      <c r="A3998" s="17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</row>
    <row r="3999" spans="1:7" x14ac:dyDescent="0.25">
      <c r="A3999" s="17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">
        <v>57</v>
      </c>
    </row>
    <row r="4000" spans="1:7" x14ac:dyDescent="0.25">
      <c r="A4000" s="17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</row>
    <row r="4001" spans="1:7" x14ac:dyDescent="0.25">
      <c r="A4001" s="17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</row>
    <row r="4002" spans="1:7" x14ac:dyDescent="0.25">
      <c r="A4002" s="17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</row>
    <row r="4003" spans="1:7" x14ac:dyDescent="0.25">
      <c r="A4003" s="17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</row>
    <row r="4004" spans="1:7" x14ac:dyDescent="0.25">
      <c r="A4004" s="17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">
        <v>11</v>
      </c>
    </row>
    <row r="4005" spans="1:7" x14ac:dyDescent="0.25">
      <c r="A4005" s="17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</row>
    <row r="4006" spans="1:7" x14ac:dyDescent="0.25">
      <c r="A4006" s="17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</row>
    <row r="4007" spans="1:7" x14ac:dyDescent="0.25">
      <c r="A4007" s="17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">
        <v>11</v>
      </c>
    </row>
    <row r="4008" spans="1:7" x14ac:dyDescent="0.25">
      <c r="A4008" s="17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</row>
    <row r="4009" spans="1:7" x14ac:dyDescent="0.25">
      <c r="A4009" s="17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</row>
    <row r="4010" spans="1:7" x14ac:dyDescent="0.25">
      <c r="A4010" s="17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</row>
    <row r="4011" spans="1:7" x14ac:dyDescent="0.25">
      <c r="A4011" s="17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</row>
    <row r="4012" spans="1:7" x14ac:dyDescent="0.25">
      <c r="A4012" s="17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</row>
    <row r="4013" spans="1:7" x14ac:dyDescent="0.25">
      <c r="A4013" s="17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</row>
    <row r="4014" spans="1:7" x14ac:dyDescent="0.25">
      <c r="A4014" s="17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</row>
    <row r="4015" spans="1:7" x14ac:dyDescent="0.25">
      <c r="A4015" s="17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</row>
    <row r="4016" spans="1:7" x14ac:dyDescent="0.25">
      <c r="A4016" s="17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</row>
    <row r="4017" spans="1:7" x14ac:dyDescent="0.25">
      <c r="A4017" s="17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</row>
    <row r="4018" spans="1:7" x14ac:dyDescent="0.25">
      <c r="A4018" s="17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</row>
    <row r="4019" spans="1:7" x14ac:dyDescent="0.25">
      <c r="A4019" s="17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</row>
    <row r="4020" spans="1:7" x14ac:dyDescent="0.25">
      <c r="A4020" s="17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</row>
    <row r="4021" spans="1:7" x14ac:dyDescent="0.25">
      <c r="A4021" s="17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</row>
    <row r="4022" spans="1:7" x14ac:dyDescent="0.25">
      <c r="A4022" s="17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</row>
    <row r="4023" spans="1:7" x14ac:dyDescent="0.25">
      <c r="A4023" s="17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</row>
    <row r="4024" spans="1:7" x14ac:dyDescent="0.25">
      <c r="A4024" s="17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</row>
    <row r="4025" spans="1:7" x14ac:dyDescent="0.25">
      <c r="A4025" s="17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</row>
    <row r="4026" spans="1:7" x14ac:dyDescent="0.25">
      <c r="A4026" s="17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</row>
    <row r="4027" spans="1:7" x14ac:dyDescent="0.25">
      <c r="A4027" s="17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">
        <v>11</v>
      </c>
    </row>
    <row r="4028" spans="1:7" x14ac:dyDescent="0.25">
      <c r="A4028" s="17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</row>
    <row r="4029" spans="1:7" x14ac:dyDescent="0.25">
      <c r="A4029" s="17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</row>
    <row r="4030" spans="1:7" x14ac:dyDescent="0.25">
      <c r="A4030" s="17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</row>
    <row r="4031" spans="1:7" x14ac:dyDescent="0.25">
      <c r="A4031" s="17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</row>
    <row r="4032" spans="1:7" x14ac:dyDescent="0.25">
      <c r="A4032" s="17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</row>
    <row r="4033" spans="1:7" x14ac:dyDescent="0.25">
      <c r="A4033" s="17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</row>
    <row r="4034" spans="1:7" x14ac:dyDescent="0.25">
      <c r="A4034" s="17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</row>
    <row r="4035" spans="1:7" x14ac:dyDescent="0.25">
      <c r="A4035" s="17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</row>
    <row r="4036" spans="1:7" x14ac:dyDescent="0.25">
      <c r="A4036" s="17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</row>
    <row r="4037" spans="1:7" x14ac:dyDescent="0.25">
      <c r="A4037" s="17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</row>
    <row r="4038" spans="1:7" x14ac:dyDescent="0.25">
      <c r="A4038" s="17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</row>
    <row r="4039" spans="1:7" x14ac:dyDescent="0.25">
      <c r="A4039" s="17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</row>
    <row r="4040" spans="1:7" x14ac:dyDescent="0.25">
      <c r="A4040" s="17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</row>
    <row r="4041" spans="1:7" x14ac:dyDescent="0.25">
      <c r="A4041" s="17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</row>
    <row r="4042" spans="1:7" x14ac:dyDescent="0.25">
      <c r="A4042" s="17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</row>
    <row r="4043" spans="1:7" x14ac:dyDescent="0.25">
      <c r="A4043" s="17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</row>
    <row r="4044" spans="1:7" x14ac:dyDescent="0.25">
      <c r="A4044" s="17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</row>
    <row r="4045" spans="1:7" x14ac:dyDescent="0.25">
      <c r="A4045" s="17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</row>
    <row r="4046" spans="1:7" x14ac:dyDescent="0.25">
      <c r="A4046" s="17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</row>
    <row r="4047" spans="1:7" x14ac:dyDescent="0.25">
      <c r="A4047" s="17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</row>
    <row r="4048" spans="1:7" x14ac:dyDescent="0.25">
      <c r="A4048" s="17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</row>
    <row r="4049" spans="1:7" x14ac:dyDescent="0.25">
      <c r="A4049" s="17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</row>
    <row r="4050" spans="1:7" x14ac:dyDescent="0.25">
      <c r="A4050" s="17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</row>
    <row r="4051" spans="1:7" x14ac:dyDescent="0.25">
      <c r="A4051" s="17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</row>
    <row r="4052" spans="1:7" x14ac:dyDescent="0.25">
      <c r="A4052" s="17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</row>
    <row r="4053" spans="1:7" x14ac:dyDescent="0.25">
      <c r="A4053" s="17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</row>
    <row r="4054" spans="1:7" x14ac:dyDescent="0.25">
      <c r="A4054" s="17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</row>
    <row r="4055" spans="1:7" x14ac:dyDescent="0.25">
      <c r="A4055" s="17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</row>
    <row r="4056" spans="1:7" x14ac:dyDescent="0.25">
      <c r="A4056" s="17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</row>
    <row r="4057" spans="1:7" x14ac:dyDescent="0.25">
      <c r="A4057" s="17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</row>
    <row r="4058" spans="1:7" x14ac:dyDescent="0.25">
      <c r="A4058" s="17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</row>
    <row r="4059" spans="1:7" x14ac:dyDescent="0.25">
      <c r="A4059" s="17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</row>
    <row r="4060" spans="1:7" x14ac:dyDescent="0.25">
      <c r="A4060" s="17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</row>
    <row r="4061" spans="1:7" x14ac:dyDescent="0.25">
      <c r="A4061" s="17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">
        <v>11</v>
      </c>
    </row>
    <row r="4062" spans="1:7" x14ac:dyDescent="0.25">
      <c r="A4062" s="17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</row>
    <row r="4063" spans="1:7" x14ac:dyDescent="0.25">
      <c r="A4063" s="17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</row>
    <row r="4064" spans="1:7" x14ac:dyDescent="0.25">
      <c r="A4064" s="17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</row>
    <row r="4065" spans="1:7" x14ac:dyDescent="0.25">
      <c r="A4065" s="17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</row>
    <row r="4066" spans="1:7" x14ac:dyDescent="0.25">
      <c r="A4066" s="17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</row>
    <row r="4067" spans="1:7" x14ac:dyDescent="0.25">
      <c r="A4067" s="17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</row>
    <row r="4068" spans="1:7" x14ac:dyDescent="0.25">
      <c r="A4068" s="17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</row>
    <row r="4069" spans="1:7" x14ac:dyDescent="0.25">
      <c r="A4069" s="17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</row>
    <row r="4070" spans="1:7" x14ac:dyDescent="0.25">
      <c r="A4070" s="17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</row>
    <row r="4071" spans="1:7" x14ac:dyDescent="0.25">
      <c r="A4071" s="17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</row>
    <row r="4072" spans="1:7" x14ac:dyDescent="0.25">
      <c r="A4072" s="17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</row>
    <row r="4073" spans="1:7" x14ac:dyDescent="0.25">
      <c r="A4073" s="17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</row>
    <row r="4074" spans="1:7" x14ac:dyDescent="0.25">
      <c r="A4074" s="17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57</v>
      </c>
    </row>
    <row r="4075" spans="1:7" x14ac:dyDescent="0.25">
      <c r="A4075" s="17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</row>
    <row r="4076" spans="1:7" x14ac:dyDescent="0.25">
      <c r="A4076" s="17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</row>
    <row r="4077" spans="1:7" x14ac:dyDescent="0.25">
      <c r="A4077" s="17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</row>
    <row r="4078" spans="1:7" x14ac:dyDescent="0.25">
      <c r="A4078" s="17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</row>
    <row r="4079" spans="1:7" x14ac:dyDescent="0.25">
      <c r="A4079" s="17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</row>
    <row r="4080" spans="1:7" x14ac:dyDescent="0.25">
      <c r="A4080" s="17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</row>
    <row r="4081" spans="1:7" x14ac:dyDescent="0.25">
      <c r="A4081" s="17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</row>
    <row r="4082" spans="1:7" x14ac:dyDescent="0.25">
      <c r="A4082" s="17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</row>
    <row r="4083" spans="1:7" x14ac:dyDescent="0.25">
      <c r="A4083" s="17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</row>
    <row r="4084" spans="1:7" x14ac:dyDescent="0.25">
      <c r="A4084" s="17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</row>
    <row r="4085" spans="1:7" x14ac:dyDescent="0.25">
      <c r="A4085" s="17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</row>
    <row r="4086" spans="1:7" x14ac:dyDescent="0.25">
      <c r="A4086" s="17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</row>
    <row r="4087" spans="1:7" x14ac:dyDescent="0.25">
      <c r="A4087" s="17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</row>
    <row r="4088" spans="1:7" x14ac:dyDescent="0.25">
      <c r="A4088" s="17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</row>
    <row r="4089" spans="1:7" x14ac:dyDescent="0.25">
      <c r="A4089" s="17"/>
      <c r="B4089" s="4" t="s">
        <v>4001</v>
      </c>
      <c r="C4089" s="4" t="s">
        <v>11</v>
      </c>
      <c r="D4089" s="4" t="s">
        <v>11</v>
      </c>
      <c r="E4089" s="4" t="s">
        <v>11</v>
      </c>
      <c r="F4089" s="4" t="s">
        <v>956</v>
      </c>
      <c r="G4089" s="5" t="s">
        <v>11</v>
      </c>
    </row>
    <row r="4090" spans="1:7" x14ac:dyDescent="0.25">
      <c r="A4090" s="17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</row>
    <row r="4091" spans="1:7" x14ac:dyDescent="0.25">
      <c r="A4091" s="17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</row>
    <row r="4092" spans="1:7" x14ac:dyDescent="0.25">
      <c r="A4092" s="17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</row>
    <row r="4093" spans="1:7" x14ac:dyDescent="0.25">
      <c r="A4093" s="17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</row>
    <row r="4094" spans="1:7" x14ac:dyDescent="0.25">
      <c r="A4094" s="17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</row>
    <row r="4095" spans="1:7" x14ac:dyDescent="0.25">
      <c r="A4095" s="17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</row>
    <row r="4096" spans="1:7" x14ac:dyDescent="0.25">
      <c r="A4096" s="17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</row>
    <row r="4097" spans="1:7" x14ac:dyDescent="0.25">
      <c r="A4097" s="17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</row>
    <row r="4098" spans="1:7" x14ac:dyDescent="0.25">
      <c r="A4098" s="17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</row>
    <row r="4099" spans="1:7" x14ac:dyDescent="0.25">
      <c r="A4099" s="17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</row>
    <row r="4100" spans="1:7" x14ac:dyDescent="0.25">
      <c r="A4100" s="17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</row>
    <row r="4101" spans="1:7" x14ac:dyDescent="0.25">
      <c r="A4101" s="17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</row>
    <row r="4102" spans="1:7" x14ac:dyDescent="0.25">
      <c r="A4102" s="17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</row>
    <row r="4103" spans="1:7" x14ac:dyDescent="0.25">
      <c r="A4103" s="17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</row>
    <row r="4104" spans="1:7" x14ac:dyDescent="0.25">
      <c r="A4104" s="17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</row>
    <row r="4105" spans="1:7" x14ac:dyDescent="0.25">
      <c r="A4105" s="17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</row>
    <row r="4106" spans="1:7" x14ac:dyDescent="0.25">
      <c r="A4106" s="17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</row>
    <row r="4107" spans="1:7" x14ac:dyDescent="0.25">
      <c r="A4107" s="17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</row>
    <row r="4108" spans="1:7" x14ac:dyDescent="0.25">
      <c r="A4108" s="17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</row>
    <row r="4109" spans="1:7" x14ac:dyDescent="0.25">
      <c r="A4109" s="17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</row>
    <row r="4110" spans="1:7" x14ac:dyDescent="0.25">
      <c r="A4110" s="17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</row>
    <row r="4111" spans="1:7" x14ac:dyDescent="0.25">
      <c r="A4111" s="17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57</v>
      </c>
    </row>
    <row r="4112" spans="1:7" x14ac:dyDescent="0.25">
      <c r="A4112" s="17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</row>
    <row r="4113" spans="1:7" x14ac:dyDescent="0.25">
      <c r="A4113" s="17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</row>
    <row r="4114" spans="1:7" x14ac:dyDescent="0.25">
      <c r="A4114" s="17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</row>
    <row r="4115" spans="1:7" x14ac:dyDescent="0.25">
      <c r="A4115" s="17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</row>
    <row r="4116" spans="1:7" x14ac:dyDescent="0.25">
      <c r="A4116" s="17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</row>
    <row r="4117" spans="1:7" x14ac:dyDescent="0.25">
      <c r="A4117" s="17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</row>
    <row r="4118" spans="1:7" x14ac:dyDescent="0.25">
      <c r="A4118" s="17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</row>
    <row r="4119" spans="1:7" x14ac:dyDescent="0.25">
      <c r="A4119" s="17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">
        <v>11</v>
      </c>
    </row>
    <row r="4120" spans="1:7" x14ac:dyDescent="0.25">
      <c r="A4120" s="17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</row>
    <row r="4121" spans="1:7" x14ac:dyDescent="0.25">
      <c r="A4121" s="17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</row>
    <row r="4122" spans="1:7" x14ac:dyDescent="0.25">
      <c r="A4122" s="17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</row>
    <row r="4123" spans="1:7" x14ac:dyDescent="0.25">
      <c r="A4123" s="17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</row>
    <row r="4124" spans="1:7" x14ac:dyDescent="0.25">
      <c r="A4124" s="17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</row>
    <row r="4125" spans="1:7" x14ac:dyDescent="0.25">
      <c r="A4125" s="17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</row>
    <row r="4126" spans="1:7" x14ac:dyDescent="0.25">
      <c r="A4126" s="17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</row>
    <row r="4127" spans="1:7" x14ac:dyDescent="0.25">
      <c r="A4127" s="17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</row>
    <row r="4128" spans="1:7" x14ac:dyDescent="0.25">
      <c r="A4128" s="17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</row>
    <row r="4129" spans="1:7" x14ac:dyDescent="0.25">
      <c r="A4129" s="17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</row>
    <row r="4130" spans="1:7" x14ac:dyDescent="0.25">
      <c r="A4130" s="17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</row>
    <row r="4131" spans="1:7" x14ac:dyDescent="0.25">
      <c r="A4131" s="17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</row>
    <row r="4132" spans="1:7" x14ac:dyDescent="0.25">
      <c r="A4132" s="17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</row>
    <row r="4133" spans="1:7" x14ac:dyDescent="0.25">
      <c r="A4133" s="17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</row>
    <row r="4134" spans="1:7" x14ac:dyDescent="0.25">
      <c r="A4134" s="17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">
        <v>57</v>
      </c>
    </row>
    <row r="4135" spans="1:7" x14ac:dyDescent="0.25">
      <c r="A4135" s="17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</row>
    <row r="4136" spans="1:7" x14ac:dyDescent="0.25">
      <c r="A4136" s="17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</row>
    <row r="4137" spans="1:7" x14ac:dyDescent="0.25">
      <c r="A4137" s="17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</row>
    <row r="4138" spans="1:7" x14ac:dyDescent="0.25">
      <c r="A4138" s="17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</row>
    <row r="4139" spans="1:7" x14ac:dyDescent="0.25">
      <c r="A4139" s="17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</row>
    <row r="4140" spans="1:7" x14ac:dyDescent="0.25">
      <c r="A4140" s="17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</row>
    <row r="4141" spans="1:7" x14ac:dyDescent="0.25">
      <c r="A4141" s="17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">
        <v>57</v>
      </c>
    </row>
    <row r="4142" spans="1:7" x14ac:dyDescent="0.25">
      <c r="A4142" s="17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</row>
    <row r="4143" spans="1:7" x14ac:dyDescent="0.25">
      <c r="A4143" s="17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</row>
    <row r="4144" spans="1:7" x14ac:dyDescent="0.25">
      <c r="A4144" s="17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</row>
    <row r="4145" spans="1:7" x14ac:dyDescent="0.25">
      <c r="A4145" s="17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</row>
    <row r="4146" spans="1:7" x14ac:dyDescent="0.25">
      <c r="A4146" s="17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</row>
    <row r="4147" spans="1:7" x14ac:dyDescent="0.25">
      <c r="A4147" s="17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</row>
    <row r="4148" spans="1:7" x14ac:dyDescent="0.25">
      <c r="A4148" s="17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</row>
    <row r="4149" spans="1:7" x14ac:dyDescent="0.25">
      <c r="A4149" s="17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</row>
    <row r="4150" spans="1:7" x14ac:dyDescent="0.25">
      <c r="A4150" s="17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</row>
    <row r="4151" spans="1:7" x14ac:dyDescent="0.25">
      <c r="A4151" s="17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</row>
    <row r="4152" spans="1:7" x14ac:dyDescent="0.25">
      <c r="A4152" s="17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</row>
    <row r="4153" spans="1:7" x14ac:dyDescent="0.25">
      <c r="A4153" s="17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</row>
    <row r="4154" spans="1:7" x14ac:dyDescent="0.25">
      <c r="A4154" s="17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</row>
    <row r="4155" spans="1:7" x14ac:dyDescent="0.25">
      <c r="A4155" s="17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</row>
    <row r="4156" spans="1:7" x14ac:dyDescent="0.25">
      <c r="A4156" s="17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</row>
    <row r="4157" spans="1:7" x14ac:dyDescent="0.25">
      <c r="A4157" s="17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</row>
    <row r="4158" spans="1:7" x14ac:dyDescent="0.25">
      <c r="A4158" s="17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</row>
    <row r="4159" spans="1:7" x14ac:dyDescent="0.25">
      <c r="A4159" s="17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</row>
    <row r="4160" spans="1:7" x14ac:dyDescent="0.25">
      <c r="A4160" s="17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</row>
    <row r="4161" spans="1:7" x14ac:dyDescent="0.25">
      <c r="A4161" s="17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36</v>
      </c>
    </row>
    <row r="4162" spans="1:7" x14ac:dyDescent="0.25">
      <c r="A4162" s="17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</row>
    <row r="4163" spans="1:7" x14ac:dyDescent="0.25">
      <c r="A4163" s="17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</row>
    <row r="4164" spans="1:7" x14ac:dyDescent="0.25">
      <c r="A4164" s="17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</row>
    <row r="4165" spans="1:7" x14ac:dyDescent="0.25">
      <c r="A4165" s="17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</row>
    <row r="4166" spans="1:7" x14ac:dyDescent="0.25">
      <c r="A4166" s="17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</row>
    <row r="4167" spans="1:7" x14ac:dyDescent="0.25">
      <c r="A4167" s="17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</row>
    <row r="4168" spans="1:7" x14ac:dyDescent="0.25">
      <c r="A4168" s="17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</row>
    <row r="4169" spans="1:7" x14ac:dyDescent="0.25">
      <c r="A4169" s="17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</row>
    <row r="4170" spans="1:7" x14ac:dyDescent="0.25">
      <c r="A4170" s="17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</row>
    <row r="4171" spans="1:7" x14ac:dyDescent="0.25">
      <c r="A4171" s="17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">
        <v>20</v>
      </c>
    </row>
    <row r="4172" spans="1:7" x14ac:dyDescent="0.25">
      <c r="A4172" s="17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</row>
    <row r="4173" spans="1:7" x14ac:dyDescent="0.25">
      <c r="A4173" s="17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</row>
    <row r="4174" spans="1:7" x14ac:dyDescent="0.25">
      <c r="A4174" s="17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</row>
    <row r="4175" spans="1:7" x14ac:dyDescent="0.25">
      <c r="A4175" s="17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</row>
    <row r="4176" spans="1:7" x14ac:dyDescent="0.25">
      <c r="A4176" s="17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</row>
    <row r="4177" spans="1:7" x14ac:dyDescent="0.25">
      <c r="A4177" s="17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</row>
    <row r="4178" spans="1:7" x14ac:dyDescent="0.25">
      <c r="A4178" s="17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</row>
    <row r="4179" spans="1:7" x14ac:dyDescent="0.25">
      <c r="A4179" s="17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</row>
    <row r="4180" spans="1:7" x14ac:dyDescent="0.25">
      <c r="A4180" s="17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</row>
    <row r="4181" spans="1:7" x14ac:dyDescent="0.25">
      <c r="A4181" s="17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</row>
    <row r="4182" spans="1:7" x14ac:dyDescent="0.25">
      <c r="A4182" s="17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</row>
    <row r="4183" spans="1:7" x14ac:dyDescent="0.25">
      <c r="A4183" s="17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</row>
    <row r="4184" spans="1:7" x14ac:dyDescent="0.25">
      <c r="A4184" s="17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</row>
    <row r="4185" spans="1:7" x14ac:dyDescent="0.25">
      <c r="A4185" s="17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</row>
    <row r="4186" spans="1:7" x14ac:dyDescent="0.25">
      <c r="A4186" s="17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</row>
    <row r="4187" spans="1:7" x14ac:dyDescent="0.25">
      <c r="A4187" s="17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">
        <v>11</v>
      </c>
    </row>
    <row r="4188" spans="1:7" x14ac:dyDescent="0.25">
      <c r="A4188" s="17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</row>
    <row r="4189" spans="1:7" x14ac:dyDescent="0.25">
      <c r="A4189" s="17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</row>
    <row r="4190" spans="1:7" x14ac:dyDescent="0.25">
      <c r="A4190" s="17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</row>
    <row r="4191" spans="1:7" x14ac:dyDescent="0.25">
      <c r="A4191" s="17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</row>
    <row r="4192" spans="1:7" x14ac:dyDescent="0.25">
      <c r="A4192" s="17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</row>
    <row r="4193" spans="1:7" x14ac:dyDescent="0.25">
      <c r="A4193" s="17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</row>
    <row r="4194" spans="1:7" x14ac:dyDescent="0.25">
      <c r="A4194" s="17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</row>
    <row r="4195" spans="1:7" x14ac:dyDescent="0.25">
      <c r="A4195" s="17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</row>
    <row r="4196" spans="1:7" x14ac:dyDescent="0.25">
      <c r="A4196" s="17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</row>
    <row r="4197" spans="1:7" x14ac:dyDescent="0.25">
      <c r="A4197" s="17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</row>
    <row r="4198" spans="1:7" x14ac:dyDescent="0.25">
      <c r="A4198" s="17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</row>
    <row r="4199" spans="1:7" x14ac:dyDescent="0.25">
      <c r="A4199" s="17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</row>
    <row r="4200" spans="1:7" x14ac:dyDescent="0.25">
      <c r="A4200" s="17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</row>
    <row r="4201" spans="1:7" x14ac:dyDescent="0.25">
      <c r="A4201" s="17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</row>
    <row r="4202" spans="1:7" x14ac:dyDescent="0.25">
      <c r="A4202" s="17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</row>
    <row r="4203" spans="1:7" x14ac:dyDescent="0.25">
      <c r="A4203" s="17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</row>
    <row r="4204" spans="1:7" x14ac:dyDescent="0.25">
      <c r="A4204" s="17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</row>
    <row r="4205" spans="1:7" x14ac:dyDescent="0.25">
      <c r="A4205" s="17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</row>
    <row r="4206" spans="1:7" x14ac:dyDescent="0.25">
      <c r="A4206" s="17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</row>
    <row r="4207" spans="1:7" x14ac:dyDescent="0.25">
      <c r="A4207" s="17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20</v>
      </c>
    </row>
    <row r="4208" spans="1:7" x14ac:dyDescent="0.25">
      <c r="A4208" s="17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</row>
    <row r="4209" spans="1:7" x14ac:dyDescent="0.25">
      <c r="A4209" s="17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</row>
    <row r="4210" spans="1:7" x14ac:dyDescent="0.25">
      <c r="A4210" s="17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</row>
    <row r="4211" spans="1:7" x14ac:dyDescent="0.25">
      <c r="A4211" s="17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</row>
    <row r="4212" spans="1:7" x14ac:dyDescent="0.25">
      <c r="A4212" s="17"/>
      <c r="B4212" s="4" t="s">
        <v>4123</v>
      </c>
      <c r="C4212" s="4" t="s">
        <v>14</v>
      </c>
      <c r="D4212" s="4" t="s">
        <v>15</v>
      </c>
      <c r="E4212" s="4" t="s">
        <v>16</v>
      </c>
      <c r="F4212" s="4" t="s">
        <v>14</v>
      </c>
      <c r="G4212" s="5" t="s">
        <v>16</v>
      </c>
    </row>
    <row r="4213" spans="1:7" x14ac:dyDescent="0.25">
      <c r="A4213" s="17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</row>
    <row r="4214" spans="1:7" x14ac:dyDescent="0.25">
      <c r="A4214" s="17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</row>
    <row r="4215" spans="1:7" x14ac:dyDescent="0.25">
      <c r="A4215" s="17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</row>
    <row r="4216" spans="1:7" x14ac:dyDescent="0.25">
      <c r="A4216" s="17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98</v>
      </c>
    </row>
    <row r="4217" spans="1:7" x14ac:dyDescent="0.25">
      <c r="A4217" s="17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</row>
    <row r="4218" spans="1:7" x14ac:dyDescent="0.25">
      <c r="A4218" s="17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</row>
    <row r="4219" spans="1:7" x14ac:dyDescent="0.25">
      <c r="A4219" s="17"/>
      <c r="B4219" s="4" t="s">
        <v>4130</v>
      </c>
      <c r="C4219" s="4" t="s">
        <v>14</v>
      </c>
      <c r="D4219" s="4" t="s">
        <v>15</v>
      </c>
      <c r="E4219" s="4" t="s">
        <v>16</v>
      </c>
      <c r="F4219" s="4" t="s">
        <v>14</v>
      </c>
      <c r="G4219" s="5" t="s">
        <v>16</v>
      </c>
    </row>
    <row r="4220" spans="1:7" x14ac:dyDescent="0.25">
      <c r="A4220" s="17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</row>
    <row r="4221" spans="1:7" x14ac:dyDescent="0.25">
      <c r="A4221" s="17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</row>
    <row r="4222" spans="1:7" x14ac:dyDescent="0.25">
      <c r="A4222" s="17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26</v>
      </c>
    </row>
    <row r="4223" spans="1:7" x14ac:dyDescent="0.25">
      <c r="A4223" s="17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</row>
    <row r="4224" spans="1:7" x14ac:dyDescent="0.25">
      <c r="A4224" s="17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</row>
    <row r="4225" spans="1:7" x14ac:dyDescent="0.25">
      <c r="A4225" s="17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</row>
    <row r="4226" spans="1:7" x14ac:dyDescent="0.25">
      <c r="A4226" s="17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</row>
    <row r="4227" spans="1:7" x14ac:dyDescent="0.25">
      <c r="A4227" s="17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</row>
    <row r="4228" spans="1:7" x14ac:dyDescent="0.25">
      <c r="A4228" s="17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</row>
    <row r="4229" spans="1:7" x14ac:dyDescent="0.25">
      <c r="A4229" s="17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</row>
    <row r="4230" spans="1:7" x14ac:dyDescent="0.25">
      <c r="A4230" s="17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</row>
    <row r="4231" spans="1:7" x14ac:dyDescent="0.25">
      <c r="A4231" s="17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</row>
    <row r="4232" spans="1:7" x14ac:dyDescent="0.25">
      <c r="A4232" s="17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</row>
    <row r="4233" spans="1:7" x14ac:dyDescent="0.25">
      <c r="A4233" s="17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</row>
    <row r="4234" spans="1:7" x14ac:dyDescent="0.25">
      <c r="A4234" s="17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</row>
    <row r="4235" spans="1:7" x14ac:dyDescent="0.25">
      <c r="A4235" s="17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</row>
    <row r="4236" spans="1:7" x14ac:dyDescent="0.25">
      <c r="A4236" s="17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</row>
    <row r="4237" spans="1:7" x14ac:dyDescent="0.25">
      <c r="A4237" s="17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</row>
    <row r="4238" spans="1:7" x14ac:dyDescent="0.25">
      <c r="A4238" s="17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</row>
    <row r="4239" spans="1:7" x14ac:dyDescent="0.25">
      <c r="A4239" s="17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</row>
    <row r="4240" spans="1:7" x14ac:dyDescent="0.25">
      <c r="A4240" s="17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</row>
    <row r="4241" spans="1:7" x14ac:dyDescent="0.25">
      <c r="A4241" s="17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</row>
    <row r="4242" spans="1:7" x14ac:dyDescent="0.25">
      <c r="A4242" s="17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16</v>
      </c>
    </row>
    <row r="4243" spans="1:7" x14ac:dyDescent="0.25">
      <c r="A4243" s="17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</row>
    <row r="4244" spans="1:7" x14ac:dyDescent="0.25">
      <c r="A4244" s="17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</row>
    <row r="4245" spans="1:7" x14ac:dyDescent="0.25">
      <c r="A4245" s="17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</row>
    <row r="4246" spans="1:7" x14ac:dyDescent="0.25">
      <c r="A4246" s="17"/>
      <c r="B4246" s="4" t="s">
        <v>4157</v>
      </c>
      <c r="C4246" s="4" t="s">
        <v>14</v>
      </c>
      <c r="D4246" s="4" t="s">
        <v>15</v>
      </c>
      <c r="E4246" s="4" t="s">
        <v>16</v>
      </c>
      <c r="F4246" s="4" t="s">
        <v>14</v>
      </c>
      <c r="G4246" s="5" t="s">
        <v>16</v>
      </c>
    </row>
    <row r="4247" spans="1:7" x14ac:dyDescent="0.25">
      <c r="A4247" s="17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</row>
    <row r="4248" spans="1:7" x14ac:dyDescent="0.25">
      <c r="A4248" s="17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</row>
    <row r="4249" spans="1:7" x14ac:dyDescent="0.25">
      <c r="A4249" s="17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</row>
    <row r="4250" spans="1:7" x14ac:dyDescent="0.25">
      <c r="A4250" s="17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</row>
    <row r="4251" spans="1:7" x14ac:dyDescent="0.25">
      <c r="A4251" s="17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</row>
    <row r="4252" spans="1:7" x14ac:dyDescent="0.25">
      <c r="A4252" s="17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</row>
    <row r="4253" spans="1:7" x14ac:dyDescent="0.25">
      <c r="A4253" s="17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</row>
    <row r="4254" spans="1:7" x14ac:dyDescent="0.25">
      <c r="A4254" s="17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</row>
    <row r="4255" spans="1:7" x14ac:dyDescent="0.25">
      <c r="A4255" s="17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</row>
    <row r="4256" spans="1:7" x14ac:dyDescent="0.25">
      <c r="A4256" s="17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</row>
    <row r="4257" spans="1:7" x14ac:dyDescent="0.25">
      <c r="A4257" s="17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</row>
    <row r="4258" spans="1:7" x14ac:dyDescent="0.25">
      <c r="A4258" s="17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</row>
    <row r="4259" spans="1:7" x14ac:dyDescent="0.25">
      <c r="A4259" s="17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</row>
    <row r="4260" spans="1:7" x14ac:dyDescent="0.25">
      <c r="A4260" s="17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</row>
    <row r="4261" spans="1:7" x14ac:dyDescent="0.25">
      <c r="A4261" s="17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</row>
    <row r="4262" spans="1:7" x14ac:dyDescent="0.25">
      <c r="A4262" s="17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</row>
    <row r="4263" spans="1:7" x14ac:dyDescent="0.25">
      <c r="A4263" s="17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</row>
    <row r="4264" spans="1:7" x14ac:dyDescent="0.25">
      <c r="A4264" s="17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</row>
    <row r="4265" spans="1:7" x14ac:dyDescent="0.25">
      <c r="A4265" s="17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</row>
    <row r="4266" spans="1:7" x14ac:dyDescent="0.25">
      <c r="A4266" s="17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</row>
    <row r="4267" spans="1:7" x14ac:dyDescent="0.25">
      <c r="A4267" s="17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</row>
    <row r="4268" spans="1:7" x14ac:dyDescent="0.25">
      <c r="A4268" s="17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</row>
    <row r="4269" spans="1:7" x14ac:dyDescent="0.25">
      <c r="A4269" s="17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</row>
    <row r="4270" spans="1:7" x14ac:dyDescent="0.25">
      <c r="A4270" s="17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</row>
    <row r="4271" spans="1:7" x14ac:dyDescent="0.25">
      <c r="A4271" s="17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</row>
    <row r="4272" spans="1:7" x14ac:dyDescent="0.25">
      <c r="A4272" s="17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</row>
    <row r="4273" spans="1:7" x14ac:dyDescent="0.25">
      <c r="A4273" s="17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</row>
    <row r="4274" spans="1:7" x14ac:dyDescent="0.25">
      <c r="A4274" s="17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</row>
    <row r="4275" spans="1:7" x14ac:dyDescent="0.25">
      <c r="A4275" s="17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</row>
    <row r="4276" spans="1:7" x14ac:dyDescent="0.25">
      <c r="A4276" s="17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">
        <v>308</v>
      </c>
    </row>
    <row r="4277" spans="1:7" x14ac:dyDescent="0.25">
      <c r="A4277" s="17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</row>
    <row r="4278" spans="1:7" x14ac:dyDescent="0.25">
      <c r="A4278" s="17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</row>
    <row r="4279" spans="1:7" x14ac:dyDescent="0.25">
      <c r="A4279" s="17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</row>
    <row r="4280" spans="1:7" x14ac:dyDescent="0.25">
      <c r="A4280" s="17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</row>
    <row r="4281" spans="1:7" x14ac:dyDescent="0.25">
      <c r="A4281" s="17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</row>
    <row r="4282" spans="1:7" x14ac:dyDescent="0.25">
      <c r="A4282" s="17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</row>
    <row r="4283" spans="1:7" x14ac:dyDescent="0.25">
      <c r="A4283" s="17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</row>
    <row r="4284" spans="1:7" x14ac:dyDescent="0.25">
      <c r="A4284" s="17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</row>
    <row r="4285" spans="1:7" x14ac:dyDescent="0.25">
      <c r="A4285" s="17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</row>
    <row r="4286" spans="1:7" x14ac:dyDescent="0.25">
      <c r="A4286" s="17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</row>
    <row r="4287" spans="1:7" x14ac:dyDescent="0.25">
      <c r="A4287" s="17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</row>
    <row r="4288" spans="1:7" x14ac:dyDescent="0.25">
      <c r="A4288" s="17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</row>
    <row r="4289" spans="1:7" x14ac:dyDescent="0.25">
      <c r="A4289" s="17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</row>
    <row r="4290" spans="1:7" x14ac:dyDescent="0.25">
      <c r="A4290" s="17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</row>
    <row r="4291" spans="1:7" x14ac:dyDescent="0.25">
      <c r="A4291" s="17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</row>
    <row r="4292" spans="1:7" x14ac:dyDescent="0.25">
      <c r="A4292" s="17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</row>
    <row r="4293" spans="1:7" x14ac:dyDescent="0.25">
      <c r="A4293" s="17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</row>
    <row r="4294" spans="1:7" x14ac:dyDescent="0.25">
      <c r="A4294" s="17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</row>
    <row r="4295" spans="1:7" x14ac:dyDescent="0.25">
      <c r="A4295" s="17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</row>
    <row r="4296" spans="1:7" x14ac:dyDescent="0.25">
      <c r="A4296" s="17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</row>
    <row r="4297" spans="1:7" x14ac:dyDescent="0.25">
      <c r="A4297" s="17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</row>
    <row r="4298" spans="1:7" x14ac:dyDescent="0.25">
      <c r="A4298" s="17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</row>
    <row r="4299" spans="1:7" x14ac:dyDescent="0.25">
      <c r="A4299" s="17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</row>
    <row r="4300" spans="1:7" x14ac:dyDescent="0.25">
      <c r="A4300" s="17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</row>
    <row r="4301" spans="1:7" x14ac:dyDescent="0.25">
      <c r="A4301" s="17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</row>
    <row r="4302" spans="1:7" x14ac:dyDescent="0.25">
      <c r="A4302" s="17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</row>
    <row r="4303" spans="1:7" x14ac:dyDescent="0.25">
      <c r="A4303" s="17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</row>
    <row r="4304" spans="1:7" x14ac:dyDescent="0.25">
      <c r="A4304" s="17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</row>
    <row r="4305" spans="1:7" x14ac:dyDescent="0.25">
      <c r="A4305" s="17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</row>
    <row r="4306" spans="1:7" x14ac:dyDescent="0.25">
      <c r="A4306" s="17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</row>
    <row r="4307" spans="1:7" x14ac:dyDescent="0.25">
      <c r="A4307" s="17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</row>
    <row r="4308" spans="1:7" x14ac:dyDescent="0.25">
      <c r="A4308" s="17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</row>
    <row r="4309" spans="1:7" x14ac:dyDescent="0.25">
      <c r="A4309" s="17"/>
      <c r="B4309" s="4" t="s">
        <v>4220</v>
      </c>
      <c r="C4309" s="4" t="s">
        <v>14</v>
      </c>
      <c r="D4309" s="4" t="s">
        <v>15</v>
      </c>
      <c r="E4309" s="4" t="s">
        <v>16</v>
      </c>
      <c r="F4309" s="4" t="s">
        <v>14</v>
      </c>
      <c r="G4309" s="5" t="s">
        <v>16</v>
      </c>
    </row>
    <row r="4310" spans="1:7" x14ac:dyDescent="0.25">
      <c r="A4310" s="17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</row>
    <row r="4311" spans="1:7" x14ac:dyDescent="0.25">
      <c r="A4311" s="17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</row>
    <row r="4312" spans="1:7" x14ac:dyDescent="0.25">
      <c r="A4312" s="17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</row>
    <row r="4313" spans="1:7" x14ac:dyDescent="0.25">
      <c r="A4313" s="17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</row>
    <row r="4314" spans="1:7" x14ac:dyDescent="0.25">
      <c r="A4314" s="17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</row>
    <row r="4315" spans="1:7" x14ac:dyDescent="0.25">
      <c r="A4315" s="17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</row>
    <row r="4316" spans="1:7" x14ac:dyDescent="0.25">
      <c r="A4316" s="17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</row>
    <row r="4317" spans="1:7" x14ac:dyDescent="0.25">
      <c r="A4317" s="17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</row>
    <row r="4318" spans="1:7" x14ac:dyDescent="0.25">
      <c r="A4318" s="17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</row>
    <row r="4319" spans="1:7" x14ac:dyDescent="0.25">
      <c r="A4319" s="17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</row>
    <row r="4320" spans="1:7" x14ac:dyDescent="0.25">
      <c r="A4320" s="17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</row>
    <row r="4321" spans="1:7" x14ac:dyDescent="0.25">
      <c r="A4321" s="17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</row>
    <row r="4322" spans="1:7" x14ac:dyDescent="0.25">
      <c r="A4322" s="17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</row>
    <row r="4323" spans="1:7" x14ac:dyDescent="0.25">
      <c r="A4323" s="17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</row>
    <row r="4324" spans="1:7" x14ac:dyDescent="0.25">
      <c r="A4324" s="17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</row>
    <row r="4325" spans="1:7" x14ac:dyDescent="0.25">
      <c r="A4325" s="17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</row>
    <row r="4326" spans="1:7" x14ac:dyDescent="0.25">
      <c r="A4326" s="17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</row>
    <row r="4327" spans="1:7" x14ac:dyDescent="0.25">
      <c r="A4327" s="17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</row>
    <row r="4328" spans="1:7" x14ac:dyDescent="0.25">
      <c r="A4328" s="17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</row>
    <row r="4329" spans="1:7" x14ac:dyDescent="0.25">
      <c r="A4329" s="17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</row>
    <row r="4330" spans="1:7" x14ac:dyDescent="0.25">
      <c r="A4330" s="17"/>
      <c r="B4330" s="4" t="s">
        <v>4241</v>
      </c>
      <c r="C4330" s="4" t="s">
        <v>14</v>
      </c>
      <c r="D4330" s="4" t="s">
        <v>15</v>
      </c>
      <c r="E4330" s="4" t="s">
        <v>16</v>
      </c>
      <c r="F4330" s="4" t="s">
        <v>14</v>
      </c>
      <c r="G4330" s="5" t="s">
        <v>16</v>
      </c>
    </row>
    <row r="4331" spans="1:7" x14ac:dyDescent="0.25">
      <c r="A4331" s="17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</row>
    <row r="4332" spans="1:7" x14ac:dyDescent="0.25">
      <c r="A4332" s="17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</row>
    <row r="4333" spans="1:7" x14ac:dyDescent="0.25">
      <c r="A4333" s="17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</row>
    <row r="4334" spans="1:7" x14ac:dyDescent="0.25">
      <c r="A4334" s="17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</row>
    <row r="4335" spans="1:7" x14ac:dyDescent="0.25">
      <c r="A4335" s="17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</row>
    <row r="4336" spans="1:7" x14ac:dyDescent="0.25">
      <c r="A4336" s="17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</row>
    <row r="4337" spans="1:7" x14ac:dyDescent="0.25">
      <c r="A4337" s="17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</row>
    <row r="4338" spans="1:7" x14ac:dyDescent="0.25">
      <c r="A4338" s="17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</row>
    <row r="4339" spans="1:7" x14ac:dyDescent="0.25">
      <c r="A4339" s="17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</row>
    <row r="4340" spans="1:7" x14ac:dyDescent="0.25">
      <c r="A4340" s="17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</row>
    <row r="4341" spans="1:7" x14ac:dyDescent="0.25">
      <c r="A4341" s="17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</row>
    <row r="4342" spans="1:7" x14ac:dyDescent="0.25">
      <c r="A4342" s="17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</row>
    <row r="4343" spans="1:7" x14ac:dyDescent="0.25">
      <c r="A4343" s="17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</row>
    <row r="4344" spans="1:7" x14ac:dyDescent="0.25">
      <c r="A4344" s="17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</row>
    <row r="4345" spans="1:7" x14ac:dyDescent="0.25">
      <c r="A4345" s="17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</row>
    <row r="4346" spans="1:7" x14ac:dyDescent="0.25">
      <c r="A4346" s="17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</row>
    <row r="4347" spans="1:7" x14ac:dyDescent="0.25">
      <c r="A4347" s="17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</row>
    <row r="4348" spans="1:7" x14ac:dyDescent="0.25">
      <c r="A4348" s="17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</row>
    <row r="4349" spans="1:7" x14ac:dyDescent="0.25">
      <c r="A4349" s="17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</row>
    <row r="4350" spans="1:7" x14ac:dyDescent="0.25">
      <c r="A4350" s="17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</row>
    <row r="4351" spans="1:7" x14ac:dyDescent="0.25">
      <c r="A4351" s="17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</row>
    <row r="4352" spans="1:7" x14ac:dyDescent="0.25">
      <c r="A4352" s="17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</row>
    <row r="4353" spans="1:7" x14ac:dyDescent="0.25">
      <c r="A4353" s="17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</row>
    <row r="4354" spans="1:7" x14ac:dyDescent="0.25">
      <c r="A4354" s="17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</row>
    <row r="4355" spans="1:7" x14ac:dyDescent="0.25">
      <c r="A4355" s="17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</row>
    <row r="4356" spans="1:7" x14ac:dyDescent="0.25">
      <c r="A4356" s="17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</row>
    <row r="4357" spans="1:7" x14ac:dyDescent="0.25">
      <c r="A4357" s="17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</row>
    <row r="4358" spans="1:7" x14ac:dyDescent="0.25">
      <c r="A4358" s="17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</row>
    <row r="4359" spans="1:7" x14ac:dyDescent="0.25">
      <c r="A4359" s="17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</row>
    <row r="4360" spans="1:7" x14ac:dyDescent="0.25">
      <c r="A4360" s="17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</row>
    <row r="4361" spans="1:7" x14ac:dyDescent="0.25">
      <c r="A4361" s="17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</row>
    <row r="4362" spans="1:7" x14ac:dyDescent="0.25">
      <c r="A4362" s="17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</row>
    <row r="4363" spans="1:7" x14ac:dyDescent="0.25">
      <c r="A4363" s="17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</row>
    <row r="4364" spans="1:7" x14ac:dyDescent="0.25">
      <c r="A4364" s="17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</row>
    <row r="4365" spans="1:7" x14ac:dyDescent="0.25">
      <c r="A4365" s="17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</row>
    <row r="4366" spans="1:7" x14ac:dyDescent="0.25">
      <c r="A4366" s="17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</row>
    <row r="4367" spans="1:7" x14ac:dyDescent="0.25">
      <c r="A4367" s="17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</row>
    <row r="4368" spans="1:7" x14ac:dyDescent="0.25">
      <c r="A4368" s="17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</row>
    <row r="4369" spans="1:7" x14ac:dyDescent="0.25">
      <c r="A4369" s="17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</row>
    <row r="4370" spans="1:7" x14ac:dyDescent="0.25">
      <c r="A4370" s="17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</row>
    <row r="4371" spans="1:7" x14ac:dyDescent="0.25">
      <c r="A4371" s="17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</row>
    <row r="4372" spans="1:7" x14ac:dyDescent="0.25">
      <c r="A4372" s="17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</row>
    <row r="4373" spans="1:7" x14ac:dyDescent="0.25">
      <c r="A4373" s="17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</row>
    <row r="4374" spans="1:7" x14ac:dyDescent="0.25">
      <c r="A4374" s="17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</row>
    <row r="4375" spans="1:7" x14ac:dyDescent="0.25">
      <c r="A4375" s="17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</row>
    <row r="4376" spans="1:7" x14ac:dyDescent="0.25">
      <c r="A4376" s="17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">
        <v>26</v>
      </c>
    </row>
    <row r="4377" spans="1:7" x14ac:dyDescent="0.25">
      <c r="A4377" s="17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</row>
    <row r="4378" spans="1:7" x14ac:dyDescent="0.25">
      <c r="A4378" s="17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</row>
    <row r="4379" spans="1:7" x14ac:dyDescent="0.25">
      <c r="A4379" s="17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</row>
    <row r="4380" spans="1:7" x14ac:dyDescent="0.25">
      <c r="A4380" s="17"/>
      <c r="B4380" s="4" t="s">
        <v>4291</v>
      </c>
      <c r="C4380" s="4" t="s">
        <v>14</v>
      </c>
      <c r="D4380" s="4" t="s">
        <v>15</v>
      </c>
      <c r="E4380" s="4" t="s">
        <v>16</v>
      </c>
      <c r="F4380" s="4" t="s">
        <v>14</v>
      </c>
      <c r="G4380" s="5" t="s">
        <v>16</v>
      </c>
    </row>
    <row r="4381" spans="1:7" x14ac:dyDescent="0.25">
      <c r="A4381" s="17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</row>
    <row r="4382" spans="1:7" x14ac:dyDescent="0.25">
      <c r="A4382" s="17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</row>
    <row r="4383" spans="1:7" x14ac:dyDescent="0.25">
      <c r="A4383" s="17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</row>
    <row r="4384" spans="1:7" x14ac:dyDescent="0.25">
      <c r="A4384" s="17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</row>
    <row r="4385" spans="1:7" x14ac:dyDescent="0.25">
      <c r="A4385" s="17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</row>
    <row r="4386" spans="1:7" x14ac:dyDescent="0.25">
      <c r="A4386" s="17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</row>
    <row r="4387" spans="1:7" x14ac:dyDescent="0.25">
      <c r="A4387" s="17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</row>
    <row r="4388" spans="1:7" x14ac:dyDescent="0.25">
      <c r="A4388" s="17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</row>
    <row r="4389" spans="1:7" x14ac:dyDescent="0.25">
      <c r="A4389" s="17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</row>
    <row r="4390" spans="1:7" x14ac:dyDescent="0.25">
      <c r="A4390" s="17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</row>
    <row r="4391" spans="1:7" x14ac:dyDescent="0.25">
      <c r="A4391" s="17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</row>
    <row r="4392" spans="1:7" x14ac:dyDescent="0.25">
      <c r="A4392" s="17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</row>
    <row r="4393" spans="1:7" x14ac:dyDescent="0.25">
      <c r="A4393" s="17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</row>
    <row r="4394" spans="1:7" x14ac:dyDescent="0.25">
      <c r="A4394" s="17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</row>
    <row r="4395" spans="1:7" x14ac:dyDescent="0.25">
      <c r="A4395" s="17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</row>
    <row r="4396" spans="1:7" x14ac:dyDescent="0.25">
      <c r="A4396" s="17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</row>
    <row r="4397" spans="1:7" x14ac:dyDescent="0.25">
      <c r="A4397" s="17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">
        <v>11</v>
      </c>
    </row>
    <row r="4398" spans="1:7" x14ac:dyDescent="0.25">
      <c r="A4398" s="17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</row>
    <row r="4399" spans="1:7" x14ac:dyDescent="0.25">
      <c r="A4399" s="17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</row>
    <row r="4400" spans="1:7" x14ac:dyDescent="0.25">
      <c r="A4400" s="17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</row>
    <row r="4401" spans="1:7" x14ac:dyDescent="0.25">
      <c r="A4401" s="17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</row>
    <row r="4402" spans="1:7" x14ac:dyDescent="0.25">
      <c r="A4402" s="17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</row>
    <row r="4403" spans="1:7" x14ac:dyDescent="0.25">
      <c r="A4403" s="17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</row>
    <row r="4404" spans="1:7" x14ac:dyDescent="0.25">
      <c r="A4404" s="17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16</v>
      </c>
    </row>
    <row r="4405" spans="1:7" x14ac:dyDescent="0.25">
      <c r="A4405" s="17"/>
      <c r="B4405" s="4" t="s">
        <v>4316</v>
      </c>
      <c r="C4405" s="4" t="s">
        <v>14</v>
      </c>
      <c r="D4405" s="4" t="s">
        <v>15</v>
      </c>
      <c r="E4405" s="4" t="s">
        <v>16</v>
      </c>
      <c r="F4405" s="4" t="s">
        <v>14</v>
      </c>
      <c r="G4405" s="5" t="s">
        <v>16</v>
      </c>
    </row>
    <row r="4406" spans="1:7" x14ac:dyDescent="0.25">
      <c r="A4406" s="17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">
        <v>20</v>
      </c>
    </row>
    <row r="4407" spans="1:7" x14ac:dyDescent="0.25">
      <c r="A4407" s="17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11</v>
      </c>
    </row>
    <row r="4408" spans="1:7" x14ac:dyDescent="0.25">
      <c r="A4408" s="17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</row>
    <row r="4409" spans="1:7" x14ac:dyDescent="0.25">
      <c r="A4409" s="17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</row>
    <row r="4410" spans="1:7" x14ac:dyDescent="0.25">
      <c r="A4410" s="17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16</v>
      </c>
    </row>
    <row r="4411" spans="1:7" x14ac:dyDescent="0.25">
      <c r="A4411" s="17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</row>
    <row r="4412" spans="1:7" x14ac:dyDescent="0.25">
      <c r="A4412" s="17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</row>
    <row r="4413" spans="1:7" x14ac:dyDescent="0.25">
      <c r="A4413" s="17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</row>
    <row r="4414" spans="1:7" x14ac:dyDescent="0.25">
      <c r="A4414" s="17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</row>
    <row r="4415" spans="1:7" x14ac:dyDescent="0.25">
      <c r="A4415" s="17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</row>
    <row r="4416" spans="1:7" x14ac:dyDescent="0.25">
      <c r="A4416" s="17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</row>
    <row r="4417" spans="1:7" x14ac:dyDescent="0.25">
      <c r="A4417" s="17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</row>
    <row r="4418" spans="1:7" x14ac:dyDescent="0.25">
      <c r="A4418" s="17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</row>
    <row r="4419" spans="1:7" x14ac:dyDescent="0.25">
      <c r="A4419" s="17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</row>
    <row r="4420" spans="1:7" x14ac:dyDescent="0.25">
      <c r="A4420" s="17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</row>
    <row r="4421" spans="1:7" x14ac:dyDescent="0.25">
      <c r="A4421" s="17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</row>
    <row r="4422" spans="1:7" x14ac:dyDescent="0.25">
      <c r="A4422" s="17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</row>
    <row r="4423" spans="1:7" x14ac:dyDescent="0.25">
      <c r="A4423" s="17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</row>
    <row r="4424" spans="1:7" x14ac:dyDescent="0.25">
      <c r="A4424" s="17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</row>
    <row r="4425" spans="1:7" x14ac:dyDescent="0.25">
      <c r="A4425" s="17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</row>
    <row r="4426" spans="1:7" x14ac:dyDescent="0.25">
      <c r="A4426" s="17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">
        <v>11</v>
      </c>
    </row>
    <row r="4427" spans="1:7" x14ac:dyDescent="0.25">
      <c r="A4427" s="17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</row>
    <row r="4428" spans="1:7" x14ac:dyDescent="0.25">
      <c r="A4428" s="17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</row>
    <row r="4429" spans="1:7" x14ac:dyDescent="0.25">
      <c r="A4429" s="17"/>
      <c r="B4429" s="4" t="s">
        <v>4340</v>
      </c>
      <c r="C4429" s="4" t="s">
        <v>14</v>
      </c>
      <c r="D4429" s="4" t="s">
        <v>15</v>
      </c>
      <c r="E4429" s="4" t="s">
        <v>16</v>
      </c>
      <c r="F4429" s="4" t="s">
        <v>14</v>
      </c>
      <c r="G4429" s="5" t="s">
        <v>16</v>
      </c>
    </row>
    <row r="4430" spans="1:7" x14ac:dyDescent="0.25">
      <c r="A4430" s="17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</row>
    <row r="4431" spans="1:7" x14ac:dyDescent="0.25">
      <c r="A4431" s="17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</row>
    <row r="4432" spans="1:7" x14ac:dyDescent="0.25">
      <c r="A4432" s="17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</row>
    <row r="4433" spans="1:7" x14ac:dyDescent="0.25">
      <c r="A4433" s="17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</row>
    <row r="4434" spans="1:7" x14ac:dyDescent="0.25">
      <c r="A4434" s="17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</row>
    <row r="4435" spans="1:7" x14ac:dyDescent="0.25">
      <c r="A4435" s="17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">
        <v>20</v>
      </c>
    </row>
    <row r="4436" spans="1:7" x14ac:dyDescent="0.25">
      <c r="A4436" s="17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</row>
    <row r="4437" spans="1:7" x14ac:dyDescent="0.25">
      <c r="A4437" s="17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</row>
    <row r="4438" spans="1:7" x14ac:dyDescent="0.25">
      <c r="A4438" s="17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</row>
    <row r="4439" spans="1:7" x14ac:dyDescent="0.25">
      <c r="A4439" s="17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</row>
    <row r="4440" spans="1:7" x14ac:dyDescent="0.25">
      <c r="A4440" s="17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</row>
    <row r="4441" spans="1:7" x14ac:dyDescent="0.25">
      <c r="A4441" s="17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</row>
    <row r="4442" spans="1:7" x14ac:dyDescent="0.25">
      <c r="A4442" s="17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</row>
    <row r="4443" spans="1:7" x14ac:dyDescent="0.25">
      <c r="A4443" s="17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</row>
    <row r="4444" spans="1:7" x14ac:dyDescent="0.25">
      <c r="A4444" s="17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</row>
    <row r="4445" spans="1:7" x14ac:dyDescent="0.25">
      <c r="A4445" s="17"/>
      <c r="B4445" s="4" t="s">
        <v>4356</v>
      </c>
      <c r="C4445" s="4" t="s">
        <v>11</v>
      </c>
      <c r="D4445" s="4" t="s">
        <v>11</v>
      </c>
      <c r="E4445" s="4" t="s">
        <v>11</v>
      </c>
      <c r="F4445" s="4" t="s">
        <v>1385</v>
      </c>
      <c r="G4445" s="5" t="s">
        <v>11</v>
      </c>
    </row>
    <row r="4446" spans="1:7" x14ac:dyDescent="0.25">
      <c r="A4446" s="17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</row>
    <row r="4447" spans="1:7" x14ac:dyDescent="0.25">
      <c r="A4447" s="17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</row>
    <row r="4448" spans="1:7" x14ac:dyDescent="0.25">
      <c r="A4448" s="17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</row>
    <row r="4449" spans="1:7" x14ac:dyDescent="0.25">
      <c r="A4449" s="17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</row>
    <row r="4450" spans="1:7" x14ac:dyDescent="0.25">
      <c r="A4450" s="17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</row>
    <row r="4451" spans="1:7" x14ac:dyDescent="0.25">
      <c r="A4451" s="17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</row>
    <row r="4452" spans="1:7" x14ac:dyDescent="0.25">
      <c r="A4452" s="17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20</v>
      </c>
    </row>
    <row r="4453" spans="1:7" x14ac:dyDescent="0.25">
      <c r="A4453" s="17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16</v>
      </c>
    </row>
    <row r="4454" spans="1:7" x14ac:dyDescent="0.25">
      <c r="A4454" s="17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</row>
    <row r="4455" spans="1:7" x14ac:dyDescent="0.25">
      <c r="A4455" s="17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</row>
    <row r="4456" spans="1:7" x14ac:dyDescent="0.25">
      <c r="A4456" s="17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</row>
    <row r="4457" spans="1:7" x14ac:dyDescent="0.25">
      <c r="A4457" s="17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</row>
    <row r="4458" spans="1:7" x14ac:dyDescent="0.25">
      <c r="A4458" s="17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</row>
    <row r="4459" spans="1:7" x14ac:dyDescent="0.25">
      <c r="A4459" s="17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</row>
    <row r="4460" spans="1:7" x14ac:dyDescent="0.25">
      <c r="A4460" s="17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</row>
    <row r="4461" spans="1:7" x14ac:dyDescent="0.25">
      <c r="A4461" s="17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16</v>
      </c>
    </row>
    <row r="4462" spans="1:7" x14ac:dyDescent="0.25">
      <c r="A4462" s="17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</row>
    <row r="4463" spans="1:7" x14ac:dyDescent="0.25">
      <c r="A4463" s="17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</row>
    <row r="4464" spans="1:7" x14ac:dyDescent="0.25">
      <c r="A4464" s="17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</row>
    <row r="4465" spans="1:7" x14ac:dyDescent="0.25">
      <c r="A4465" s="17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</row>
    <row r="4466" spans="1:7" x14ac:dyDescent="0.25">
      <c r="A4466" s="17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</row>
    <row r="4467" spans="1:7" x14ac:dyDescent="0.25">
      <c r="A4467" s="17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</row>
    <row r="4468" spans="1:7" x14ac:dyDescent="0.25">
      <c r="A4468" s="17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</row>
    <row r="4469" spans="1:7" x14ac:dyDescent="0.25">
      <c r="A4469" s="17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</row>
    <row r="4470" spans="1:7" x14ac:dyDescent="0.25">
      <c r="A4470" s="17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</row>
    <row r="4471" spans="1:7" x14ac:dyDescent="0.25">
      <c r="A4471" s="17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</row>
    <row r="4472" spans="1:7" x14ac:dyDescent="0.25">
      <c r="A4472" s="17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</row>
    <row r="4473" spans="1:7" x14ac:dyDescent="0.25">
      <c r="A4473" s="17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</row>
    <row r="4474" spans="1:7" x14ac:dyDescent="0.25">
      <c r="A4474" s="17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</row>
    <row r="4475" spans="1:7" x14ac:dyDescent="0.25">
      <c r="A4475" s="17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</row>
    <row r="4476" spans="1:7" x14ac:dyDescent="0.25">
      <c r="A4476" s="17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</row>
    <row r="4477" spans="1:7" x14ac:dyDescent="0.25">
      <c r="A4477" s="17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</row>
    <row r="4478" spans="1:7" x14ac:dyDescent="0.25">
      <c r="A4478" s="17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</row>
    <row r="4479" spans="1:7" x14ac:dyDescent="0.25">
      <c r="A4479" s="17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</row>
    <row r="4480" spans="1:7" x14ac:dyDescent="0.25">
      <c r="A4480" s="17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</row>
    <row r="4481" spans="1:7" x14ac:dyDescent="0.25">
      <c r="A4481" s="17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</row>
    <row r="4482" spans="1:7" x14ac:dyDescent="0.25">
      <c r="A4482" s="17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</row>
    <row r="4483" spans="1:7" x14ac:dyDescent="0.25">
      <c r="A4483" s="17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</row>
    <row r="4484" spans="1:7" x14ac:dyDescent="0.25">
      <c r="A4484" s="17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</row>
    <row r="4485" spans="1:7" x14ac:dyDescent="0.25">
      <c r="A4485" s="17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</row>
    <row r="4486" spans="1:7" x14ac:dyDescent="0.25">
      <c r="A4486" s="17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</row>
    <row r="4487" spans="1:7" x14ac:dyDescent="0.25">
      <c r="A4487" s="17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</row>
    <row r="4488" spans="1:7" x14ac:dyDescent="0.25">
      <c r="A4488" s="17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</row>
    <row r="4489" spans="1:7" x14ac:dyDescent="0.25">
      <c r="A4489" s="17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</row>
    <row r="4490" spans="1:7" x14ac:dyDescent="0.25">
      <c r="A4490" s="17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</row>
    <row r="4491" spans="1:7" x14ac:dyDescent="0.25">
      <c r="A4491" s="17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</row>
    <row r="4492" spans="1:7" x14ac:dyDescent="0.25">
      <c r="A4492" s="17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</row>
    <row r="4493" spans="1:7" x14ac:dyDescent="0.25">
      <c r="A4493" s="17"/>
      <c r="B4493" s="4" t="s">
        <v>4404</v>
      </c>
      <c r="C4493" s="4" t="s">
        <v>14</v>
      </c>
      <c r="D4493" s="4" t="s">
        <v>15</v>
      </c>
      <c r="E4493" s="4" t="s">
        <v>16</v>
      </c>
      <c r="F4493" s="4" t="s">
        <v>14</v>
      </c>
      <c r="G4493" s="5" t="s">
        <v>16</v>
      </c>
    </row>
    <row r="4494" spans="1:7" x14ac:dyDescent="0.25">
      <c r="A4494" s="17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</row>
    <row r="4495" spans="1:7" x14ac:dyDescent="0.25">
      <c r="A4495" s="17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</row>
    <row r="4496" spans="1:7" x14ac:dyDescent="0.25">
      <c r="A4496" s="17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</row>
    <row r="4497" spans="1:7" x14ac:dyDescent="0.25">
      <c r="A4497" s="17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</row>
    <row r="4498" spans="1:7" x14ac:dyDescent="0.25">
      <c r="A4498" s="17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</row>
    <row r="4499" spans="1:7" x14ac:dyDescent="0.25">
      <c r="A4499" s="17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</row>
    <row r="4500" spans="1:7" x14ac:dyDescent="0.25">
      <c r="A4500" s="17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</row>
    <row r="4501" spans="1:7" x14ac:dyDescent="0.25">
      <c r="A4501" s="17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">
        <v>36</v>
      </c>
    </row>
    <row r="4502" spans="1:7" x14ac:dyDescent="0.25">
      <c r="A4502" s="17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</row>
    <row r="4503" spans="1:7" x14ac:dyDescent="0.25">
      <c r="A4503" s="17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</row>
    <row r="4504" spans="1:7" x14ac:dyDescent="0.25">
      <c r="A4504" s="17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</row>
    <row r="4505" spans="1:7" x14ac:dyDescent="0.25">
      <c r="A4505" s="17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</row>
    <row r="4506" spans="1:7" x14ac:dyDescent="0.25">
      <c r="A4506" s="17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</row>
    <row r="4507" spans="1:7" x14ac:dyDescent="0.25">
      <c r="A4507" s="17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</row>
    <row r="4508" spans="1:7" x14ac:dyDescent="0.25">
      <c r="A4508" s="17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</row>
    <row r="4509" spans="1:7" x14ac:dyDescent="0.25">
      <c r="A4509" s="17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</row>
    <row r="4510" spans="1:7" x14ac:dyDescent="0.25">
      <c r="A4510" s="17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</row>
    <row r="4511" spans="1:7" x14ac:dyDescent="0.25">
      <c r="A4511" s="17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</row>
    <row r="4512" spans="1:7" x14ac:dyDescent="0.25">
      <c r="A4512" s="17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</row>
    <row r="4513" spans="1:7" x14ac:dyDescent="0.25">
      <c r="A4513" s="17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</row>
    <row r="4514" spans="1:7" x14ac:dyDescent="0.25">
      <c r="A4514" s="17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</row>
    <row r="4515" spans="1:7" x14ac:dyDescent="0.25">
      <c r="A4515" s="17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</row>
    <row r="4516" spans="1:7" x14ac:dyDescent="0.25">
      <c r="A4516" s="17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</row>
    <row r="4517" spans="1:7" x14ac:dyDescent="0.25">
      <c r="A4517" s="17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</row>
    <row r="4518" spans="1:7" x14ac:dyDescent="0.25">
      <c r="A4518" s="17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</row>
    <row r="4519" spans="1:7" x14ac:dyDescent="0.25">
      <c r="A4519" s="17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</row>
    <row r="4520" spans="1:7" x14ac:dyDescent="0.25">
      <c r="A4520" s="17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</row>
    <row r="4521" spans="1:7" x14ac:dyDescent="0.25">
      <c r="A4521" s="17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</row>
    <row r="4522" spans="1:7" x14ac:dyDescent="0.25">
      <c r="A4522" s="17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</row>
    <row r="4523" spans="1:7" x14ac:dyDescent="0.25">
      <c r="A4523" s="17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</row>
    <row r="4524" spans="1:7" x14ac:dyDescent="0.25">
      <c r="A4524" s="17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</row>
    <row r="4525" spans="1:7" x14ac:dyDescent="0.25">
      <c r="A4525" s="17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</row>
    <row r="4526" spans="1:7" x14ac:dyDescent="0.25">
      <c r="A4526" s="17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</row>
    <row r="4527" spans="1:7" x14ac:dyDescent="0.25">
      <c r="A4527" s="17"/>
      <c r="B4527" s="4" t="s">
        <v>4438</v>
      </c>
      <c r="C4527" s="4" t="s">
        <v>11</v>
      </c>
      <c r="D4527" s="4" t="s">
        <v>11</v>
      </c>
      <c r="E4527" s="4" t="s">
        <v>11</v>
      </c>
      <c r="F4527" s="4" t="s">
        <v>1822</v>
      </c>
      <c r="G4527" s="5" t="s">
        <v>11</v>
      </c>
    </row>
    <row r="4528" spans="1:7" x14ac:dyDescent="0.25">
      <c r="A4528" s="17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</row>
    <row r="4529" spans="1:7" x14ac:dyDescent="0.25">
      <c r="A4529" s="17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</row>
    <row r="4530" spans="1:7" x14ac:dyDescent="0.25">
      <c r="A4530" s="17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</row>
    <row r="4531" spans="1:7" x14ac:dyDescent="0.25">
      <c r="A4531" s="17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</row>
    <row r="4532" spans="1:7" x14ac:dyDescent="0.25">
      <c r="A4532" s="17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</row>
    <row r="4533" spans="1:7" x14ac:dyDescent="0.25">
      <c r="A4533" s="17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</row>
    <row r="4534" spans="1:7" x14ac:dyDescent="0.25">
      <c r="A4534" s="17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</row>
    <row r="4535" spans="1:7" x14ac:dyDescent="0.25">
      <c r="A4535" s="17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</row>
    <row r="4536" spans="1:7" x14ac:dyDescent="0.25">
      <c r="A4536" s="17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</row>
    <row r="4537" spans="1:7" x14ac:dyDescent="0.25">
      <c r="A4537" s="17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</row>
    <row r="4538" spans="1:7" x14ac:dyDescent="0.25">
      <c r="A4538" s="17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</row>
    <row r="4539" spans="1:7" x14ac:dyDescent="0.25">
      <c r="A4539" s="17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</row>
    <row r="4540" spans="1:7" x14ac:dyDescent="0.25">
      <c r="A4540" s="17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</row>
    <row r="4541" spans="1:7" x14ac:dyDescent="0.25">
      <c r="A4541" s="17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</row>
    <row r="4542" spans="1:7" x14ac:dyDescent="0.25">
      <c r="A4542" s="17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</row>
    <row r="4543" spans="1:7" x14ac:dyDescent="0.25">
      <c r="A4543" s="17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</row>
    <row r="4544" spans="1:7" x14ac:dyDescent="0.25">
      <c r="A4544" s="17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</row>
    <row r="4545" spans="1:7" x14ac:dyDescent="0.25">
      <c r="A4545" s="17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</row>
    <row r="4546" spans="1:7" x14ac:dyDescent="0.25">
      <c r="A4546" s="17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</row>
    <row r="4547" spans="1:7" x14ac:dyDescent="0.25">
      <c r="A4547" s="17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</row>
    <row r="4548" spans="1:7" x14ac:dyDescent="0.25">
      <c r="A4548" s="17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</row>
    <row r="4549" spans="1:7" x14ac:dyDescent="0.25">
      <c r="A4549" s="17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</row>
    <row r="4550" spans="1:7" x14ac:dyDescent="0.25">
      <c r="A4550" s="17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16</v>
      </c>
    </row>
    <row r="4551" spans="1:7" x14ac:dyDescent="0.25">
      <c r="A4551" s="17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</row>
    <row r="4552" spans="1:7" x14ac:dyDescent="0.25">
      <c r="A4552" s="17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</row>
    <row r="4553" spans="1:7" x14ac:dyDescent="0.25">
      <c r="A4553" s="17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</row>
    <row r="4554" spans="1:7" x14ac:dyDescent="0.25">
      <c r="A4554" s="17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</row>
    <row r="4555" spans="1:7" x14ac:dyDescent="0.25">
      <c r="A4555" s="17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</row>
    <row r="4556" spans="1:7" x14ac:dyDescent="0.25">
      <c r="A4556" s="17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</row>
    <row r="4557" spans="1:7" x14ac:dyDescent="0.25">
      <c r="A4557" s="17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</row>
    <row r="4558" spans="1:7" x14ac:dyDescent="0.25">
      <c r="A4558" s="17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</row>
    <row r="4559" spans="1:7" x14ac:dyDescent="0.25">
      <c r="A4559" s="17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</row>
    <row r="4560" spans="1:7" x14ac:dyDescent="0.25">
      <c r="A4560" s="17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</row>
    <row r="4561" spans="1:7" x14ac:dyDescent="0.25">
      <c r="A4561" s="17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</row>
    <row r="4562" spans="1:7" x14ac:dyDescent="0.25">
      <c r="A4562" s="17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</row>
    <row r="4563" spans="1:7" x14ac:dyDescent="0.25">
      <c r="A4563" s="17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</row>
    <row r="4564" spans="1:7" x14ac:dyDescent="0.25">
      <c r="A4564" s="17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</row>
    <row r="4565" spans="1:7" x14ac:dyDescent="0.25">
      <c r="A4565" s="17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</row>
    <row r="4566" spans="1:7" x14ac:dyDescent="0.25">
      <c r="A4566" s="17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</row>
    <row r="4567" spans="1:7" x14ac:dyDescent="0.25">
      <c r="A4567" s="17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</row>
    <row r="4568" spans="1:7" x14ac:dyDescent="0.25">
      <c r="A4568" s="17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</row>
    <row r="4569" spans="1:7" x14ac:dyDescent="0.25">
      <c r="A4569" s="17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</row>
    <row r="4570" spans="1:7" x14ac:dyDescent="0.25">
      <c r="A4570" s="17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</row>
    <row r="4571" spans="1:7" x14ac:dyDescent="0.25">
      <c r="A4571" s="17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</row>
    <row r="4572" spans="1:7" x14ac:dyDescent="0.25">
      <c r="A4572" s="17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</row>
    <row r="4573" spans="1:7" x14ac:dyDescent="0.25">
      <c r="A4573" s="17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</row>
    <row r="4574" spans="1:7" x14ac:dyDescent="0.25">
      <c r="A4574" s="17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</row>
    <row r="4575" spans="1:7" x14ac:dyDescent="0.25">
      <c r="A4575" s="17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</row>
    <row r="4576" spans="1:7" x14ac:dyDescent="0.25">
      <c r="A4576" s="17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</row>
    <row r="4577" spans="1:7" x14ac:dyDescent="0.25">
      <c r="A4577" s="17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</row>
    <row r="4578" spans="1:7" x14ac:dyDescent="0.25">
      <c r="A4578" s="17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</row>
    <row r="4579" spans="1:7" x14ac:dyDescent="0.25">
      <c r="A4579" s="17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</row>
    <row r="4580" spans="1:7" x14ac:dyDescent="0.25">
      <c r="A4580" s="17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</row>
    <row r="4581" spans="1:7" x14ac:dyDescent="0.25">
      <c r="A4581" s="17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</row>
    <row r="4582" spans="1:7" x14ac:dyDescent="0.25">
      <c r="A4582" s="17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</row>
    <row r="4583" spans="1:7" x14ac:dyDescent="0.25">
      <c r="A4583" s="17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</row>
    <row r="4584" spans="1:7" x14ac:dyDescent="0.25">
      <c r="A4584" s="17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36</v>
      </c>
    </row>
    <row r="4585" spans="1:7" x14ac:dyDescent="0.25">
      <c r="A4585" s="17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</row>
    <row r="4586" spans="1:7" x14ac:dyDescent="0.25">
      <c r="A4586" s="17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</row>
    <row r="4587" spans="1:7" x14ac:dyDescent="0.25">
      <c r="A4587" s="17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</row>
    <row r="4588" spans="1:7" x14ac:dyDescent="0.25">
      <c r="A4588" s="17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</row>
    <row r="4589" spans="1:7" x14ac:dyDescent="0.25">
      <c r="A4589" s="17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">
        <v>20</v>
      </c>
    </row>
    <row r="4590" spans="1:7" x14ac:dyDescent="0.25">
      <c r="A4590" s="17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</row>
    <row r="4591" spans="1:7" x14ac:dyDescent="0.25">
      <c r="A4591" s="17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</row>
    <row r="4592" spans="1:7" x14ac:dyDescent="0.25">
      <c r="A4592" s="17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</row>
    <row r="4593" spans="1:7" x14ac:dyDescent="0.25">
      <c r="A4593" s="17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</row>
    <row r="4594" spans="1:7" x14ac:dyDescent="0.25">
      <c r="A4594" s="17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</row>
    <row r="4595" spans="1:7" x14ac:dyDescent="0.25">
      <c r="A4595" s="17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</row>
    <row r="4596" spans="1:7" x14ac:dyDescent="0.25">
      <c r="A4596" s="17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</row>
    <row r="4597" spans="1:7" x14ac:dyDescent="0.25">
      <c r="A4597" s="17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</row>
    <row r="4598" spans="1:7" x14ac:dyDescent="0.25">
      <c r="A4598" s="17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</row>
    <row r="4599" spans="1:7" x14ac:dyDescent="0.25">
      <c r="A4599" s="17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</row>
    <row r="4600" spans="1:7" x14ac:dyDescent="0.25">
      <c r="A4600" s="17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</row>
    <row r="4601" spans="1:7" x14ac:dyDescent="0.25">
      <c r="A4601" s="17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</row>
    <row r="4602" spans="1:7" x14ac:dyDescent="0.25">
      <c r="A4602" s="17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</row>
    <row r="4603" spans="1:7" x14ac:dyDescent="0.25">
      <c r="A4603" s="17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</row>
    <row r="4604" spans="1:7" x14ac:dyDescent="0.25">
      <c r="A4604" s="17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</row>
    <row r="4605" spans="1:7" x14ac:dyDescent="0.25">
      <c r="A4605" s="17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</row>
    <row r="4606" spans="1:7" x14ac:dyDescent="0.25">
      <c r="A4606" s="17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</row>
    <row r="4607" spans="1:7" x14ac:dyDescent="0.25">
      <c r="A4607" s="17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</row>
    <row r="4608" spans="1:7" x14ac:dyDescent="0.25">
      <c r="A4608" s="17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</row>
    <row r="4609" spans="1:7" x14ac:dyDescent="0.25">
      <c r="A4609" s="17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</row>
    <row r="4610" spans="1:7" x14ac:dyDescent="0.25">
      <c r="A4610" s="17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</row>
    <row r="4611" spans="1:7" x14ac:dyDescent="0.25">
      <c r="A4611" s="17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</row>
    <row r="4612" spans="1:7" x14ac:dyDescent="0.25">
      <c r="A4612" s="17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</row>
    <row r="4613" spans="1:7" x14ac:dyDescent="0.25">
      <c r="A4613" s="17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</row>
    <row r="4614" spans="1:7" x14ac:dyDescent="0.25">
      <c r="A4614" s="17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</row>
    <row r="4615" spans="1:7" x14ac:dyDescent="0.25">
      <c r="A4615" s="17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</row>
    <row r="4616" spans="1:7" x14ac:dyDescent="0.25">
      <c r="A4616" s="17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</row>
    <row r="4617" spans="1:7" x14ac:dyDescent="0.25">
      <c r="A4617" s="17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</row>
    <row r="4618" spans="1:7" x14ac:dyDescent="0.25">
      <c r="A4618" s="17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</row>
    <row r="4619" spans="1:7" x14ac:dyDescent="0.25">
      <c r="A4619" s="17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</row>
    <row r="4620" spans="1:7" x14ac:dyDescent="0.25">
      <c r="A4620" s="17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</row>
    <row r="4621" spans="1:7" x14ac:dyDescent="0.25">
      <c r="A4621" s="17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</row>
    <row r="4622" spans="1:7" x14ac:dyDescent="0.25">
      <c r="A4622" s="17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</row>
    <row r="4623" spans="1:7" x14ac:dyDescent="0.25">
      <c r="A4623" s="17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</row>
    <row r="4624" spans="1:7" x14ac:dyDescent="0.25">
      <c r="A4624" s="17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</row>
    <row r="4625" spans="1:7" x14ac:dyDescent="0.25">
      <c r="A4625" s="17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">
        <v>36</v>
      </c>
    </row>
    <row r="4626" spans="1:7" x14ac:dyDescent="0.25">
      <c r="A4626" s="17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</row>
    <row r="4627" spans="1:7" x14ac:dyDescent="0.25">
      <c r="A4627" s="17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</row>
    <row r="4628" spans="1:7" x14ac:dyDescent="0.25">
      <c r="A4628" s="17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</row>
    <row r="4629" spans="1:7" x14ac:dyDescent="0.25">
      <c r="A4629" s="17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</row>
    <row r="4630" spans="1:7" x14ac:dyDescent="0.25">
      <c r="A4630" s="17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</row>
    <row r="4631" spans="1:7" x14ac:dyDescent="0.25">
      <c r="A4631" s="17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</row>
    <row r="4632" spans="1:7" x14ac:dyDescent="0.25">
      <c r="A4632" s="17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</row>
    <row r="4633" spans="1:7" x14ac:dyDescent="0.25">
      <c r="A4633" s="17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</row>
    <row r="4634" spans="1:7" x14ac:dyDescent="0.25">
      <c r="A4634" s="17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</row>
    <row r="4635" spans="1:7" x14ac:dyDescent="0.25">
      <c r="A4635" s="17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</row>
    <row r="4636" spans="1:7" x14ac:dyDescent="0.25">
      <c r="A4636" s="17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</row>
    <row r="4637" spans="1:7" x14ac:dyDescent="0.25">
      <c r="A4637" s="17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</row>
    <row r="4638" spans="1:7" x14ac:dyDescent="0.25">
      <c r="A4638" s="17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</row>
    <row r="4639" spans="1:7" x14ac:dyDescent="0.25">
      <c r="A4639" s="17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</row>
    <row r="4640" spans="1:7" x14ac:dyDescent="0.25">
      <c r="A4640" s="17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</row>
    <row r="4641" spans="1:7" x14ac:dyDescent="0.25">
      <c r="A4641" s="17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</row>
    <row r="4642" spans="1:7" x14ac:dyDescent="0.25">
      <c r="A4642" s="17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</row>
    <row r="4643" spans="1:7" x14ac:dyDescent="0.25">
      <c r="A4643" s="17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</row>
    <row r="4644" spans="1:7" x14ac:dyDescent="0.25">
      <c r="A4644" s="17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</row>
    <row r="4645" spans="1:7" x14ac:dyDescent="0.25">
      <c r="A4645" s="17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</row>
    <row r="4646" spans="1:7" x14ac:dyDescent="0.25">
      <c r="A4646" s="17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</row>
    <row r="4647" spans="1:7" x14ac:dyDescent="0.25">
      <c r="A4647" s="17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</row>
    <row r="4648" spans="1:7" x14ac:dyDescent="0.25">
      <c r="A4648" s="17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</row>
    <row r="4649" spans="1:7" x14ac:dyDescent="0.25">
      <c r="A4649" s="17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</row>
    <row r="4650" spans="1:7" x14ac:dyDescent="0.25">
      <c r="A4650" s="17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</row>
    <row r="4651" spans="1:7" x14ac:dyDescent="0.25">
      <c r="A4651" s="17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</row>
    <row r="4652" spans="1:7" x14ac:dyDescent="0.25">
      <c r="A4652" s="17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</row>
    <row r="4653" spans="1:7" x14ac:dyDescent="0.25">
      <c r="A4653" s="17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</row>
    <row r="4654" spans="1:7" x14ac:dyDescent="0.25">
      <c r="A4654" s="17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</row>
    <row r="4655" spans="1:7" x14ac:dyDescent="0.25">
      <c r="A4655" s="17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</row>
    <row r="4656" spans="1:7" x14ac:dyDescent="0.25">
      <c r="A4656" s="17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">
        <v>11</v>
      </c>
    </row>
    <row r="4657" spans="1:7" x14ac:dyDescent="0.25">
      <c r="A4657" s="17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</row>
    <row r="4658" spans="1:7" x14ac:dyDescent="0.25">
      <c r="A4658" s="17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</row>
    <row r="4659" spans="1:7" x14ac:dyDescent="0.25">
      <c r="A4659" s="17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</row>
    <row r="4660" spans="1:7" x14ac:dyDescent="0.25">
      <c r="A4660" s="17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</row>
    <row r="4661" spans="1:7" x14ac:dyDescent="0.25">
      <c r="A4661" s="17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26</v>
      </c>
    </row>
    <row r="4662" spans="1:7" x14ac:dyDescent="0.25">
      <c r="A4662" s="17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</row>
    <row r="4663" spans="1:7" x14ac:dyDescent="0.25">
      <c r="A4663" s="17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</row>
    <row r="4664" spans="1:7" x14ac:dyDescent="0.25">
      <c r="A4664" s="17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</row>
    <row r="4665" spans="1:7" x14ac:dyDescent="0.25">
      <c r="A4665" s="17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</row>
    <row r="4666" spans="1:7" x14ac:dyDescent="0.25">
      <c r="A4666" s="17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">
        <v>36</v>
      </c>
    </row>
    <row r="4667" spans="1:7" x14ac:dyDescent="0.25">
      <c r="A4667" s="17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</row>
    <row r="4668" spans="1:7" x14ac:dyDescent="0.25">
      <c r="A4668" s="17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</row>
    <row r="4669" spans="1:7" x14ac:dyDescent="0.25">
      <c r="A4669" s="17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</row>
    <row r="4670" spans="1:7" x14ac:dyDescent="0.25">
      <c r="A4670" s="17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</row>
    <row r="4671" spans="1:7" x14ac:dyDescent="0.25">
      <c r="A4671" s="17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</row>
    <row r="4672" spans="1:7" x14ac:dyDescent="0.25">
      <c r="A4672" s="17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</row>
    <row r="4673" spans="1:7" x14ac:dyDescent="0.25">
      <c r="A4673" s="17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</row>
    <row r="4674" spans="1:7" x14ac:dyDescent="0.25">
      <c r="A4674" s="17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</row>
    <row r="4675" spans="1:7" x14ac:dyDescent="0.25">
      <c r="A4675" s="17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</row>
    <row r="4676" spans="1:7" x14ac:dyDescent="0.25">
      <c r="A4676" s="17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16</v>
      </c>
    </row>
    <row r="4677" spans="1:7" x14ac:dyDescent="0.25">
      <c r="A4677" s="17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</row>
    <row r="4678" spans="1:7" x14ac:dyDescent="0.25">
      <c r="A4678" s="17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</row>
    <row r="4679" spans="1:7" x14ac:dyDescent="0.25">
      <c r="A4679" s="17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</row>
    <row r="4680" spans="1:7" x14ac:dyDescent="0.25">
      <c r="A4680" s="17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</row>
    <row r="4681" spans="1:7" x14ac:dyDescent="0.25">
      <c r="A4681" s="17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</row>
    <row r="4682" spans="1:7" x14ac:dyDescent="0.25">
      <c r="A4682" s="17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</row>
    <row r="4683" spans="1:7" x14ac:dyDescent="0.25">
      <c r="A4683" s="17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</row>
    <row r="4684" spans="1:7" x14ac:dyDescent="0.25">
      <c r="A4684" s="17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</row>
    <row r="4685" spans="1:7" x14ac:dyDescent="0.25">
      <c r="A4685" s="17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</row>
    <row r="4686" spans="1:7" x14ac:dyDescent="0.25">
      <c r="A4686" s="17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</row>
    <row r="4687" spans="1:7" x14ac:dyDescent="0.25">
      <c r="A4687" s="17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</row>
    <row r="4688" spans="1:7" x14ac:dyDescent="0.25">
      <c r="A4688" s="17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</row>
    <row r="4689" spans="1:7" x14ac:dyDescent="0.25">
      <c r="A4689" s="17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</row>
    <row r="4690" spans="1:7" x14ac:dyDescent="0.25">
      <c r="A4690" s="17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</row>
    <row r="4691" spans="1:7" x14ac:dyDescent="0.25">
      <c r="A4691" s="17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</row>
    <row r="4692" spans="1:7" x14ac:dyDescent="0.25">
      <c r="A4692" s="17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</row>
    <row r="4693" spans="1:7" x14ac:dyDescent="0.25">
      <c r="A4693" s="17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</row>
    <row r="4694" spans="1:7" x14ac:dyDescent="0.25">
      <c r="A4694" s="17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</row>
    <row r="4695" spans="1:7" x14ac:dyDescent="0.25">
      <c r="A4695" s="17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</row>
    <row r="4696" spans="1:7" x14ac:dyDescent="0.25">
      <c r="A4696" s="17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</row>
    <row r="4697" spans="1:7" x14ac:dyDescent="0.25">
      <c r="A4697" s="17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20</v>
      </c>
    </row>
    <row r="4698" spans="1:7" x14ac:dyDescent="0.25">
      <c r="A4698" s="17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</row>
    <row r="4699" spans="1:7" x14ac:dyDescent="0.25">
      <c r="A4699" s="17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</row>
    <row r="4700" spans="1:7" x14ac:dyDescent="0.25">
      <c r="A4700" s="17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</row>
    <row r="4701" spans="1:7" x14ac:dyDescent="0.25">
      <c r="A4701" s="17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</row>
    <row r="4702" spans="1:7" x14ac:dyDescent="0.25">
      <c r="A4702" s="17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</row>
    <row r="4703" spans="1:7" x14ac:dyDescent="0.25">
      <c r="A4703" s="17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</row>
    <row r="4704" spans="1:7" x14ac:dyDescent="0.25">
      <c r="A4704" s="17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</row>
    <row r="4705" spans="1:7" x14ac:dyDescent="0.25">
      <c r="A4705" s="17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</row>
    <row r="4706" spans="1:7" x14ac:dyDescent="0.25">
      <c r="A4706" s="17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</row>
    <row r="4707" spans="1:7" x14ac:dyDescent="0.25">
      <c r="A4707" s="17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</row>
    <row r="4708" spans="1:7" x14ac:dyDescent="0.25">
      <c r="A4708" s="17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</row>
    <row r="4709" spans="1:7" x14ac:dyDescent="0.25">
      <c r="A4709" s="17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</row>
    <row r="4710" spans="1:7" x14ac:dyDescent="0.25">
      <c r="A4710" s="17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</row>
    <row r="4711" spans="1:7" x14ac:dyDescent="0.25">
      <c r="A4711" s="17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</row>
    <row r="4712" spans="1:7" x14ac:dyDescent="0.25">
      <c r="A4712" s="17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</row>
    <row r="4713" spans="1:7" x14ac:dyDescent="0.25">
      <c r="A4713" s="17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</row>
    <row r="4714" spans="1:7" x14ac:dyDescent="0.25">
      <c r="A4714" s="17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</row>
    <row r="4715" spans="1:7" x14ac:dyDescent="0.25">
      <c r="A4715" s="17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</row>
    <row r="4716" spans="1:7" x14ac:dyDescent="0.25">
      <c r="A4716" s="17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</row>
    <row r="4717" spans="1:7" x14ac:dyDescent="0.25">
      <c r="A4717" s="17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</row>
    <row r="4718" spans="1:7" x14ac:dyDescent="0.25">
      <c r="A4718" s="17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</row>
    <row r="4719" spans="1:7" x14ac:dyDescent="0.25">
      <c r="A4719" s="17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</row>
    <row r="4720" spans="1:7" x14ac:dyDescent="0.25">
      <c r="A4720" s="17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</row>
    <row r="4721" spans="1:7" x14ac:dyDescent="0.25">
      <c r="A4721" s="17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</row>
    <row r="4722" spans="1:7" x14ac:dyDescent="0.25">
      <c r="A4722" s="17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</row>
    <row r="4723" spans="1:7" x14ac:dyDescent="0.25">
      <c r="A4723" s="17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</row>
    <row r="4724" spans="1:7" x14ac:dyDescent="0.25">
      <c r="A4724" s="17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</row>
    <row r="4725" spans="1:7" x14ac:dyDescent="0.25">
      <c r="A4725" s="17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</row>
    <row r="4726" spans="1:7" x14ac:dyDescent="0.25">
      <c r="A4726" s="17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</row>
    <row r="4727" spans="1:7" x14ac:dyDescent="0.25">
      <c r="A4727" s="17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</row>
    <row r="4728" spans="1:7" x14ac:dyDescent="0.25">
      <c r="A4728" s="17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</row>
    <row r="4729" spans="1:7" x14ac:dyDescent="0.25">
      <c r="A4729" s="17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</row>
    <row r="4730" spans="1:7" x14ac:dyDescent="0.25">
      <c r="A4730" s="17"/>
      <c r="B4730" s="4" t="s">
        <v>4641</v>
      </c>
      <c r="C4730" s="4" t="s">
        <v>35</v>
      </c>
      <c r="D4730" s="4" t="s">
        <v>35</v>
      </c>
      <c r="E4730" s="4" t="s">
        <v>36</v>
      </c>
      <c r="F4730" s="4" t="s">
        <v>21</v>
      </c>
      <c r="G4730" s="5" t="s">
        <v>26</v>
      </c>
    </row>
    <row r="4731" spans="1:7" x14ac:dyDescent="0.25">
      <c r="A4731" s="17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</row>
    <row r="4732" spans="1:7" x14ac:dyDescent="0.25">
      <c r="A4732" s="17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</row>
    <row r="4733" spans="1:7" x14ac:dyDescent="0.25">
      <c r="A4733" s="17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</row>
    <row r="4734" spans="1:7" x14ac:dyDescent="0.25">
      <c r="A4734" s="17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</row>
    <row r="4735" spans="1:7" x14ac:dyDescent="0.25">
      <c r="A4735" s="17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</row>
    <row r="4736" spans="1:7" x14ac:dyDescent="0.25">
      <c r="A4736" s="17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</row>
    <row r="4737" spans="1:7" x14ac:dyDescent="0.25">
      <c r="A4737" s="17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</row>
    <row r="4738" spans="1:7" x14ac:dyDescent="0.25">
      <c r="A4738" s="17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</row>
    <row r="4739" spans="1:7" x14ac:dyDescent="0.25">
      <c r="A4739" s="17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20</v>
      </c>
    </row>
    <row r="4740" spans="1:7" x14ac:dyDescent="0.25">
      <c r="A4740" s="17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</row>
    <row r="4741" spans="1:7" x14ac:dyDescent="0.25">
      <c r="A4741" s="17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</row>
    <row r="4742" spans="1:7" x14ac:dyDescent="0.25">
      <c r="A4742" s="17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</row>
    <row r="4743" spans="1:7" x14ac:dyDescent="0.25">
      <c r="A4743" s="17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</row>
    <row r="4744" spans="1:7" x14ac:dyDescent="0.25">
      <c r="A4744" s="17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</row>
    <row r="4745" spans="1:7" x14ac:dyDescent="0.25">
      <c r="A4745" s="17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</row>
    <row r="4746" spans="1:7" x14ac:dyDescent="0.25">
      <c r="A4746" s="17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</row>
    <row r="4747" spans="1:7" x14ac:dyDescent="0.25">
      <c r="A4747" s="17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</row>
    <row r="4748" spans="1:7" x14ac:dyDescent="0.25">
      <c r="A4748" s="17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</row>
    <row r="4749" spans="1:7" x14ac:dyDescent="0.25">
      <c r="A4749" s="17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</row>
    <row r="4750" spans="1:7" x14ac:dyDescent="0.25">
      <c r="A4750" s="17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</row>
    <row r="4751" spans="1:7" x14ac:dyDescent="0.25">
      <c r="A4751" s="17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</row>
    <row r="4752" spans="1:7" x14ac:dyDescent="0.25">
      <c r="A4752" s="17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</row>
    <row r="4753" spans="1:7" x14ac:dyDescent="0.25">
      <c r="A4753" s="17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</row>
    <row r="4754" spans="1:7" x14ac:dyDescent="0.25">
      <c r="A4754" s="17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</row>
    <row r="4755" spans="1:7" x14ac:dyDescent="0.25">
      <c r="A4755" s="17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</row>
    <row r="4756" spans="1:7" x14ac:dyDescent="0.25">
      <c r="A4756" s="17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</row>
    <row r="4757" spans="1:7" x14ac:dyDescent="0.25">
      <c r="A4757" s="17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</row>
    <row r="4758" spans="1:7" x14ac:dyDescent="0.25">
      <c r="A4758" s="17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</row>
    <row r="4759" spans="1:7" x14ac:dyDescent="0.25">
      <c r="A4759" s="17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</row>
    <row r="4760" spans="1:7" x14ac:dyDescent="0.25">
      <c r="A4760" s="17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</row>
    <row r="4761" spans="1:7" x14ac:dyDescent="0.25">
      <c r="A4761" s="17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</row>
    <row r="4762" spans="1:7" x14ac:dyDescent="0.25">
      <c r="A4762" s="17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</row>
    <row r="4763" spans="1:7" x14ac:dyDescent="0.25">
      <c r="A4763" s="17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</row>
    <row r="4764" spans="1:7" x14ac:dyDescent="0.25">
      <c r="A4764" s="17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</row>
    <row r="4765" spans="1:7" x14ac:dyDescent="0.25">
      <c r="A4765" s="17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</row>
    <row r="4766" spans="1:7" x14ac:dyDescent="0.25">
      <c r="A4766" s="17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</row>
    <row r="4767" spans="1:7" x14ac:dyDescent="0.25">
      <c r="A4767" s="17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</row>
    <row r="4768" spans="1:7" x14ac:dyDescent="0.25">
      <c r="A4768" s="17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</row>
    <row r="4769" spans="1:7" x14ac:dyDescent="0.25">
      <c r="A4769" s="17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</row>
    <row r="4770" spans="1:7" x14ac:dyDescent="0.25">
      <c r="A4770" s="17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</row>
    <row r="4771" spans="1:7" x14ac:dyDescent="0.25">
      <c r="A4771" s="17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</row>
    <row r="4772" spans="1:7" x14ac:dyDescent="0.25">
      <c r="A4772" s="17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</row>
    <row r="4773" spans="1:7" x14ac:dyDescent="0.25">
      <c r="A4773" s="17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</row>
    <row r="4774" spans="1:7" x14ac:dyDescent="0.25">
      <c r="A4774" s="17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</row>
    <row r="4775" spans="1:7" x14ac:dyDescent="0.25">
      <c r="A4775" s="17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</row>
    <row r="4776" spans="1:7" x14ac:dyDescent="0.25">
      <c r="A4776" s="17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</row>
    <row r="4777" spans="1:7" x14ac:dyDescent="0.25">
      <c r="A4777" s="17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</row>
    <row r="4778" spans="1:7" x14ac:dyDescent="0.25">
      <c r="A4778" s="17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</row>
    <row r="4779" spans="1:7" x14ac:dyDescent="0.25">
      <c r="A4779" s="17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</row>
    <row r="4780" spans="1:7" x14ac:dyDescent="0.25">
      <c r="A4780" s="17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</row>
    <row r="4781" spans="1:7" x14ac:dyDescent="0.25">
      <c r="A4781" s="17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</row>
    <row r="4782" spans="1:7" x14ac:dyDescent="0.25">
      <c r="A4782" s="17"/>
      <c r="B4782" s="4" t="s">
        <v>4693</v>
      </c>
      <c r="C4782" s="4" t="s">
        <v>109</v>
      </c>
      <c r="D4782" s="4" t="s">
        <v>110</v>
      </c>
      <c r="E4782" s="4" t="s">
        <v>111</v>
      </c>
      <c r="F4782" s="4" t="s">
        <v>112</v>
      </c>
      <c r="G4782" s="5" t="s">
        <v>111</v>
      </c>
    </row>
    <row r="4783" spans="1:7" x14ac:dyDescent="0.25">
      <c r="A4783" s="17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</row>
    <row r="4784" spans="1:7" x14ac:dyDescent="0.25">
      <c r="A4784" s="17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</row>
    <row r="4785" spans="1:7" x14ac:dyDescent="0.25">
      <c r="A4785" s="17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</row>
    <row r="4786" spans="1:7" x14ac:dyDescent="0.25">
      <c r="A4786" s="17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</row>
    <row r="4787" spans="1:7" x14ac:dyDescent="0.25">
      <c r="A4787" s="17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</row>
    <row r="4788" spans="1:7" x14ac:dyDescent="0.25">
      <c r="A4788" s="17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</row>
    <row r="4789" spans="1:7" x14ac:dyDescent="0.25">
      <c r="A4789" s="17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</row>
    <row r="4790" spans="1:7" x14ac:dyDescent="0.25">
      <c r="A4790" s="17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</row>
    <row r="4791" spans="1:7" x14ac:dyDescent="0.25">
      <c r="A4791" s="17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</row>
    <row r="4792" spans="1:7" x14ac:dyDescent="0.25">
      <c r="A4792" s="17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</row>
    <row r="4793" spans="1:7" x14ac:dyDescent="0.25">
      <c r="A4793" s="17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</row>
    <row r="4794" spans="1:7" x14ac:dyDescent="0.25">
      <c r="A4794" s="17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</row>
    <row r="4795" spans="1:7" x14ac:dyDescent="0.25">
      <c r="A4795" s="17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</row>
    <row r="4796" spans="1:7" x14ac:dyDescent="0.25">
      <c r="A4796" s="17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</row>
    <row r="4797" spans="1:7" x14ac:dyDescent="0.25">
      <c r="A4797" s="17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</row>
    <row r="4798" spans="1:7" x14ac:dyDescent="0.25">
      <c r="A4798" s="17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</row>
    <row r="4799" spans="1:7" x14ac:dyDescent="0.25">
      <c r="A4799" s="17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</row>
    <row r="4800" spans="1:7" x14ac:dyDescent="0.25">
      <c r="A4800" s="17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</row>
    <row r="4801" spans="1:7" x14ac:dyDescent="0.25">
      <c r="A4801" s="17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</row>
    <row r="4802" spans="1:7" x14ac:dyDescent="0.25">
      <c r="A4802" s="17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</row>
    <row r="4803" spans="1:7" x14ac:dyDescent="0.25">
      <c r="A4803" s="17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</row>
    <row r="4804" spans="1:7" x14ac:dyDescent="0.25">
      <c r="A4804" s="17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</row>
    <row r="4805" spans="1:7" x14ac:dyDescent="0.25">
      <c r="A4805" s="17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</row>
    <row r="4806" spans="1:7" x14ac:dyDescent="0.25">
      <c r="A4806" s="17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</row>
    <row r="4807" spans="1:7" x14ac:dyDescent="0.25">
      <c r="A4807" s="17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</row>
    <row r="4808" spans="1:7" x14ac:dyDescent="0.25">
      <c r="A4808" s="17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</row>
    <row r="4809" spans="1:7" x14ac:dyDescent="0.25">
      <c r="A4809" s="17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</row>
    <row r="4810" spans="1:7" x14ac:dyDescent="0.25">
      <c r="A4810" s="17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</row>
    <row r="4811" spans="1:7" x14ac:dyDescent="0.25">
      <c r="A4811" s="17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</row>
    <row r="4812" spans="1:7" x14ac:dyDescent="0.25">
      <c r="A4812" s="17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</row>
    <row r="4813" spans="1:7" x14ac:dyDescent="0.25">
      <c r="A4813" s="17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</row>
    <row r="4814" spans="1:7" x14ac:dyDescent="0.25">
      <c r="A4814" s="17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</row>
    <row r="4815" spans="1:7" x14ac:dyDescent="0.25">
      <c r="A4815" s="17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</row>
    <row r="4816" spans="1:7" x14ac:dyDescent="0.25">
      <c r="A4816" s="17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</row>
    <row r="4817" spans="1:7" x14ac:dyDescent="0.25">
      <c r="A4817" s="17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</row>
    <row r="4818" spans="1:7" x14ac:dyDescent="0.25">
      <c r="A4818" s="17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</row>
    <row r="4819" spans="1:7" x14ac:dyDescent="0.25">
      <c r="A4819" s="17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</row>
    <row r="4820" spans="1:7" x14ac:dyDescent="0.25">
      <c r="A4820" s="17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</row>
    <row r="4821" spans="1:7" x14ac:dyDescent="0.25">
      <c r="A4821" s="17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</row>
    <row r="4822" spans="1:7" x14ac:dyDescent="0.25">
      <c r="A4822" s="17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</row>
    <row r="4823" spans="1:7" x14ac:dyDescent="0.25">
      <c r="A4823" s="17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</row>
    <row r="4824" spans="1:7" x14ac:dyDescent="0.25">
      <c r="A4824" s="17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</row>
    <row r="4825" spans="1:7" x14ac:dyDescent="0.25">
      <c r="A4825" s="17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</row>
    <row r="4826" spans="1:7" x14ac:dyDescent="0.25">
      <c r="A4826" s="17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</row>
    <row r="4827" spans="1:7" x14ac:dyDescent="0.25">
      <c r="A4827" s="17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</row>
    <row r="4828" spans="1:7" x14ac:dyDescent="0.25">
      <c r="A4828" s="17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</row>
    <row r="4829" spans="1:7" x14ac:dyDescent="0.25">
      <c r="A4829" s="17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</row>
    <row r="4830" spans="1:7" x14ac:dyDescent="0.25">
      <c r="A4830" s="17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</row>
    <row r="4831" spans="1:7" x14ac:dyDescent="0.25">
      <c r="A4831" s="17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</row>
    <row r="4832" spans="1:7" x14ac:dyDescent="0.25">
      <c r="A4832" s="17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</row>
    <row r="4833" spans="1:7" x14ac:dyDescent="0.25">
      <c r="A4833" s="17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</row>
    <row r="4834" spans="1:7" x14ac:dyDescent="0.25">
      <c r="A4834" s="17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</row>
    <row r="4835" spans="1:7" x14ac:dyDescent="0.25">
      <c r="A4835" s="17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</row>
    <row r="4836" spans="1:7" x14ac:dyDescent="0.25">
      <c r="A4836" s="17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</row>
    <row r="4837" spans="1:7" x14ac:dyDescent="0.25">
      <c r="A4837" s="17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</row>
    <row r="4838" spans="1:7" x14ac:dyDescent="0.25">
      <c r="A4838" s="17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</row>
    <row r="4839" spans="1:7" x14ac:dyDescent="0.25">
      <c r="A4839" s="17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</row>
    <row r="4840" spans="1:7" x14ac:dyDescent="0.25">
      <c r="A4840" s="17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</row>
    <row r="4841" spans="1:7" x14ac:dyDescent="0.25">
      <c r="A4841" s="17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</row>
    <row r="4842" spans="1:7" x14ac:dyDescent="0.25">
      <c r="A4842" s="17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</row>
    <row r="4843" spans="1:7" x14ac:dyDescent="0.25">
      <c r="A4843" s="17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</row>
    <row r="4844" spans="1:7" x14ac:dyDescent="0.25">
      <c r="A4844" s="17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</row>
    <row r="4845" spans="1:7" x14ac:dyDescent="0.25">
      <c r="A4845" s="17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</row>
    <row r="4846" spans="1:7" x14ac:dyDescent="0.25">
      <c r="A4846" s="17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</row>
    <row r="4847" spans="1:7" x14ac:dyDescent="0.25">
      <c r="A4847" s="17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</row>
    <row r="4848" spans="1:7" x14ac:dyDescent="0.25">
      <c r="A4848" s="17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</row>
    <row r="4849" spans="1:7" x14ac:dyDescent="0.25">
      <c r="A4849" s="17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</row>
    <row r="4850" spans="1:7" x14ac:dyDescent="0.25">
      <c r="A4850" s="17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</row>
    <row r="4851" spans="1:7" x14ac:dyDescent="0.25">
      <c r="A4851" s="17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</row>
    <row r="4852" spans="1:7" x14ac:dyDescent="0.25">
      <c r="A4852" s="17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</row>
    <row r="4853" spans="1:7" x14ac:dyDescent="0.25">
      <c r="A4853" s="17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</row>
    <row r="4854" spans="1:7" x14ac:dyDescent="0.25">
      <c r="A4854" s="17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</row>
    <row r="4855" spans="1:7" x14ac:dyDescent="0.25">
      <c r="A4855" s="17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</row>
    <row r="4856" spans="1:7" x14ac:dyDescent="0.25">
      <c r="A4856" s="17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</row>
    <row r="4857" spans="1:7" x14ac:dyDescent="0.25">
      <c r="A4857" s="17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</row>
    <row r="4858" spans="1:7" x14ac:dyDescent="0.25">
      <c r="A4858" s="17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</row>
    <row r="4859" spans="1:7" x14ac:dyDescent="0.25">
      <c r="A4859" s="17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</row>
    <row r="4860" spans="1:7" x14ac:dyDescent="0.25">
      <c r="A4860" s="17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20</v>
      </c>
    </row>
    <row r="4861" spans="1:7" x14ac:dyDescent="0.25">
      <c r="A4861" s="17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</row>
    <row r="4862" spans="1:7" x14ac:dyDescent="0.25">
      <c r="A4862" s="17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</row>
    <row r="4863" spans="1:7" x14ac:dyDescent="0.25">
      <c r="A4863" s="17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</row>
    <row r="4864" spans="1:7" x14ac:dyDescent="0.25">
      <c r="A4864" s="17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</row>
    <row r="4865" spans="1:7" x14ac:dyDescent="0.25">
      <c r="A4865" s="17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</row>
    <row r="4866" spans="1:7" x14ac:dyDescent="0.25">
      <c r="A4866" s="17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</row>
    <row r="4867" spans="1:7" x14ac:dyDescent="0.25">
      <c r="A4867" s="17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</row>
    <row r="4868" spans="1:7" x14ac:dyDescent="0.25">
      <c r="A4868" s="17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</row>
    <row r="4869" spans="1:7" x14ac:dyDescent="0.25">
      <c r="A4869" s="17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</row>
    <row r="4870" spans="1:7" x14ac:dyDescent="0.25">
      <c r="A4870" s="17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</row>
    <row r="4871" spans="1:7" x14ac:dyDescent="0.25">
      <c r="A4871" s="17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</row>
    <row r="4872" spans="1:7" x14ac:dyDescent="0.25">
      <c r="A4872" s="17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</row>
    <row r="4873" spans="1:7" x14ac:dyDescent="0.25">
      <c r="A4873" s="17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</row>
    <row r="4874" spans="1:7" x14ac:dyDescent="0.25">
      <c r="A4874" s="17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</row>
    <row r="4875" spans="1:7" x14ac:dyDescent="0.25">
      <c r="A4875" s="17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</row>
    <row r="4876" spans="1:7" x14ac:dyDescent="0.25">
      <c r="A4876" s="17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</row>
    <row r="4877" spans="1:7" x14ac:dyDescent="0.25">
      <c r="A4877" s="17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</row>
    <row r="4878" spans="1:7" x14ac:dyDescent="0.25">
      <c r="A4878" s="17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</row>
    <row r="4879" spans="1:7" x14ac:dyDescent="0.25">
      <c r="A4879" s="17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</row>
    <row r="4880" spans="1:7" x14ac:dyDescent="0.25">
      <c r="A4880" s="17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163</v>
      </c>
    </row>
    <row r="4881" spans="1:7" x14ac:dyDescent="0.25">
      <c r="A4881" s="17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</row>
    <row r="4882" spans="1:7" x14ac:dyDescent="0.25">
      <c r="A4882" s="17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</row>
    <row r="4883" spans="1:7" x14ac:dyDescent="0.25">
      <c r="A4883" s="17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</row>
    <row r="4884" spans="1:7" x14ac:dyDescent="0.25">
      <c r="A4884" s="17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</row>
    <row r="4885" spans="1:7" x14ac:dyDescent="0.25">
      <c r="A4885" s="17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</row>
    <row r="4886" spans="1:7" x14ac:dyDescent="0.25">
      <c r="A4886" s="17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</row>
    <row r="4887" spans="1:7" x14ac:dyDescent="0.25">
      <c r="A4887" s="17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</row>
    <row r="4888" spans="1:7" x14ac:dyDescent="0.25">
      <c r="A4888" s="17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</row>
    <row r="4889" spans="1:7" x14ac:dyDescent="0.25">
      <c r="A4889" s="17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</row>
    <row r="4890" spans="1:7" x14ac:dyDescent="0.25">
      <c r="A4890" s="17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</row>
    <row r="4891" spans="1:7" x14ac:dyDescent="0.25">
      <c r="A4891" s="17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</row>
    <row r="4892" spans="1:7" x14ac:dyDescent="0.25">
      <c r="A4892" s="17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</row>
    <row r="4893" spans="1:7" x14ac:dyDescent="0.25">
      <c r="A4893" s="17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</row>
    <row r="4894" spans="1:7" x14ac:dyDescent="0.25">
      <c r="A4894" s="17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</row>
    <row r="4895" spans="1:7" x14ac:dyDescent="0.25">
      <c r="A4895" s="17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</row>
    <row r="4896" spans="1:7" x14ac:dyDescent="0.25">
      <c r="A4896" s="17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</row>
    <row r="4897" spans="1:7" x14ac:dyDescent="0.25">
      <c r="A4897" s="17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</row>
    <row r="4898" spans="1:7" x14ac:dyDescent="0.25">
      <c r="A4898" s="17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</row>
    <row r="4899" spans="1:7" x14ac:dyDescent="0.25">
      <c r="A4899" s="17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</row>
    <row r="4900" spans="1:7" x14ac:dyDescent="0.25">
      <c r="A4900" s="17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</row>
    <row r="4901" spans="1:7" x14ac:dyDescent="0.25">
      <c r="A4901" s="17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</row>
    <row r="4902" spans="1:7" x14ac:dyDescent="0.25">
      <c r="A4902" s="17"/>
      <c r="B4902" s="4" t="s">
        <v>4813</v>
      </c>
      <c r="C4902" s="4" t="s">
        <v>14</v>
      </c>
      <c r="D4902" s="4" t="s">
        <v>15</v>
      </c>
      <c r="E4902" s="4" t="s">
        <v>16</v>
      </c>
      <c r="F4902" s="4" t="s">
        <v>14</v>
      </c>
      <c r="G4902" s="5" t="s">
        <v>16</v>
      </c>
    </row>
    <row r="4903" spans="1:7" x14ac:dyDescent="0.25">
      <c r="A4903" s="17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</row>
    <row r="4904" spans="1:7" x14ac:dyDescent="0.25">
      <c r="A4904" s="17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</row>
    <row r="4905" spans="1:7" x14ac:dyDescent="0.25">
      <c r="A4905" s="17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</row>
    <row r="4906" spans="1:7" x14ac:dyDescent="0.25">
      <c r="A4906" s="17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</row>
    <row r="4907" spans="1:7" x14ac:dyDescent="0.25">
      <c r="A4907" s="17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</row>
    <row r="4908" spans="1:7" x14ac:dyDescent="0.25">
      <c r="A4908" s="17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</row>
    <row r="4909" spans="1:7" x14ac:dyDescent="0.25">
      <c r="A4909" s="17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</row>
    <row r="4910" spans="1:7" x14ac:dyDescent="0.25">
      <c r="A4910" s="17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</row>
    <row r="4911" spans="1:7" x14ac:dyDescent="0.25">
      <c r="A4911" s="17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</row>
    <row r="4912" spans="1:7" x14ac:dyDescent="0.25">
      <c r="A4912" s="17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</row>
    <row r="4913" spans="1:7" x14ac:dyDescent="0.25">
      <c r="A4913" s="17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</row>
    <row r="4914" spans="1:7" x14ac:dyDescent="0.25">
      <c r="A4914" s="17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</row>
    <row r="4915" spans="1:7" x14ac:dyDescent="0.25">
      <c r="A4915" s="17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</row>
    <row r="4916" spans="1:7" x14ac:dyDescent="0.25">
      <c r="A4916" s="17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</row>
    <row r="4917" spans="1:7" x14ac:dyDescent="0.25">
      <c r="A4917" s="17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</row>
    <row r="4918" spans="1:7" x14ac:dyDescent="0.25">
      <c r="A4918" s="17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</row>
    <row r="4919" spans="1:7" x14ac:dyDescent="0.25">
      <c r="A4919" s="17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</row>
    <row r="4920" spans="1:7" x14ac:dyDescent="0.25">
      <c r="A4920" s="17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</row>
    <row r="4921" spans="1:7" x14ac:dyDescent="0.25">
      <c r="A4921" s="17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</row>
    <row r="4922" spans="1:7" x14ac:dyDescent="0.25">
      <c r="A4922" s="17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</row>
    <row r="4923" spans="1:7" x14ac:dyDescent="0.25">
      <c r="A4923" s="17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</row>
    <row r="4924" spans="1:7" x14ac:dyDescent="0.25">
      <c r="A4924" s="17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</row>
    <row r="4925" spans="1:7" x14ac:dyDescent="0.25">
      <c r="A4925" s="17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</row>
    <row r="4926" spans="1:7" x14ac:dyDescent="0.25">
      <c r="A4926" s="17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</row>
    <row r="4927" spans="1:7" x14ac:dyDescent="0.25">
      <c r="A4927" s="17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</row>
    <row r="4928" spans="1:7" x14ac:dyDescent="0.25">
      <c r="A4928" s="17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</row>
    <row r="4929" spans="1:7" x14ac:dyDescent="0.25">
      <c r="A4929" s="17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</row>
    <row r="4930" spans="1:7" x14ac:dyDescent="0.25">
      <c r="A4930" s="17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</row>
    <row r="4931" spans="1:7" x14ac:dyDescent="0.25">
      <c r="A4931" s="17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</row>
    <row r="4932" spans="1:7" x14ac:dyDescent="0.25">
      <c r="A4932" s="17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</row>
    <row r="4933" spans="1:7" x14ac:dyDescent="0.25">
      <c r="A4933" s="17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</row>
    <row r="4934" spans="1:7" x14ac:dyDescent="0.25">
      <c r="A4934" s="17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</row>
    <row r="4935" spans="1:7" x14ac:dyDescent="0.25">
      <c r="A4935" s="17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</row>
    <row r="4936" spans="1:7" x14ac:dyDescent="0.25">
      <c r="A4936" s="17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</row>
    <row r="4937" spans="1:7" x14ac:dyDescent="0.25">
      <c r="A4937" s="17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</row>
    <row r="4938" spans="1:7" x14ac:dyDescent="0.25">
      <c r="A4938" s="17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</row>
    <row r="4939" spans="1:7" x14ac:dyDescent="0.25">
      <c r="A4939" s="17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</row>
    <row r="4940" spans="1:7" x14ac:dyDescent="0.25">
      <c r="A4940" s="17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</row>
    <row r="4941" spans="1:7" x14ac:dyDescent="0.25">
      <c r="A4941" s="17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</row>
    <row r="4942" spans="1:7" x14ac:dyDescent="0.25">
      <c r="A4942" s="17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</row>
    <row r="4943" spans="1:7" x14ac:dyDescent="0.25">
      <c r="A4943" s="17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11</v>
      </c>
    </row>
    <row r="4944" spans="1:7" x14ac:dyDescent="0.25">
      <c r="A4944" s="17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</row>
    <row r="4945" spans="1:7" x14ac:dyDescent="0.25">
      <c r="A4945" s="17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</row>
    <row r="4946" spans="1:7" x14ac:dyDescent="0.25">
      <c r="A4946" s="17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</row>
    <row r="4947" spans="1:7" x14ac:dyDescent="0.25">
      <c r="A4947" s="17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</row>
    <row r="4948" spans="1:7" x14ac:dyDescent="0.25">
      <c r="A4948" s="17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</row>
    <row r="4949" spans="1:7" x14ac:dyDescent="0.25">
      <c r="A4949" s="17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</row>
    <row r="4950" spans="1:7" x14ac:dyDescent="0.25">
      <c r="A4950" s="17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</row>
    <row r="4951" spans="1:7" x14ac:dyDescent="0.25">
      <c r="A4951" s="17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</row>
    <row r="4952" spans="1:7" x14ac:dyDescent="0.25">
      <c r="A4952" s="17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</row>
    <row r="4953" spans="1:7" x14ac:dyDescent="0.25">
      <c r="A4953" s="17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</row>
    <row r="4954" spans="1:7" x14ac:dyDescent="0.25">
      <c r="A4954" s="17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</row>
    <row r="4955" spans="1:7" x14ac:dyDescent="0.25">
      <c r="A4955" s="17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</row>
    <row r="4956" spans="1:7" x14ac:dyDescent="0.25">
      <c r="A4956" s="17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</row>
    <row r="4957" spans="1:7" x14ac:dyDescent="0.25">
      <c r="A4957" s="17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</row>
    <row r="4958" spans="1:7" x14ac:dyDescent="0.25">
      <c r="A4958" s="17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</row>
    <row r="4959" spans="1:7" x14ac:dyDescent="0.25">
      <c r="A4959" s="17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</row>
    <row r="4960" spans="1:7" x14ac:dyDescent="0.25">
      <c r="A4960" s="17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">
        <v>11</v>
      </c>
    </row>
    <row r="4961" spans="1:7" x14ac:dyDescent="0.25">
      <c r="A4961" s="17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">
        <v>57</v>
      </c>
    </row>
    <row r="4962" spans="1:7" x14ac:dyDescent="0.25">
      <c r="A4962" s="17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</row>
    <row r="4963" spans="1:7" x14ac:dyDescent="0.25">
      <c r="A4963" s="17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</row>
    <row r="4964" spans="1:7" x14ac:dyDescent="0.25">
      <c r="A4964" s="17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</row>
    <row r="4965" spans="1:7" x14ac:dyDescent="0.25">
      <c r="A4965" s="17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</row>
    <row r="4966" spans="1:7" x14ac:dyDescent="0.25">
      <c r="A4966" s="17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</row>
    <row r="4967" spans="1:7" x14ac:dyDescent="0.25">
      <c r="A4967" s="17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</row>
    <row r="4968" spans="1:7" x14ac:dyDescent="0.25">
      <c r="A4968" s="17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</row>
    <row r="4969" spans="1:7" x14ac:dyDescent="0.25">
      <c r="A4969" s="17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</row>
    <row r="4970" spans="1:7" x14ac:dyDescent="0.25">
      <c r="A4970" s="17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</row>
    <row r="4971" spans="1:7" x14ac:dyDescent="0.25">
      <c r="A4971" s="17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</row>
    <row r="4972" spans="1:7" x14ac:dyDescent="0.25">
      <c r="A4972" s="17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">
        <v>11</v>
      </c>
    </row>
    <row r="4973" spans="1:7" x14ac:dyDescent="0.25">
      <c r="A4973" s="17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</row>
    <row r="4974" spans="1:7" x14ac:dyDescent="0.25">
      <c r="A4974" s="17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</row>
    <row r="4975" spans="1:7" x14ac:dyDescent="0.25">
      <c r="A4975" s="17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</row>
    <row r="4976" spans="1:7" x14ac:dyDescent="0.25">
      <c r="A4976" s="17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">
        <v>57</v>
      </c>
    </row>
    <row r="4977" spans="1:7" x14ac:dyDescent="0.25">
      <c r="A4977" s="17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</row>
    <row r="4978" spans="1:7" x14ac:dyDescent="0.25">
      <c r="A4978" s="17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</row>
    <row r="4979" spans="1:7" x14ac:dyDescent="0.25">
      <c r="A4979" s="17"/>
      <c r="B4979" s="4" t="s">
        <v>4890</v>
      </c>
      <c r="C4979" s="4" t="s">
        <v>11</v>
      </c>
      <c r="D4979" s="4" t="s">
        <v>11</v>
      </c>
      <c r="E4979" s="4" t="s">
        <v>11</v>
      </c>
      <c r="F4979" s="4" t="s">
        <v>1822</v>
      </c>
      <c r="G4979" s="5" t="s">
        <v>11</v>
      </c>
    </row>
    <row r="4980" spans="1:7" x14ac:dyDescent="0.25">
      <c r="A4980" s="17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</row>
    <row r="4981" spans="1:7" x14ac:dyDescent="0.25">
      <c r="A4981" s="17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</row>
    <row r="4982" spans="1:7" x14ac:dyDescent="0.25">
      <c r="A4982" s="17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</row>
    <row r="4983" spans="1:7" x14ac:dyDescent="0.25">
      <c r="A4983" s="17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</row>
    <row r="4984" spans="1:7" x14ac:dyDescent="0.25">
      <c r="A4984" s="17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</row>
    <row r="4985" spans="1:7" x14ac:dyDescent="0.25">
      <c r="A4985" s="17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">
        <v>11</v>
      </c>
    </row>
    <row r="4986" spans="1:7" x14ac:dyDescent="0.25">
      <c r="A4986" s="17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</row>
    <row r="4987" spans="1:7" x14ac:dyDescent="0.25">
      <c r="A4987" s="17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</row>
    <row r="4988" spans="1:7" x14ac:dyDescent="0.25">
      <c r="A4988" s="17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</row>
    <row r="4989" spans="1:7" x14ac:dyDescent="0.25">
      <c r="A4989" s="17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</row>
    <row r="4990" spans="1:7" x14ac:dyDescent="0.25">
      <c r="A4990" s="17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</row>
    <row r="4991" spans="1:7" x14ac:dyDescent="0.25">
      <c r="A4991" s="17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</row>
    <row r="4992" spans="1:7" x14ac:dyDescent="0.25">
      <c r="A4992" s="17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</row>
    <row r="4993" spans="1:7" x14ac:dyDescent="0.25">
      <c r="A4993" s="17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</row>
    <row r="4994" spans="1:7" x14ac:dyDescent="0.25">
      <c r="A4994" s="17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</row>
    <row r="4995" spans="1:7" x14ac:dyDescent="0.25">
      <c r="A4995" s="17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</row>
    <row r="4996" spans="1:7" x14ac:dyDescent="0.25">
      <c r="A4996" s="17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</row>
    <row r="4997" spans="1:7" x14ac:dyDescent="0.25">
      <c r="A4997" s="17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</row>
    <row r="4998" spans="1:7" x14ac:dyDescent="0.25">
      <c r="A4998" s="17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</row>
    <row r="4999" spans="1:7" x14ac:dyDescent="0.25">
      <c r="A4999" s="17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</row>
    <row r="5000" spans="1:7" x14ac:dyDescent="0.25">
      <c r="A5000" s="17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</row>
    <row r="5001" spans="1:7" x14ac:dyDescent="0.25">
      <c r="A5001" s="17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</row>
    <row r="5002" spans="1:7" x14ac:dyDescent="0.25">
      <c r="A5002" s="17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</row>
    <row r="5003" spans="1:7" x14ac:dyDescent="0.25">
      <c r="A5003" s="17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</row>
    <row r="5004" spans="1:7" x14ac:dyDescent="0.25">
      <c r="A5004" s="17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</row>
    <row r="5005" spans="1:7" x14ac:dyDescent="0.25">
      <c r="A5005" s="17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11</v>
      </c>
    </row>
    <row r="5006" spans="1:7" x14ac:dyDescent="0.25">
      <c r="A5006" s="17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</row>
    <row r="5007" spans="1:7" x14ac:dyDescent="0.25">
      <c r="A5007" s="17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</row>
    <row r="5008" spans="1:7" x14ac:dyDescent="0.25">
      <c r="A5008" s="17"/>
      <c r="B5008" s="4" t="s">
        <v>4917</v>
      </c>
      <c r="C5008" s="4" t="s">
        <v>35</v>
      </c>
      <c r="D5008" s="4" t="s">
        <v>35</v>
      </c>
      <c r="E5008" s="4" t="s">
        <v>57</v>
      </c>
      <c r="F5008" s="4" t="s">
        <v>1931</v>
      </c>
      <c r="G5008" s="5" t="s">
        <v>11</v>
      </c>
    </row>
    <row r="5009" spans="1:7" x14ac:dyDescent="0.25">
      <c r="A5009" s="17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</row>
    <row r="5010" spans="1:7" x14ac:dyDescent="0.25">
      <c r="A5010" s="17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</row>
    <row r="5011" spans="1:7" x14ac:dyDescent="0.25">
      <c r="A5011" s="17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</row>
    <row r="5012" spans="1:7" x14ac:dyDescent="0.25">
      <c r="A5012" s="17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</row>
    <row r="5013" spans="1:7" x14ac:dyDescent="0.25">
      <c r="A5013" s="17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</row>
    <row r="5014" spans="1:7" x14ac:dyDescent="0.25">
      <c r="A5014" s="17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</row>
    <row r="5015" spans="1:7" x14ac:dyDescent="0.25">
      <c r="A5015" s="17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</row>
    <row r="5016" spans="1:7" x14ac:dyDescent="0.25">
      <c r="A5016" s="17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</row>
    <row r="5017" spans="1:7" x14ac:dyDescent="0.25">
      <c r="A5017" s="17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</row>
    <row r="5018" spans="1:7" x14ac:dyDescent="0.25">
      <c r="A5018" s="17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</row>
    <row r="5019" spans="1:7" x14ac:dyDescent="0.25">
      <c r="A5019" s="17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</row>
    <row r="5020" spans="1:7" x14ac:dyDescent="0.25">
      <c r="A5020" s="17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</row>
    <row r="5021" spans="1:7" x14ac:dyDescent="0.25">
      <c r="A5021" s="17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</row>
    <row r="5022" spans="1:7" x14ac:dyDescent="0.25">
      <c r="A5022" s="17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20</v>
      </c>
    </row>
    <row r="5023" spans="1:7" x14ac:dyDescent="0.25">
      <c r="A5023" s="17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</row>
    <row r="5024" spans="1:7" x14ac:dyDescent="0.25">
      <c r="A5024" s="17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</row>
    <row r="5025" spans="1:7" x14ac:dyDescent="0.25">
      <c r="A5025" s="17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</row>
    <row r="5026" spans="1:7" x14ac:dyDescent="0.25">
      <c r="A5026" s="17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</row>
    <row r="5027" spans="1:7" x14ac:dyDescent="0.25">
      <c r="A5027" s="17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</row>
    <row r="5028" spans="1:7" x14ac:dyDescent="0.25">
      <c r="A5028" s="17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</row>
    <row r="5029" spans="1:7" x14ac:dyDescent="0.25">
      <c r="A5029" s="17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</row>
    <row r="5030" spans="1:7" x14ac:dyDescent="0.25">
      <c r="A5030" s="17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</row>
    <row r="5031" spans="1:7" x14ac:dyDescent="0.25">
      <c r="A5031" s="17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</row>
    <row r="5032" spans="1:7" x14ac:dyDescent="0.25">
      <c r="A5032" s="17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</row>
    <row r="5033" spans="1:7" x14ac:dyDescent="0.25">
      <c r="A5033" s="17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</row>
    <row r="5034" spans="1:7" x14ac:dyDescent="0.25">
      <c r="A5034" s="17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</row>
    <row r="5035" spans="1:7" x14ac:dyDescent="0.25">
      <c r="A5035" s="17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</row>
    <row r="5036" spans="1:7" x14ac:dyDescent="0.25">
      <c r="A5036" s="17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</row>
    <row r="5037" spans="1:7" x14ac:dyDescent="0.25">
      <c r="A5037" s="17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</row>
    <row r="5038" spans="1:7" x14ac:dyDescent="0.25">
      <c r="A5038" s="17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</row>
    <row r="5039" spans="1:7" x14ac:dyDescent="0.25">
      <c r="A5039" s="17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</row>
    <row r="5040" spans="1:7" x14ac:dyDescent="0.25">
      <c r="A5040" s="17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20</v>
      </c>
    </row>
    <row r="5041" spans="1:7" x14ac:dyDescent="0.25">
      <c r="A5041" s="17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</row>
    <row r="5042" spans="1:7" x14ac:dyDescent="0.25">
      <c r="A5042" s="17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</row>
    <row r="5043" spans="1:7" x14ac:dyDescent="0.25">
      <c r="A5043" s="17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</row>
    <row r="5044" spans="1:7" x14ac:dyDescent="0.25">
      <c r="A5044" s="17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</row>
    <row r="5045" spans="1:7" x14ac:dyDescent="0.25">
      <c r="A5045" s="17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</row>
    <row r="5046" spans="1:7" x14ac:dyDescent="0.25">
      <c r="A5046" s="17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</row>
    <row r="5047" spans="1:7" x14ac:dyDescent="0.25">
      <c r="A5047" s="17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">
        <v>11</v>
      </c>
    </row>
    <row r="5048" spans="1:7" x14ac:dyDescent="0.25">
      <c r="A5048" s="17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</row>
    <row r="5049" spans="1:7" x14ac:dyDescent="0.25">
      <c r="A5049" s="17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</row>
    <row r="5050" spans="1:7" x14ac:dyDescent="0.25">
      <c r="A5050" s="17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</row>
    <row r="5051" spans="1:7" x14ac:dyDescent="0.25">
      <c r="A5051" s="17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</row>
    <row r="5052" spans="1:7" x14ac:dyDescent="0.25">
      <c r="A5052" s="17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</row>
    <row r="5053" spans="1:7" x14ac:dyDescent="0.25">
      <c r="A5053" s="17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</row>
    <row r="5054" spans="1:7" x14ac:dyDescent="0.25">
      <c r="A5054" s="17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</row>
    <row r="5055" spans="1:7" x14ac:dyDescent="0.25">
      <c r="A5055" s="17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</row>
    <row r="5056" spans="1:7" x14ac:dyDescent="0.25">
      <c r="A5056" s="17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</row>
    <row r="5057" spans="1:7" x14ac:dyDescent="0.25">
      <c r="A5057" s="17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</row>
    <row r="5058" spans="1:7" x14ac:dyDescent="0.25">
      <c r="A5058" s="17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</row>
    <row r="5059" spans="1:7" x14ac:dyDescent="0.25">
      <c r="A5059" s="17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</row>
    <row r="5060" spans="1:7" x14ac:dyDescent="0.25">
      <c r="A5060" s="17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</row>
    <row r="5061" spans="1:7" x14ac:dyDescent="0.25">
      <c r="A5061" s="17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</row>
    <row r="5062" spans="1:7" x14ac:dyDescent="0.25">
      <c r="A5062" s="17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</row>
    <row r="5063" spans="1:7" x14ac:dyDescent="0.25">
      <c r="A5063" s="17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</row>
    <row r="5064" spans="1:7" x14ac:dyDescent="0.25">
      <c r="A5064" s="17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</row>
    <row r="5065" spans="1:7" x14ac:dyDescent="0.25">
      <c r="A5065" s="17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">
        <v>11</v>
      </c>
    </row>
    <row r="5066" spans="1:7" x14ac:dyDescent="0.25">
      <c r="A5066" s="17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</row>
    <row r="5067" spans="1:7" x14ac:dyDescent="0.25">
      <c r="A5067" s="17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</row>
    <row r="5068" spans="1:7" x14ac:dyDescent="0.25">
      <c r="A5068" s="17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</row>
    <row r="5069" spans="1:7" x14ac:dyDescent="0.25">
      <c r="A5069" s="17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</row>
    <row r="5070" spans="1:7" x14ac:dyDescent="0.25">
      <c r="A5070" s="17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</row>
    <row r="5071" spans="1:7" x14ac:dyDescent="0.25">
      <c r="A5071" s="17"/>
      <c r="B5071" s="4" t="s">
        <v>4980</v>
      </c>
      <c r="C5071" s="4" t="s">
        <v>11</v>
      </c>
      <c r="D5071" s="4" t="s">
        <v>11</v>
      </c>
      <c r="E5071" s="4" t="s">
        <v>11</v>
      </c>
      <c r="F5071" s="4" t="s">
        <v>973</v>
      </c>
      <c r="G5071" s="5" t="s">
        <v>11</v>
      </c>
    </row>
    <row r="5072" spans="1:7" x14ac:dyDescent="0.25">
      <c r="A5072" s="17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</row>
    <row r="5073" spans="1:7" x14ac:dyDescent="0.25">
      <c r="A5073" s="17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</row>
    <row r="5074" spans="1:7" x14ac:dyDescent="0.25">
      <c r="A5074" s="17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</row>
    <row r="5075" spans="1:7" x14ac:dyDescent="0.25">
      <c r="A5075" s="17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</row>
    <row r="5076" spans="1:7" x14ac:dyDescent="0.25">
      <c r="A5076" s="17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</row>
    <row r="5077" spans="1:7" x14ac:dyDescent="0.25">
      <c r="A5077" s="17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</row>
    <row r="5078" spans="1:7" x14ac:dyDescent="0.25">
      <c r="A5078" s="17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</row>
    <row r="5079" spans="1:7" x14ac:dyDescent="0.25">
      <c r="A5079" s="17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</row>
    <row r="5080" spans="1:7" x14ac:dyDescent="0.25">
      <c r="A5080" s="17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</row>
    <row r="5081" spans="1:7" x14ac:dyDescent="0.25">
      <c r="A5081" s="17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</row>
    <row r="5082" spans="1:7" x14ac:dyDescent="0.25">
      <c r="A5082" s="17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">
        <v>11</v>
      </c>
    </row>
    <row r="5083" spans="1:7" x14ac:dyDescent="0.25">
      <c r="A5083" s="17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</row>
    <row r="5084" spans="1:7" x14ac:dyDescent="0.25">
      <c r="A5084" s="17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">
        <v>11</v>
      </c>
    </row>
    <row r="5085" spans="1:7" x14ac:dyDescent="0.25">
      <c r="A5085" s="17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</row>
    <row r="5086" spans="1:7" x14ac:dyDescent="0.25">
      <c r="A5086" s="17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</row>
    <row r="5087" spans="1:7" x14ac:dyDescent="0.25">
      <c r="A5087" s="17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</row>
    <row r="5088" spans="1:7" x14ac:dyDescent="0.25">
      <c r="A5088" s="17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</row>
    <row r="5089" spans="1:7" x14ac:dyDescent="0.25">
      <c r="A5089" s="17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</row>
    <row r="5090" spans="1:7" x14ac:dyDescent="0.25">
      <c r="A5090" s="17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</row>
    <row r="5091" spans="1:7" x14ac:dyDescent="0.25">
      <c r="A5091" s="17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</row>
    <row r="5092" spans="1:7" x14ac:dyDescent="0.25">
      <c r="A5092" s="17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</row>
    <row r="5093" spans="1:7" x14ac:dyDescent="0.25">
      <c r="A5093" s="17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</row>
    <row r="5094" spans="1:7" x14ac:dyDescent="0.25">
      <c r="A5094" s="17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</row>
    <row r="5095" spans="1:7" x14ac:dyDescent="0.25">
      <c r="A5095" s="17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</row>
    <row r="5096" spans="1:7" x14ac:dyDescent="0.25">
      <c r="A5096" s="17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</row>
    <row r="5097" spans="1:7" x14ac:dyDescent="0.25">
      <c r="A5097" s="17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</row>
    <row r="5098" spans="1:7" x14ac:dyDescent="0.25">
      <c r="A5098" s="17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</row>
    <row r="5099" spans="1:7" x14ac:dyDescent="0.25">
      <c r="A5099" s="17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</row>
    <row r="5100" spans="1:7" x14ac:dyDescent="0.25">
      <c r="A5100" s="17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</row>
    <row r="5101" spans="1:7" x14ac:dyDescent="0.25">
      <c r="A5101" s="17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</row>
    <row r="5102" spans="1:7" x14ac:dyDescent="0.25">
      <c r="A5102" s="17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</row>
    <row r="5103" spans="1:7" x14ac:dyDescent="0.25">
      <c r="A5103" s="17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</row>
    <row r="5104" spans="1:7" x14ac:dyDescent="0.25">
      <c r="A5104" s="17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</row>
    <row r="5105" spans="1:7" x14ac:dyDescent="0.25">
      <c r="A5105" s="17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</row>
    <row r="5106" spans="1:7" x14ac:dyDescent="0.25">
      <c r="A5106" s="17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11</v>
      </c>
    </row>
    <row r="5107" spans="1:7" x14ac:dyDescent="0.25">
      <c r="A5107" s="17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</row>
    <row r="5108" spans="1:7" x14ac:dyDescent="0.25">
      <c r="A5108" s="17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</row>
    <row r="5109" spans="1:7" x14ac:dyDescent="0.25">
      <c r="A5109" s="17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</row>
    <row r="5110" spans="1:7" x14ac:dyDescent="0.25">
      <c r="A5110" s="17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</row>
    <row r="5111" spans="1:7" x14ac:dyDescent="0.25">
      <c r="A5111" s="17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</row>
    <row r="5112" spans="1:7" x14ac:dyDescent="0.25">
      <c r="A5112" s="17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</row>
    <row r="5113" spans="1:7" x14ac:dyDescent="0.25">
      <c r="A5113" s="17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</row>
    <row r="5114" spans="1:7" x14ac:dyDescent="0.25">
      <c r="A5114" s="17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</row>
    <row r="5115" spans="1:7" x14ac:dyDescent="0.25">
      <c r="A5115" s="17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</row>
    <row r="5116" spans="1:7" x14ac:dyDescent="0.25">
      <c r="A5116" s="17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</row>
    <row r="5117" spans="1:7" x14ac:dyDescent="0.25">
      <c r="A5117" s="17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</row>
    <row r="5118" spans="1:7" x14ac:dyDescent="0.25">
      <c r="A5118" s="17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</row>
    <row r="5119" spans="1:7" x14ac:dyDescent="0.25">
      <c r="A5119" s="17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</row>
    <row r="5120" spans="1:7" x14ac:dyDescent="0.25">
      <c r="A5120" s="17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</row>
    <row r="5121" spans="1:7" x14ac:dyDescent="0.25">
      <c r="A5121" s="17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</row>
    <row r="5122" spans="1:7" x14ac:dyDescent="0.25">
      <c r="A5122" s="17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</row>
    <row r="5123" spans="1:7" x14ac:dyDescent="0.25">
      <c r="A5123" s="17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</row>
    <row r="5124" spans="1:7" x14ac:dyDescent="0.25">
      <c r="A5124" s="17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</row>
    <row r="5125" spans="1:7" x14ac:dyDescent="0.25">
      <c r="A5125" s="17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</row>
    <row r="5126" spans="1:7" x14ac:dyDescent="0.25">
      <c r="A5126" s="17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</row>
    <row r="5127" spans="1:7" x14ac:dyDescent="0.25">
      <c r="A5127" s="17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</row>
    <row r="5128" spans="1:7" x14ac:dyDescent="0.25">
      <c r="A5128" s="17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</row>
    <row r="5129" spans="1:7" x14ac:dyDescent="0.25">
      <c r="A5129" s="17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</row>
    <row r="5130" spans="1:7" x14ac:dyDescent="0.25">
      <c r="A5130" s="17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</row>
    <row r="5131" spans="1:7" x14ac:dyDescent="0.25">
      <c r="A5131" s="17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</row>
    <row r="5132" spans="1:7" x14ac:dyDescent="0.25">
      <c r="A5132" s="17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</row>
    <row r="5133" spans="1:7" x14ac:dyDescent="0.25">
      <c r="A5133" s="17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</row>
    <row r="5134" spans="1:7" x14ac:dyDescent="0.25">
      <c r="A5134" s="17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</row>
    <row r="5135" spans="1:7" x14ac:dyDescent="0.25">
      <c r="A5135" s="17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</row>
    <row r="5136" spans="1:7" x14ac:dyDescent="0.25">
      <c r="A5136" s="17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</row>
    <row r="5137" spans="1:7" x14ac:dyDescent="0.25">
      <c r="A5137" s="17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">
        <v>11</v>
      </c>
    </row>
    <row r="5138" spans="1:7" x14ac:dyDescent="0.25">
      <c r="A5138" s="17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</row>
    <row r="5139" spans="1:7" x14ac:dyDescent="0.25">
      <c r="A5139" s="17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</row>
    <row r="5140" spans="1:7" x14ac:dyDescent="0.25">
      <c r="A5140" s="17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</row>
    <row r="5141" spans="1:7" x14ac:dyDescent="0.25">
      <c r="A5141" s="17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</row>
    <row r="5142" spans="1:7" x14ac:dyDescent="0.25">
      <c r="A5142" s="17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</row>
    <row r="5143" spans="1:7" x14ac:dyDescent="0.25">
      <c r="A5143" s="17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</row>
    <row r="5144" spans="1:7" x14ac:dyDescent="0.25">
      <c r="A5144" s="17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</row>
    <row r="5145" spans="1:7" x14ac:dyDescent="0.25">
      <c r="A5145" s="17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</row>
    <row r="5146" spans="1:7" x14ac:dyDescent="0.25">
      <c r="A5146" s="17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</row>
    <row r="5147" spans="1:7" x14ac:dyDescent="0.25">
      <c r="A5147" s="17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</row>
    <row r="5148" spans="1:7" x14ac:dyDescent="0.25">
      <c r="A5148" s="17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</row>
    <row r="5149" spans="1:7" x14ac:dyDescent="0.25">
      <c r="A5149" s="17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</row>
    <row r="5150" spans="1:7" x14ac:dyDescent="0.25">
      <c r="A5150" s="17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</row>
    <row r="5151" spans="1:7" x14ac:dyDescent="0.25">
      <c r="A5151" s="17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</row>
    <row r="5152" spans="1:7" x14ac:dyDescent="0.25">
      <c r="A5152" s="17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</row>
    <row r="5153" spans="1:7" x14ac:dyDescent="0.25">
      <c r="A5153" s="17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</row>
    <row r="5154" spans="1:7" x14ac:dyDescent="0.25">
      <c r="A5154" s="17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</row>
    <row r="5155" spans="1:7" x14ac:dyDescent="0.25">
      <c r="A5155" s="17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</row>
    <row r="5156" spans="1:7" x14ac:dyDescent="0.25">
      <c r="A5156" s="17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</row>
    <row r="5157" spans="1:7" x14ac:dyDescent="0.25">
      <c r="A5157" s="17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</row>
    <row r="5158" spans="1:7" x14ac:dyDescent="0.25">
      <c r="A5158" s="17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</row>
    <row r="5159" spans="1:7" x14ac:dyDescent="0.25">
      <c r="A5159" s="17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</row>
    <row r="5160" spans="1:7" x14ac:dyDescent="0.25">
      <c r="A5160" s="17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</row>
    <row r="5161" spans="1:7" x14ac:dyDescent="0.25">
      <c r="A5161" s="17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</row>
    <row r="5162" spans="1:7" x14ac:dyDescent="0.25">
      <c r="A5162" s="17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</row>
    <row r="5163" spans="1:7" x14ac:dyDescent="0.25">
      <c r="A5163" s="17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</row>
    <row r="5164" spans="1:7" x14ac:dyDescent="0.25">
      <c r="A5164" s="17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</row>
    <row r="5165" spans="1:7" x14ac:dyDescent="0.25">
      <c r="A5165" s="17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</row>
    <row r="5166" spans="1:7" x14ac:dyDescent="0.25">
      <c r="A5166" s="17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</row>
    <row r="5167" spans="1:7" x14ac:dyDescent="0.25">
      <c r="A5167" s="17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</row>
    <row r="5168" spans="1:7" x14ac:dyDescent="0.25">
      <c r="A5168" s="17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</row>
    <row r="5169" spans="1:7" x14ac:dyDescent="0.25">
      <c r="A5169" s="17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</row>
    <row r="5170" spans="1:7" x14ac:dyDescent="0.25">
      <c r="A5170" s="17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</row>
    <row r="5171" spans="1:7" x14ac:dyDescent="0.25">
      <c r="A5171" s="17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</row>
    <row r="5172" spans="1:7" x14ac:dyDescent="0.25">
      <c r="A5172" s="17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</row>
    <row r="5173" spans="1:7" x14ac:dyDescent="0.25">
      <c r="A5173" s="17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</row>
    <row r="5174" spans="1:7" x14ac:dyDescent="0.25">
      <c r="A5174" s="17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</row>
    <row r="5175" spans="1:7" x14ac:dyDescent="0.25">
      <c r="A5175" s="17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</row>
    <row r="5176" spans="1:7" x14ac:dyDescent="0.25">
      <c r="A5176" s="17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</row>
    <row r="5177" spans="1:7" x14ac:dyDescent="0.25">
      <c r="A5177" s="17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</row>
    <row r="5178" spans="1:7" x14ac:dyDescent="0.25">
      <c r="A5178" s="17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</row>
    <row r="5179" spans="1:7" x14ac:dyDescent="0.25">
      <c r="A5179" s="17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</row>
    <row r="5180" spans="1:7" x14ac:dyDescent="0.25">
      <c r="A5180" s="17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</row>
    <row r="5181" spans="1:7" x14ac:dyDescent="0.25">
      <c r="A5181" s="17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</row>
    <row r="5182" spans="1:7" x14ac:dyDescent="0.25">
      <c r="A5182" s="17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</row>
    <row r="5183" spans="1:7" x14ac:dyDescent="0.25">
      <c r="A5183" s="17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</row>
    <row r="5184" spans="1:7" x14ac:dyDescent="0.25">
      <c r="A5184" s="17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</row>
    <row r="5185" spans="1:7" x14ac:dyDescent="0.25">
      <c r="A5185" s="17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11</v>
      </c>
    </row>
    <row r="5186" spans="1:7" x14ac:dyDescent="0.25">
      <c r="A5186" s="17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</row>
    <row r="5187" spans="1:7" x14ac:dyDescent="0.25">
      <c r="A5187" s="17"/>
      <c r="B5187" s="4" t="s">
        <v>5856</v>
      </c>
      <c r="C5187" s="4" t="s">
        <v>11</v>
      </c>
      <c r="D5187" s="4" t="s">
        <v>11</v>
      </c>
      <c r="E5187" s="4" t="s">
        <v>11</v>
      </c>
      <c r="F5187" s="4" t="s">
        <v>2014</v>
      </c>
      <c r="G5187" s="5" t="s">
        <v>11</v>
      </c>
    </row>
    <row r="5188" spans="1:7" x14ac:dyDescent="0.25">
      <c r="A5188" s="17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">
        <v>11</v>
      </c>
    </row>
    <row r="5189" spans="1:7" x14ac:dyDescent="0.25">
      <c r="A5189" s="17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</row>
    <row r="5190" spans="1:7" x14ac:dyDescent="0.25">
      <c r="A5190" s="17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</row>
    <row r="5191" spans="1:7" x14ac:dyDescent="0.25">
      <c r="A5191" s="17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</row>
    <row r="5192" spans="1:7" x14ac:dyDescent="0.25">
      <c r="A5192" s="17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</row>
    <row r="5193" spans="1:7" x14ac:dyDescent="0.25">
      <c r="A5193" s="17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</row>
    <row r="5194" spans="1:7" x14ac:dyDescent="0.25">
      <c r="A5194" s="17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</row>
    <row r="5195" spans="1:7" x14ac:dyDescent="0.25">
      <c r="A5195" s="17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</row>
    <row r="5196" spans="1:7" x14ac:dyDescent="0.25">
      <c r="A5196" s="17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</row>
    <row r="5197" spans="1:7" x14ac:dyDescent="0.25">
      <c r="A5197" s="17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</row>
    <row r="5198" spans="1:7" x14ac:dyDescent="0.25">
      <c r="A5198" s="17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</row>
    <row r="5199" spans="1:7" x14ac:dyDescent="0.25">
      <c r="A5199" s="17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</row>
    <row r="5200" spans="1:7" x14ac:dyDescent="0.25">
      <c r="A5200" s="17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</row>
    <row r="5201" spans="1:7" x14ac:dyDescent="0.25">
      <c r="A5201" s="17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</row>
    <row r="5202" spans="1:7" x14ac:dyDescent="0.25">
      <c r="A5202" s="17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</row>
    <row r="5203" spans="1:7" x14ac:dyDescent="0.25">
      <c r="A5203" s="17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">
        <v>11</v>
      </c>
    </row>
    <row r="5204" spans="1:7" x14ac:dyDescent="0.25">
      <c r="A5204" s="17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</row>
    <row r="5205" spans="1:7" x14ac:dyDescent="0.25">
      <c r="A5205" s="17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</row>
    <row r="5206" spans="1:7" x14ac:dyDescent="0.25">
      <c r="A5206" s="17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</row>
    <row r="5207" spans="1:7" x14ac:dyDescent="0.25">
      <c r="A5207" s="17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</row>
    <row r="5208" spans="1:7" x14ac:dyDescent="0.25">
      <c r="A5208" s="17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</row>
    <row r="5209" spans="1:7" x14ac:dyDescent="0.25">
      <c r="A5209" s="17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</row>
    <row r="5210" spans="1:7" x14ac:dyDescent="0.25">
      <c r="A5210" s="17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</row>
    <row r="5211" spans="1:7" x14ac:dyDescent="0.25">
      <c r="A5211" s="17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</row>
    <row r="5212" spans="1:7" x14ac:dyDescent="0.25">
      <c r="A5212" s="17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</row>
    <row r="5213" spans="1:7" x14ac:dyDescent="0.25">
      <c r="A5213" s="17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</row>
    <row r="5214" spans="1:7" x14ac:dyDescent="0.25">
      <c r="A5214" s="17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</row>
    <row r="5215" spans="1:7" x14ac:dyDescent="0.25">
      <c r="A5215" s="17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</row>
    <row r="5216" spans="1:7" x14ac:dyDescent="0.25">
      <c r="A5216" s="17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</row>
    <row r="5217" spans="1:7" x14ac:dyDescent="0.25">
      <c r="A5217" s="17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</row>
    <row r="5218" spans="1:7" x14ac:dyDescent="0.25">
      <c r="A5218" s="17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</row>
    <row r="5219" spans="1:7" x14ac:dyDescent="0.25">
      <c r="A5219" s="17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</row>
    <row r="5220" spans="1:7" x14ac:dyDescent="0.25">
      <c r="A5220" s="17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</row>
    <row r="5221" spans="1:7" x14ac:dyDescent="0.25">
      <c r="A5221" s="17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</row>
    <row r="5222" spans="1:7" x14ac:dyDescent="0.25">
      <c r="A5222" s="17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</row>
    <row r="5223" spans="1:7" x14ac:dyDescent="0.25">
      <c r="A5223" s="17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</row>
    <row r="5224" spans="1:7" x14ac:dyDescent="0.25">
      <c r="A5224" s="17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</row>
    <row r="5225" spans="1:7" x14ac:dyDescent="0.25">
      <c r="A5225" s="17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</row>
    <row r="5226" spans="1:7" x14ac:dyDescent="0.25">
      <c r="A5226" s="17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">
        <v>11</v>
      </c>
    </row>
    <row r="5227" spans="1:7" x14ac:dyDescent="0.25">
      <c r="A5227" s="17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</row>
    <row r="5228" spans="1:7" x14ac:dyDescent="0.25">
      <c r="A5228" s="17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11</v>
      </c>
    </row>
    <row r="5229" spans="1:7" x14ac:dyDescent="0.25">
      <c r="A5229" s="17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</row>
    <row r="5230" spans="1:7" x14ac:dyDescent="0.25">
      <c r="A5230" s="17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</row>
    <row r="5231" spans="1:7" x14ac:dyDescent="0.25">
      <c r="A5231" s="17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</row>
    <row r="5232" spans="1:7" x14ac:dyDescent="0.25">
      <c r="A5232" s="17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">
        <v>11</v>
      </c>
    </row>
    <row r="5233" spans="1:7" x14ac:dyDescent="0.25">
      <c r="A5233" s="17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</row>
    <row r="5234" spans="1:7" x14ac:dyDescent="0.25">
      <c r="A5234" s="17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</row>
    <row r="5235" spans="1:7" x14ac:dyDescent="0.25">
      <c r="A5235" s="17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</row>
    <row r="5236" spans="1:7" x14ac:dyDescent="0.25">
      <c r="A5236" s="17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11</v>
      </c>
    </row>
    <row r="5237" spans="1:7" x14ac:dyDescent="0.25">
      <c r="A5237" s="17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">
        <v>11</v>
      </c>
    </row>
    <row r="5238" spans="1:7" x14ac:dyDescent="0.25">
      <c r="A5238" s="17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</row>
    <row r="5239" spans="1:7" x14ac:dyDescent="0.25">
      <c r="A5239" s="17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</row>
    <row r="5240" spans="1:7" x14ac:dyDescent="0.25">
      <c r="A5240" s="17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</row>
    <row r="5241" spans="1:7" x14ac:dyDescent="0.25">
      <c r="A5241" s="17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</row>
    <row r="5242" spans="1:7" x14ac:dyDescent="0.25">
      <c r="A5242" s="17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</row>
    <row r="5243" spans="1:7" x14ac:dyDescent="0.25">
      <c r="A5243" s="17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</row>
    <row r="5244" spans="1:7" x14ac:dyDescent="0.25">
      <c r="A5244" s="17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</row>
    <row r="5245" spans="1:7" x14ac:dyDescent="0.25">
      <c r="A5245" s="17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</row>
    <row r="5246" spans="1:7" x14ac:dyDescent="0.25">
      <c r="A5246" s="17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</row>
    <row r="5247" spans="1:7" x14ac:dyDescent="0.25">
      <c r="A5247" s="17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</row>
    <row r="5248" spans="1:7" x14ac:dyDescent="0.25">
      <c r="A5248" s="17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</row>
    <row r="5249" spans="1:7" x14ac:dyDescent="0.25">
      <c r="A5249" s="17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</row>
    <row r="5250" spans="1:7" x14ac:dyDescent="0.25">
      <c r="A5250" s="17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</row>
    <row r="5251" spans="1:7" x14ac:dyDescent="0.25">
      <c r="A5251" s="17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</row>
    <row r="5252" spans="1:7" x14ac:dyDescent="0.25">
      <c r="A5252" s="17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</row>
    <row r="5253" spans="1:7" x14ac:dyDescent="0.25">
      <c r="A5253" s="17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</row>
    <row r="5254" spans="1:7" x14ac:dyDescent="0.25">
      <c r="A5254" s="17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</row>
    <row r="5255" spans="1:7" x14ac:dyDescent="0.25">
      <c r="A5255" s="17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</row>
    <row r="5256" spans="1:7" x14ac:dyDescent="0.25">
      <c r="A5256" s="17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</row>
    <row r="5257" spans="1:7" x14ac:dyDescent="0.25">
      <c r="A5257" s="17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</row>
    <row r="5258" spans="1:7" x14ac:dyDescent="0.25">
      <c r="A5258" s="17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</row>
    <row r="5259" spans="1:7" x14ac:dyDescent="0.25">
      <c r="A5259" s="17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</row>
    <row r="5260" spans="1:7" x14ac:dyDescent="0.25">
      <c r="A5260" s="17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</row>
    <row r="5261" spans="1:7" x14ac:dyDescent="0.25">
      <c r="A5261" s="17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">
        <v>11</v>
      </c>
    </row>
    <row r="5262" spans="1:7" x14ac:dyDescent="0.25">
      <c r="A5262" s="17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</row>
    <row r="5263" spans="1:7" x14ac:dyDescent="0.25">
      <c r="A5263" s="17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</row>
    <row r="5264" spans="1:7" x14ac:dyDescent="0.25">
      <c r="A5264" s="17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</row>
    <row r="5265" spans="1:7" x14ac:dyDescent="0.25">
      <c r="A5265" s="17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</row>
    <row r="5266" spans="1:7" x14ac:dyDescent="0.25">
      <c r="A5266" s="17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</row>
    <row r="5267" spans="1:7" x14ac:dyDescent="0.25">
      <c r="A5267" s="17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</row>
    <row r="5268" spans="1:7" x14ac:dyDescent="0.25">
      <c r="A5268" s="17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</row>
    <row r="5269" spans="1:7" x14ac:dyDescent="0.25">
      <c r="A5269" s="17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</row>
    <row r="5270" spans="1:7" x14ac:dyDescent="0.25">
      <c r="A5270" s="17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</row>
    <row r="5271" spans="1:7" x14ac:dyDescent="0.25">
      <c r="A5271" s="17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">
        <v>11</v>
      </c>
    </row>
    <row r="5272" spans="1:7" x14ac:dyDescent="0.25">
      <c r="A5272" s="17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</row>
    <row r="5273" spans="1:7" x14ac:dyDescent="0.25">
      <c r="A5273" s="17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">
        <v>57</v>
      </c>
    </row>
    <row r="5274" spans="1:7" x14ac:dyDescent="0.25">
      <c r="A5274" s="17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</row>
    <row r="5275" spans="1:7" x14ac:dyDescent="0.25">
      <c r="A5275" s="17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</row>
    <row r="5276" spans="1:7" x14ac:dyDescent="0.25">
      <c r="A5276" s="17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</row>
    <row r="5277" spans="1:7" x14ac:dyDescent="0.25">
      <c r="A5277" s="17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</row>
    <row r="5278" spans="1:7" x14ac:dyDescent="0.25">
      <c r="A5278" s="17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</row>
    <row r="5279" spans="1:7" x14ac:dyDescent="0.25">
      <c r="A5279" s="17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</row>
    <row r="5280" spans="1:7" x14ac:dyDescent="0.25">
      <c r="A5280" s="17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</row>
    <row r="5281" spans="1:7" x14ac:dyDescent="0.25">
      <c r="A5281" s="17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</row>
    <row r="5282" spans="1:7" x14ac:dyDescent="0.25">
      <c r="A5282" s="17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">
        <v>11</v>
      </c>
    </row>
    <row r="5283" spans="1:7" x14ac:dyDescent="0.25">
      <c r="A5283" s="17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">
        <v>11</v>
      </c>
    </row>
    <row r="5284" spans="1:7" x14ac:dyDescent="0.25">
      <c r="A5284" s="17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</row>
    <row r="5285" spans="1:7" x14ac:dyDescent="0.25">
      <c r="A5285" s="17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</row>
    <row r="5286" spans="1:7" x14ac:dyDescent="0.25">
      <c r="A5286" s="17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</row>
    <row r="5287" spans="1:7" x14ac:dyDescent="0.25">
      <c r="A5287" s="17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</row>
    <row r="5288" spans="1:7" x14ac:dyDescent="0.25">
      <c r="A5288" s="17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11</v>
      </c>
    </row>
    <row r="5289" spans="1:7" x14ac:dyDescent="0.25">
      <c r="A5289" s="17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</row>
    <row r="5290" spans="1:7" x14ac:dyDescent="0.25">
      <c r="A5290" s="17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</row>
    <row r="5291" spans="1:7" x14ac:dyDescent="0.25">
      <c r="A5291" s="17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</row>
    <row r="5292" spans="1:7" x14ac:dyDescent="0.25">
      <c r="A5292" s="17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</row>
    <row r="5293" spans="1:7" x14ac:dyDescent="0.25">
      <c r="A5293" s="17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</row>
    <row r="5294" spans="1:7" x14ac:dyDescent="0.25">
      <c r="A5294" s="17"/>
      <c r="B5294" s="4" t="s">
        <v>5772</v>
      </c>
      <c r="C5294" s="4" t="s">
        <v>11</v>
      </c>
      <c r="D5294" s="4" t="s">
        <v>11</v>
      </c>
      <c r="E5294" s="4" t="s">
        <v>11</v>
      </c>
      <c r="F5294" s="4" t="s">
        <v>1191</v>
      </c>
      <c r="G5294" s="5" t="s">
        <v>11</v>
      </c>
    </row>
    <row r="5295" spans="1:7" x14ac:dyDescent="0.25">
      <c r="A5295" s="17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</row>
    <row r="5296" spans="1:7" x14ac:dyDescent="0.25">
      <c r="A5296" s="17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</row>
    <row r="5297" spans="1:7" x14ac:dyDescent="0.25">
      <c r="A5297" s="17"/>
      <c r="B5297" s="4" t="s">
        <v>5654</v>
      </c>
      <c r="C5297" s="4" t="s">
        <v>11</v>
      </c>
      <c r="D5297" s="4" t="s">
        <v>11</v>
      </c>
      <c r="E5297" s="4" t="s">
        <v>11</v>
      </c>
      <c r="F5297" s="4" t="s">
        <v>1187</v>
      </c>
      <c r="G5297" s="5" t="s">
        <v>11</v>
      </c>
    </row>
    <row r="5298" spans="1:7" x14ac:dyDescent="0.25">
      <c r="A5298" s="17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</row>
    <row r="5299" spans="1:7" x14ac:dyDescent="0.25">
      <c r="A5299" s="17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</row>
    <row r="5300" spans="1:7" x14ac:dyDescent="0.25">
      <c r="A5300" s="17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</row>
    <row r="5301" spans="1:7" x14ac:dyDescent="0.25">
      <c r="A5301" s="17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</row>
    <row r="5302" spans="1:7" x14ac:dyDescent="0.25">
      <c r="A5302" s="17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</row>
    <row r="5303" spans="1:7" x14ac:dyDescent="0.25">
      <c r="A5303" s="17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</row>
    <row r="5304" spans="1:7" x14ac:dyDescent="0.25">
      <c r="A5304" s="17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</row>
    <row r="5305" spans="1:7" x14ac:dyDescent="0.25">
      <c r="A5305" s="17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</row>
    <row r="5306" spans="1:7" x14ac:dyDescent="0.25">
      <c r="A5306" s="17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</row>
    <row r="5307" spans="1:7" x14ac:dyDescent="0.25">
      <c r="A5307" s="17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</row>
    <row r="5308" spans="1:7" x14ac:dyDescent="0.25">
      <c r="A5308" s="17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</row>
    <row r="5309" spans="1:7" x14ac:dyDescent="0.25">
      <c r="A5309" s="17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</row>
    <row r="5310" spans="1:7" x14ac:dyDescent="0.25">
      <c r="A5310" s="17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</row>
    <row r="5311" spans="1:7" x14ac:dyDescent="0.25">
      <c r="A5311" s="17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</row>
    <row r="5312" spans="1:7" x14ac:dyDescent="0.25">
      <c r="A5312" s="17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</row>
    <row r="5313" spans="1:7" x14ac:dyDescent="0.25">
      <c r="A5313" s="17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</row>
    <row r="5314" spans="1:7" x14ac:dyDescent="0.25">
      <c r="A5314" s="17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</row>
    <row r="5315" spans="1:7" x14ac:dyDescent="0.25">
      <c r="A5315" s="17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">
        <v>11</v>
      </c>
    </row>
    <row r="5316" spans="1:7" x14ac:dyDescent="0.25">
      <c r="A5316" s="17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</row>
    <row r="5317" spans="1:7" x14ac:dyDescent="0.25">
      <c r="A5317" s="17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">
        <v>11</v>
      </c>
    </row>
    <row r="5318" spans="1:7" x14ac:dyDescent="0.25">
      <c r="A5318" s="17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</row>
    <row r="5319" spans="1:7" x14ac:dyDescent="0.25">
      <c r="A5319" s="17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</row>
    <row r="5320" spans="1:7" x14ac:dyDescent="0.25">
      <c r="A5320" s="17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</row>
    <row r="5321" spans="1:7" x14ac:dyDescent="0.25">
      <c r="A5321" s="17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">
        <v>11</v>
      </c>
    </row>
    <row r="5322" spans="1:7" x14ac:dyDescent="0.25">
      <c r="A5322" s="17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</row>
    <row r="5323" spans="1:7" x14ac:dyDescent="0.25">
      <c r="A5323" s="17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</row>
    <row r="5324" spans="1:7" x14ac:dyDescent="0.25">
      <c r="A5324" s="17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</row>
    <row r="5325" spans="1:7" x14ac:dyDescent="0.25">
      <c r="A5325" s="17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</row>
    <row r="5326" spans="1:7" x14ac:dyDescent="0.25">
      <c r="A5326" s="17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</row>
    <row r="5327" spans="1:7" x14ac:dyDescent="0.25">
      <c r="A5327" s="17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</row>
    <row r="5328" spans="1:7" x14ac:dyDescent="0.25">
      <c r="A5328" s="17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</row>
    <row r="5329" spans="1:7" x14ac:dyDescent="0.25">
      <c r="A5329" s="17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</row>
    <row r="5330" spans="1:7" x14ac:dyDescent="0.25">
      <c r="A5330" s="17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</row>
    <row r="5331" spans="1:7" x14ac:dyDescent="0.25">
      <c r="A5331" s="17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</row>
    <row r="5332" spans="1:7" x14ac:dyDescent="0.25">
      <c r="A5332" s="17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</row>
    <row r="5333" spans="1:7" x14ac:dyDescent="0.25">
      <c r="A5333" s="17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</row>
    <row r="5334" spans="1:7" x14ac:dyDescent="0.25">
      <c r="A5334" s="17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</row>
    <row r="5335" spans="1:7" x14ac:dyDescent="0.25">
      <c r="A5335" s="17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</row>
    <row r="5336" spans="1:7" x14ac:dyDescent="0.25">
      <c r="A5336" s="17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</row>
    <row r="5337" spans="1:7" x14ac:dyDescent="0.25">
      <c r="A5337" s="17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</row>
    <row r="5338" spans="1:7" x14ac:dyDescent="0.25">
      <c r="A5338" s="17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</row>
    <row r="5339" spans="1:7" x14ac:dyDescent="0.25">
      <c r="A5339" s="17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</row>
    <row r="5340" spans="1:7" x14ac:dyDescent="0.25">
      <c r="A5340" s="17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</row>
    <row r="5341" spans="1:7" x14ac:dyDescent="0.25">
      <c r="A5341" s="17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</row>
    <row r="5342" spans="1:7" x14ac:dyDescent="0.25">
      <c r="A5342" s="17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</row>
    <row r="5343" spans="1:7" x14ac:dyDescent="0.25">
      <c r="A5343" s="17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</row>
    <row r="5344" spans="1:7" x14ac:dyDescent="0.25">
      <c r="A5344" s="17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</row>
    <row r="5345" spans="1:7" x14ac:dyDescent="0.25">
      <c r="A5345" s="17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">
        <v>11</v>
      </c>
    </row>
    <row r="5346" spans="1:7" x14ac:dyDescent="0.25">
      <c r="A5346" s="17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</row>
    <row r="5347" spans="1:7" x14ac:dyDescent="0.25">
      <c r="A5347" s="17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</row>
    <row r="5348" spans="1:7" x14ac:dyDescent="0.25">
      <c r="A5348" s="17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</row>
    <row r="5349" spans="1:7" x14ac:dyDescent="0.25">
      <c r="A5349" s="17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</row>
    <row r="5350" spans="1:7" x14ac:dyDescent="0.25">
      <c r="A5350" s="17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</row>
    <row r="5351" spans="1:7" x14ac:dyDescent="0.25">
      <c r="A5351" s="17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</row>
    <row r="5352" spans="1:7" x14ac:dyDescent="0.25">
      <c r="A5352" s="17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</row>
    <row r="5353" spans="1:7" x14ac:dyDescent="0.25">
      <c r="A5353" s="17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</row>
    <row r="5354" spans="1:7" x14ac:dyDescent="0.25">
      <c r="A5354" s="17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</row>
    <row r="5355" spans="1:7" x14ac:dyDescent="0.25">
      <c r="A5355" s="17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">
        <v>11</v>
      </c>
    </row>
    <row r="5356" spans="1:7" x14ac:dyDescent="0.25">
      <c r="A5356" s="17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</row>
    <row r="5357" spans="1:7" x14ac:dyDescent="0.25">
      <c r="A5357" s="17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</row>
    <row r="5358" spans="1:7" x14ac:dyDescent="0.25">
      <c r="A5358" s="17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</row>
    <row r="5359" spans="1:7" x14ac:dyDescent="0.25">
      <c r="A5359" s="17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</row>
    <row r="5360" spans="1:7" x14ac:dyDescent="0.25">
      <c r="A5360" s="17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</row>
    <row r="5361" spans="1:7" x14ac:dyDescent="0.25">
      <c r="A5361" s="17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</row>
    <row r="5362" spans="1:7" x14ac:dyDescent="0.25">
      <c r="A5362" s="17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</row>
    <row r="5363" spans="1:7" x14ac:dyDescent="0.25">
      <c r="A5363" s="17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</row>
    <row r="5364" spans="1:7" x14ac:dyDescent="0.25">
      <c r="A5364" s="17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</row>
    <row r="5365" spans="1:7" x14ac:dyDescent="0.25">
      <c r="A5365" s="17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</row>
    <row r="5366" spans="1:7" x14ac:dyDescent="0.25">
      <c r="A5366" s="17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</row>
    <row r="5367" spans="1:7" x14ac:dyDescent="0.25">
      <c r="A5367" s="17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</row>
    <row r="5368" spans="1:7" x14ac:dyDescent="0.25">
      <c r="A5368" s="17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</row>
    <row r="5369" spans="1:7" x14ac:dyDescent="0.25">
      <c r="A5369" s="17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</row>
    <row r="5370" spans="1:7" x14ac:dyDescent="0.25">
      <c r="A5370" s="17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</row>
    <row r="5371" spans="1:7" x14ac:dyDescent="0.25">
      <c r="A5371" s="17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</row>
    <row r="5372" spans="1:7" x14ac:dyDescent="0.25">
      <c r="A5372" s="17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</row>
    <row r="5373" spans="1:7" x14ac:dyDescent="0.25">
      <c r="A5373" s="17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</row>
    <row r="5374" spans="1:7" x14ac:dyDescent="0.25">
      <c r="A5374" s="17"/>
      <c r="B5374" s="4" t="s">
        <v>5749</v>
      </c>
      <c r="C5374" s="4" t="s">
        <v>11</v>
      </c>
      <c r="D5374" s="4" t="s">
        <v>11</v>
      </c>
      <c r="E5374" s="4" t="s">
        <v>11</v>
      </c>
      <c r="F5374" s="4" t="s">
        <v>1191</v>
      </c>
      <c r="G5374" s="5" t="s">
        <v>11</v>
      </c>
    </row>
    <row r="5375" spans="1:7" x14ac:dyDescent="0.25">
      <c r="A5375" s="17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</row>
    <row r="5376" spans="1:7" x14ac:dyDescent="0.25">
      <c r="A5376" s="17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</row>
    <row r="5377" spans="1:7" x14ac:dyDescent="0.25">
      <c r="A5377" s="17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11</v>
      </c>
    </row>
    <row r="5378" spans="1:7" x14ac:dyDescent="0.25">
      <c r="A5378" s="17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</row>
    <row r="5379" spans="1:7" x14ac:dyDescent="0.25">
      <c r="A5379" s="17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">
        <v>11</v>
      </c>
    </row>
    <row r="5380" spans="1:7" x14ac:dyDescent="0.25">
      <c r="A5380" s="17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</row>
    <row r="5381" spans="1:7" x14ac:dyDescent="0.25">
      <c r="A5381" s="17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</row>
    <row r="5382" spans="1:7" x14ac:dyDescent="0.25">
      <c r="A5382" s="17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">
        <v>11</v>
      </c>
    </row>
    <row r="5383" spans="1:7" x14ac:dyDescent="0.25">
      <c r="A5383" s="17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</row>
    <row r="5384" spans="1:7" x14ac:dyDescent="0.25">
      <c r="A5384" s="17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</row>
    <row r="5385" spans="1:7" x14ac:dyDescent="0.25">
      <c r="A5385" s="17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</row>
    <row r="5386" spans="1:7" x14ac:dyDescent="0.25">
      <c r="A5386" s="17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</row>
    <row r="5387" spans="1:7" x14ac:dyDescent="0.25">
      <c r="A5387" s="17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</row>
    <row r="5388" spans="1:7" x14ac:dyDescent="0.25">
      <c r="A5388" s="17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</row>
    <row r="5389" spans="1:7" x14ac:dyDescent="0.25">
      <c r="A5389" s="17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</row>
    <row r="5390" spans="1:7" x14ac:dyDescent="0.25">
      <c r="A5390" s="17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</row>
    <row r="5391" spans="1:7" x14ac:dyDescent="0.25">
      <c r="A5391" s="17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</row>
    <row r="5392" spans="1:7" x14ac:dyDescent="0.25">
      <c r="A5392" s="17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</row>
    <row r="5393" spans="1:7" x14ac:dyDescent="0.25">
      <c r="A5393" s="17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">
        <v>11</v>
      </c>
    </row>
    <row r="5394" spans="1:7" x14ac:dyDescent="0.25">
      <c r="A5394" s="17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</row>
    <row r="5395" spans="1:7" x14ac:dyDescent="0.25">
      <c r="A5395" s="17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</row>
    <row r="5396" spans="1:7" x14ac:dyDescent="0.25">
      <c r="A5396" s="17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</row>
    <row r="5397" spans="1:7" x14ac:dyDescent="0.25">
      <c r="A5397" s="17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</row>
    <row r="5398" spans="1:7" x14ac:dyDescent="0.25">
      <c r="A5398" s="17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</row>
    <row r="5399" spans="1:7" x14ac:dyDescent="0.25">
      <c r="A5399" s="17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">
        <v>11</v>
      </c>
    </row>
    <row r="5400" spans="1:7" x14ac:dyDescent="0.25">
      <c r="A5400" s="17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">
        <v>11</v>
      </c>
    </row>
    <row r="5401" spans="1:7" x14ac:dyDescent="0.25">
      <c r="A5401" s="17"/>
      <c r="B5401" s="4" t="s">
        <v>5789</v>
      </c>
      <c r="C5401" s="4" t="s">
        <v>11</v>
      </c>
      <c r="D5401" s="4" t="s">
        <v>11</v>
      </c>
      <c r="E5401" s="4" t="s">
        <v>11</v>
      </c>
      <c r="F5401" s="4" t="s">
        <v>1270</v>
      </c>
      <c r="G5401" s="5" t="s">
        <v>11</v>
      </c>
    </row>
    <row r="5402" spans="1:7" x14ac:dyDescent="0.25">
      <c r="A5402" s="17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</row>
    <row r="5403" spans="1:7" x14ac:dyDescent="0.25">
      <c r="A5403" s="17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</row>
    <row r="5404" spans="1:7" x14ac:dyDescent="0.25">
      <c r="A5404" s="17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</row>
    <row r="5405" spans="1:7" x14ac:dyDescent="0.25">
      <c r="A5405" s="17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</row>
    <row r="5406" spans="1:7" x14ac:dyDescent="0.25">
      <c r="A5406" s="17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</row>
    <row r="5407" spans="1:7" x14ac:dyDescent="0.25">
      <c r="A5407" s="17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</row>
    <row r="5408" spans="1:7" x14ac:dyDescent="0.25">
      <c r="A5408" s="17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</row>
    <row r="5409" spans="1:7" x14ac:dyDescent="0.25">
      <c r="A5409" s="17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</row>
    <row r="5410" spans="1:7" x14ac:dyDescent="0.25">
      <c r="A5410" s="17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</row>
    <row r="5411" spans="1:7" x14ac:dyDescent="0.25">
      <c r="A5411" s="17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</row>
    <row r="5412" spans="1:7" x14ac:dyDescent="0.25">
      <c r="A5412" s="17"/>
      <c r="B5412" s="4" t="s">
        <v>5841</v>
      </c>
      <c r="C5412" s="4" t="s">
        <v>11</v>
      </c>
      <c r="D5412" s="4" t="s">
        <v>11</v>
      </c>
      <c r="E5412" s="4" t="s">
        <v>11</v>
      </c>
      <c r="F5412" s="4" t="s">
        <v>137</v>
      </c>
      <c r="G5412" s="5" t="s">
        <v>11</v>
      </c>
    </row>
    <row r="5413" spans="1:7" x14ac:dyDescent="0.25">
      <c r="A5413" s="17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</row>
    <row r="5414" spans="1:7" x14ac:dyDescent="0.25">
      <c r="A5414" s="17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</row>
    <row r="5415" spans="1:7" x14ac:dyDescent="0.25">
      <c r="A5415" s="17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11</v>
      </c>
    </row>
    <row r="5416" spans="1:7" x14ac:dyDescent="0.25">
      <c r="A5416" s="17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">
        <v>57</v>
      </c>
    </row>
    <row r="5417" spans="1:7" x14ac:dyDescent="0.25">
      <c r="A5417" s="17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</row>
    <row r="5418" spans="1:7" x14ac:dyDescent="0.25">
      <c r="A5418" s="17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</row>
    <row r="5419" spans="1:7" x14ac:dyDescent="0.25">
      <c r="A5419" s="17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</row>
    <row r="5420" spans="1:7" x14ac:dyDescent="0.25">
      <c r="A5420" s="17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</row>
    <row r="5421" spans="1:7" x14ac:dyDescent="0.25">
      <c r="A5421" s="17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</row>
    <row r="5422" spans="1:7" x14ac:dyDescent="0.25">
      <c r="A5422" s="17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</row>
    <row r="5423" spans="1:7" x14ac:dyDescent="0.25">
      <c r="A5423" s="17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</row>
    <row r="5424" spans="1:7" x14ac:dyDescent="0.25">
      <c r="A5424" s="17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</row>
    <row r="5425" spans="1:7" x14ac:dyDescent="0.25">
      <c r="A5425" s="17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</row>
    <row r="5426" spans="1:7" x14ac:dyDescent="0.25">
      <c r="A5426" s="17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</row>
    <row r="5427" spans="1:7" x14ac:dyDescent="0.25">
      <c r="A5427" s="17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</row>
    <row r="5428" spans="1:7" x14ac:dyDescent="0.25">
      <c r="A5428" s="17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</row>
    <row r="5429" spans="1:7" x14ac:dyDescent="0.25">
      <c r="A5429" s="17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</row>
    <row r="5430" spans="1:7" x14ac:dyDescent="0.25">
      <c r="A5430" s="17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</row>
    <row r="5431" spans="1:7" x14ac:dyDescent="0.25">
      <c r="A5431" s="17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</row>
    <row r="5432" spans="1:7" x14ac:dyDescent="0.25">
      <c r="A5432" s="17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</row>
    <row r="5433" spans="1:7" x14ac:dyDescent="0.25">
      <c r="A5433" s="17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</row>
    <row r="5434" spans="1:7" x14ac:dyDescent="0.25">
      <c r="A5434" s="17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</row>
    <row r="5435" spans="1:7" x14ac:dyDescent="0.25">
      <c r="A5435" s="17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</row>
    <row r="5436" spans="1:7" x14ac:dyDescent="0.25">
      <c r="A5436" s="17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</row>
    <row r="5437" spans="1:7" x14ac:dyDescent="0.25">
      <c r="A5437" s="17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</row>
    <row r="5438" spans="1:7" x14ac:dyDescent="0.25">
      <c r="A5438" s="17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</row>
    <row r="5439" spans="1:7" x14ac:dyDescent="0.25">
      <c r="A5439" s="17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</row>
    <row r="5440" spans="1:7" x14ac:dyDescent="0.25">
      <c r="A5440" s="17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</row>
    <row r="5441" spans="1:7" x14ac:dyDescent="0.25">
      <c r="A5441" s="17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</row>
    <row r="5442" spans="1:7" x14ac:dyDescent="0.25">
      <c r="A5442" s="17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</row>
    <row r="5443" spans="1:7" x14ac:dyDescent="0.25">
      <c r="A5443" s="17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</row>
    <row r="5444" spans="1:7" x14ac:dyDescent="0.25">
      <c r="A5444" s="17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</row>
    <row r="5445" spans="1:7" x14ac:dyDescent="0.25">
      <c r="A5445" s="17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</row>
    <row r="5446" spans="1:7" x14ac:dyDescent="0.25">
      <c r="A5446" s="17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</row>
    <row r="5447" spans="1:7" x14ac:dyDescent="0.25">
      <c r="A5447" s="17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</row>
    <row r="5448" spans="1:7" x14ac:dyDescent="0.25">
      <c r="A5448" s="17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</row>
    <row r="5449" spans="1:7" x14ac:dyDescent="0.25">
      <c r="A5449" s="17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</row>
    <row r="5450" spans="1:7" x14ac:dyDescent="0.25">
      <c r="A5450" s="17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</row>
    <row r="5451" spans="1:7" x14ac:dyDescent="0.25">
      <c r="A5451" s="17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</row>
    <row r="5452" spans="1:7" x14ac:dyDescent="0.25">
      <c r="A5452" s="17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</row>
    <row r="5453" spans="1:7" x14ac:dyDescent="0.25">
      <c r="A5453" s="17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">
        <v>20</v>
      </c>
    </row>
    <row r="5454" spans="1:7" x14ac:dyDescent="0.25">
      <c r="A5454" s="17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">
        <v>163</v>
      </c>
    </row>
    <row r="5455" spans="1:7" x14ac:dyDescent="0.25">
      <c r="A5455" s="17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</row>
    <row r="5456" spans="1:7" x14ac:dyDescent="0.25">
      <c r="A5456" s="17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</row>
    <row r="5457" spans="1:7" x14ac:dyDescent="0.25">
      <c r="A5457" s="17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</row>
    <row r="5458" spans="1:7" x14ac:dyDescent="0.25">
      <c r="A5458" s="17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</row>
    <row r="5459" spans="1:7" x14ac:dyDescent="0.25">
      <c r="A5459" s="17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</row>
    <row r="5460" spans="1:7" x14ac:dyDescent="0.25">
      <c r="A5460" s="17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</row>
    <row r="5461" spans="1:7" x14ac:dyDescent="0.25">
      <c r="A5461" s="17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</row>
    <row r="5462" spans="1:7" x14ac:dyDescent="0.25">
      <c r="A5462" s="17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</row>
    <row r="5463" spans="1:7" x14ac:dyDescent="0.25">
      <c r="A5463" s="17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</row>
    <row r="5464" spans="1:7" x14ac:dyDescent="0.25">
      <c r="A5464" s="17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</row>
    <row r="5465" spans="1:7" x14ac:dyDescent="0.25">
      <c r="A5465" s="17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</row>
    <row r="5466" spans="1:7" x14ac:dyDescent="0.25">
      <c r="A5466" s="17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</row>
    <row r="5467" spans="1:7" x14ac:dyDescent="0.25">
      <c r="A5467" s="17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</row>
    <row r="5468" spans="1:7" x14ac:dyDescent="0.25">
      <c r="A5468" s="17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</row>
    <row r="5469" spans="1:7" x14ac:dyDescent="0.25">
      <c r="A5469" s="17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</row>
    <row r="5470" spans="1:7" x14ac:dyDescent="0.25">
      <c r="A5470" s="17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</row>
    <row r="5471" spans="1:7" x14ac:dyDescent="0.25">
      <c r="A5471" s="17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</row>
    <row r="5472" spans="1:7" x14ac:dyDescent="0.25">
      <c r="A5472" s="17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</row>
    <row r="5473" spans="1:7" x14ac:dyDescent="0.25">
      <c r="A5473" s="17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</row>
    <row r="5474" spans="1:7" x14ac:dyDescent="0.25">
      <c r="A5474" s="17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</row>
    <row r="5475" spans="1:7" x14ac:dyDescent="0.25">
      <c r="A5475" s="17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</row>
    <row r="5476" spans="1:7" x14ac:dyDescent="0.25">
      <c r="A5476" s="17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</row>
    <row r="5477" spans="1:7" x14ac:dyDescent="0.25">
      <c r="A5477" s="17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</row>
    <row r="5478" spans="1:7" x14ac:dyDescent="0.25">
      <c r="A5478" s="17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</row>
    <row r="5479" spans="1:7" x14ac:dyDescent="0.25">
      <c r="A5479" s="17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</row>
    <row r="5480" spans="1:7" x14ac:dyDescent="0.25">
      <c r="A5480" s="17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</row>
    <row r="5481" spans="1:7" x14ac:dyDescent="0.25">
      <c r="A5481" s="17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</row>
    <row r="5482" spans="1:7" x14ac:dyDescent="0.25">
      <c r="A5482" s="17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</row>
    <row r="5483" spans="1:7" x14ac:dyDescent="0.25">
      <c r="A5483" s="17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</row>
    <row r="5484" spans="1:7" x14ac:dyDescent="0.25">
      <c r="A5484" s="17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</row>
    <row r="5485" spans="1:7" x14ac:dyDescent="0.25">
      <c r="A5485" s="17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</row>
    <row r="5486" spans="1:7" x14ac:dyDescent="0.25">
      <c r="A5486" s="17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</row>
    <row r="5487" spans="1:7" x14ac:dyDescent="0.25">
      <c r="A5487" s="17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</row>
    <row r="5488" spans="1:7" x14ac:dyDescent="0.25">
      <c r="A5488" s="17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</row>
    <row r="5489" spans="1:7" x14ac:dyDescent="0.25">
      <c r="A5489" s="17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</row>
    <row r="5490" spans="1:7" x14ac:dyDescent="0.25">
      <c r="A5490" s="17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</row>
    <row r="5491" spans="1:7" x14ac:dyDescent="0.25">
      <c r="A5491" s="17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</row>
    <row r="5492" spans="1:7" x14ac:dyDescent="0.25">
      <c r="A5492" s="17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</row>
    <row r="5493" spans="1:7" x14ac:dyDescent="0.25">
      <c r="A5493" s="17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</row>
    <row r="5494" spans="1:7" x14ac:dyDescent="0.25">
      <c r="A5494" s="17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</row>
    <row r="5495" spans="1:7" x14ac:dyDescent="0.25">
      <c r="A5495" s="17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</row>
    <row r="5496" spans="1:7" x14ac:dyDescent="0.25">
      <c r="A5496" s="17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</row>
    <row r="5497" spans="1:7" x14ac:dyDescent="0.25">
      <c r="A5497" s="17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</row>
    <row r="5498" spans="1:7" x14ac:dyDescent="0.25">
      <c r="A5498" s="17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</row>
    <row r="5499" spans="1:7" x14ac:dyDescent="0.25">
      <c r="A5499" s="17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</row>
    <row r="5500" spans="1:7" x14ac:dyDescent="0.25">
      <c r="A5500" s="17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</row>
    <row r="5501" spans="1:7" x14ac:dyDescent="0.25">
      <c r="A5501" s="17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</row>
    <row r="5502" spans="1:7" x14ac:dyDescent="0.25">
      <c r="A5502" s="17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</row>
    <row r="5503" spans="1:7" x14ac:dyDescent="0.25">
      <c r="A5503" s="17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</row>
    <row r="5504" spans="1:7" x14ac:dyDescent="0.25">
      <c r="A5504" s="17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</row>
    <row r="5505" spans="1:7" x14ac:dyDescent="0.25">
      <c r="A5505" s="17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</row>
    <row r="5506" spans="1:7" x14ac:dyDescent="0.25">
      <c r="A5506" s="17"/>
      <c r="B5506" s="12" t="s">
        <v>5186</v>
      </c>
      <c r="C5506" s="12" t="s">
        <v>28</v>
      </c>
      <c r="D5506" s="12" t="s">
        <v>29</v>
      </c>
      <c r="E5506" s="12" t="s">
        <v>30</v>
      </c>
      <c r="F5506" s="12" t="s">
        <v>9</v>
      </c>
      <c r="G5506" s="5" t="s">
        <v>30</v>
      </c>
    </row>
    <row r="5507" spans="1:7" x14ac:dyDescent="0.25">
      <c r="A5507" s="17"/>
      <c r="B5507" s="12" t="s">
        <v>5187</v>
      </c>
      <c r="C5507" s="12" t="s">
        <v>28</v>
      </c>
      <c r="D5507" s="12" t="s">
        <v>29</v>
      </c>
      <c r="E5507" s="12" t="s">
        <v>33</v>
      </c>
      <c r="F5507" s="12" t="s">
        <v>9</v>
      </c>
      <c r="G5507" s="5" t="s">
        <v>33</v>
      </c>
    </row>
    <row r="5508" spans="1:7" x14ac:dyDescent="0.25">
      <c r="A5508" s="17"/>
      <c r="B5508" s="12" t="s">
        <v>5188</v>
      </c>
      <c r="C5508" s="12" t="s">
        <v>28</v>
      </c>
      <c r="D5508" s="12" t="s">
        <v>29</v>
      </c>
      <c r="E5508" s="12" t="s">
        <v>30</v>
      </c>
      <c r="F5508" s="12" t="s">
        <v>9</v>
      </c>
      <c r="G5508" s="5" t="s">
        <v>30</v>
      </c>
    </row>
    <row r="5509" spans="1:7" x14ac:dyDescent="0.25">
      <c r="A5509" s="17"/>
      <c r="B5509" s="12" t="s">
        <v>5189</v>
      </c>
      <c r="C5509" s="12" t="s">
        <v>28</v>
      </c>
      <c r="D5509" s="12" t="s">
        <v>29</v>
      </c>
      <c r="E5509" s="12" t="s">
        <v>30</v>
      </c>
      <c r="F5509" s="12" t="s">
        <v>9</v>
      </c>
      <c r="G5509" s="5" t="s">
        <v>30</v>
      </c>
    </row>
    <row r="5510" spans="1:7" x14ac:dyDescent="0.25">
      <c r="A5510" s="17"/>
      <c r="B5510" s="12" t="s">
        <v>5190</v>
      </c>
      <c r="C5510" s="12" t="s">
        <v>28</v>
      </c>
      <c r="D5510" s="12" t="s">
        <v>29</v>
      </c>
      <c r="E5510" s="12" t="s">
        <v>30</v>
      </c>
      <c r="F5510" s="12" t="s">
        <v>9</v>
      </c>
      <c r="G5510" s="5" t="s">
        <v>30</v>
      </c>
    </row>
    <row r="5511" spans="1:7" x14ac:dyDescent="0.25">
      <c r="A5511" s="17"/>
      <c r="B5511" s="12" t="s">
        <v>5191</v>
      </c>
      <c r="C5511" s="12" t="s">
        <v>28</v>
      </c>
      <c r="D5511" s="12" t="s">
        <v>29</v>
      </c>
      <c r="E5511" s="12" t="s">
        <v>30</v>
      </c>
      <c r="F5511" s="12" t="s">
        <v>9</v>
      </c>
      <c r="G5511" s="5" t="s">
        <v>30</v>
      </c>
    </row>
    <row r="5512" spans="1:7" x14ac:dyDescent="0.25">
      <c r="A5512" s="17"/>
      <c r="B5512" s="12" t="s">
        <v>5192</v>
      </c>
      <c r="C5512" s="12" t="s">
        <v>28</v>
      </c>
      <c r="D5512" s="12" t="s">
        <v>29</v>
      </c>
      <c r="E5512" s="12" t="s">
        <v>30</v>
      </c>
      <c r="F5512" s="12" t="s">
        <v>9</v>
      </c>
      <c r="G5512" s="5" t="s">
        <v>30</v>
      </c>
    </row>
    <row r="5513" spans="1:7" x14ac:dyDescent="0.25">
      <c r="A5513" s="17"/>
      <c r="B5513" s="12" t="s">
        <v>5193</v>
      </c>
      <c r="C5513" s="12" t="s">
        <v>28</v>
      </c>
      <c r="D5513" s="12" t="s">
        <v>29</v>
      </c>
      <c r="E5513" s="12" t="s">
        <v>30</v>
      </c>
      <c r="F5513" s="12" t="s">
        <v>9</v>
      </c>
      <c r="G5513" s="5" t="s">
        <v>30</v>
      </c>
    </row>
    <row r="5514" spans="1:7" x14ac:dyDescent="0.25">
      <c r="A5514" s="17"/>
      <c r="B5514" s="12" t="s">
        <v>5194</v>
      </c>
      <c r="C5514" s="12" t="s">
        <v>28</v>
      </c>
      <c r="D5514" s="12" t="s">
        <v>29</v>
      </c>
      <c r="E5514" s="12" t="s">
        <v>30</v>
      </c>
      <c r="F5514" s="12" t="s">
        <v>9</v>
      </c>
      <c r="G5514" s="5" t="s">
        <v>30</v>
      </c>
    </row>
    <row r="5515" spans="1:7" x14ac:dyDescent="0.25">
      <c r="A5515" s="17"/>
      <c r="B5515" s="12" t="s">
        <v>5195</v>
      </c>
      <c r="C5515" s="12" t="s">
        <v>28</v>
      </c>
      <c r="D5515" s="12" t="s">
        <v>29</v>
      </c>
      <c r="E5515" s="12" t="s">
        <v>30</v>
      </c>
      <c r="F5515" s="12" t="s">
        <v>9</v>
      </c>
      <c r="G5515" s="5" t="s">
        <v>30</v>
      </c>
    </row>
    <row r="5516" spans="1:7" x14ac:dyDescent="0.25">
      <c r="A5516" s="17"/>
      <c r="B5516" s="12" t="s">
        <v>5196</v>
      </c>
      <c r="C5516" s="12" t="s">
        <v>18</v>
      </c>
      <c r="D5516" s="12" t="s">
        <v>19</v>
      </c>
      <c r="E5516" s="12" t="s">
        <v>20</v>
      </c>
      <c r="F5516" s="12" t="s">
        <v>21</v>
      </c>
      <c r="G5516" s="5" t="s">
        <v>20</v>
      </c>
    </row>
    <row r="5517" spans="1:7" x14ac:dyDescent="0.25">
      <c r="A5517" s="17"/>
      <c r="B5517" s="12" t="s">
        <v>5197</v>
      </c>
      <c r="C5517" s="12" t="s">
        <v>28</v>
      </c>
      <c r="D5517" s="12" t="s">
        <v>29</v>
      </c>
      <c r="E5517" s="12" t="s">
        <v>30</v>
      </c>
      <c r="F5517" s="12" t="s">
        <v>9</v>
      </c>
      <c r="G5517" s="5" t="s">
        <v>30</v>
      </c>
    </row>
    <row r="5518" spans="1:7" x14ac:dyDescent="0.25">
      <c r="A5518" s="17"/>
      <c r="B5518" s="12" t="s">
        <v>5198</v>
      </c>
      <c r="C5518" s="12" t="s">
        <v>14</v>
      </c>
      <c r="D5518" s="12" t="s">
        <v>15</v>
      </c>
      <c r="E5518" s="12" t="s">
        <v>16</v>
      </c>
      <c r="F5518" s="12" t="s">
        <v>14</v>
      </c>
      <c r="G5518" s="5" t="s">
        <v>16</v>
      </c>
    </row>
    <row r="5519" spans="1:7" x14ac:dyDescent="0.25">
      <c r="A5519" s="17"/>
      <c r="B5519" s="12" t="s">
        <v>5199</v>
      </c>
      <c r="C5519" s="12" t="s">
        <v>6</v>
      </c>
      <c r="D5519" s="12" t="s">
        <v>7</v>
      </c>
      <c r="E5519" s="12" t="s">
        <v>8</v>
      </c>
      <c r="F5519" s="12" t="s">
        <v>9</v>
      </c>
      <c r="G5519" s="5" t="s">
        <v>8</v>
      </c>
    </row>
    <row r="5520" spans="1:7" x14ac:dyDescent="0.25">
      <c r="A5520" s="17"/>
      <c r="B5520" s="12" t="s">
        <v>5200</v>
      </c>
      <c r="C5520" s="12" t="s">
        <v>18</v>
      </c>
      <c r="D5520" s="12" t="s">
        <v>19</v>
      </c>
      <c r="E5520" s="12" t="s">
        <v>20</v>
      </c>
      <c r="F5520" s="12" t="s">
        <v>21</v>
      </c>
      <c r="G5520" s="5" t="s">
        <v>20</v>
      </c>
    </row>
    <row r="5521" spans="1:7" x14ac:dyDescent="0.25">
      <c r="A5521" s="17"/>
      <c r="B5521" s="12" t="s">
        <v>5201</v>
      </c>
      <c r="C5521" s="12" t="s">
        <v>28</v>
      </c>
      <c r="D5521" s="12" t="s">
        <v>29</v>
      </c>
      <c r="E5521" s="12" t="s">
        <v>30</v>
      </c>
      <c r="F5521" s="12" t="s">
        <v>9</v>
      </c>
      <c r="G5521" s="5" t="s">
        <v>30</v>
      </c>
    </row>
    <row r="5522" spans="1:7" x14ac:dyDescent="0.25">
      <c r="A5522" s="17"/>
      <c r="B5522" s="12" t="s">
        <v>5202</v>
      </c>
      <c r="C5522" s="12" t="s">
        <v>28</v>
      </c>
      <c r="D5522" s="12" t="s">
        <v>29</v>
      </c>
      <c r="E5522" s="12" t="s">
        <v>30</v>
      </c>
      <c r="F5522" s="12" t="s">
        <v>9</v>
      </c>
      <c r="G5522" s="5" t="s">
        <v>30</v>
      </c>
    </row>
    <row r="5523" spans="1:7" x14ac:dyDescent="0.25">
      <c r="A5523" s="17"/>
      <c r="B5523" s="12" t="s">
        <v>5203</v>
      </c>
      <c r="C5523" s="12" t="s">
        <v>28</v>
      </c>
      <c r="D5523" s="12" t="s">
        <v>29</v>
      </c>
      <c r="E5523" s="12" t="s">
        <v>30</v>
      </c>
      <c r="F5523" s="12" t="s">
        <v>9</v>
      </c>
      <c r="G5523" s="5" t="s">
        <v>30</v>
      </c>
    </row>
    <row r="5524" spans="1:7" x14ac:dyDescent="0.25">
      <c r="A5524" s="17"/>
      <c r="B5524" s="12" t="s">
        <v>5204</v>
      </c>
      <c r="C5524" s="12" t="s">
        <v>28</v>
      </c>
      <c r="D5524" s="12" t="s">
        <v>29</v>
      </c>
      <c r="E5524" s="12" t="s">
        <v>30</v>
      </c>
      <c r="F5524" s="12" t="s">
        <v>9</v>
      </c>
      <c r="G5524" s="5" t="s">
        <v>30</v>
      </c>
    </row>
    <row r="5525" spans="1:7" x14ac:dyDescent="0.25">
      <c r="A5525" s="17"/>
      <c r="B5525" s="12" t="s">
        <v>5205</v>
      </c>
      <c r="C5525" s="12" t="s">
        <v>28</v>
      </c>
      <c r="D5525" s="12" t="s">
        <v>29</v>
      </c>
      <c r="E5525" s="12" t="s">
        <v>30</v>
      </c>
      <c r="F5525" s="12" t="s">
        <v>9</v>
      </c>
      <c r="G5525" s="5" t="s">
        <v>30</v>
      </c>
    </row>
    <row r="5526" spans="1:7" x14ac:dyDescent="0.25">
      <c r="A5526" s="17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</row>
    <row r="5527" spans="1:7" x14ac:dyDescent="0.25">
      <c r="A5527" s="17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</row>
    <row r="5528" spans="1:7" x14ac:dyDescent="0.25">
      <c r="A5528" s="17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</row>
    <row r="5529" spans="1:7" x14ac:dyDescent="0.25">
      <c r="A5529" s="17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</row>
    <row r="5530" spans="1:7" x14ac:dyDescent="0.25">
      <c r="A5530" s="17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</row>
    <row r="5531" spans="1:7" x14ac:dyDescent="0.25">
      <c r="A5531" s="17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</row>
    <row r="5532" spans="1:7" x14ac:dyDescent="0.25">
      <c r="A5532" s="17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</row>
    <row r="5533" spans="1:7" x14ac:dyDescent="0.25">
      <c r="A5533" s="17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</row>
    <row r="5534" spans="1:7" x14ac:dyDescent="0.25">
      <c r="A5534" s="17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</row>
    <row r="5535" spans="1:7" x14ac:dyDescent="0.25">
      <c r="A5535" s="17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</row>
    <row r="5536" spans="1:7" x14ac:dyDescent="0.25">
      <c r="A5536" s="17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</row>
    <row r="5537" spans="1:7" x14ac:dyDescent="0.25">
      <c r="A5537" s="17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</row>
    <row r="5538" spans="1:7" x14ac:dyDescent="0.25">
      <c r="A5538" s="17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</row>
    <row r="5539" spans="1:7" x14ac:dyDescent="0.25">
      <c r="A5539" s="17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</row>
    <row r="5540" spans="1:7" x14ac:dyDescent="0.25">
      <c r="A5540" s="17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</row>
    <row r="5541" spans="1:7" x14ac:dyDescent="0.25">
      <c r="A5541" s="17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</row>
    <row r="5542" spans="1:7" x14ac:dyDescent="0.25">
      <c r="A5542" s="17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</row>
    <row r="5543" spans="1:7" x14ac:dyDescent="0.25">
      <c r="A5543" s="17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</row>
    <row r="5544" spans="1:7" x14ac:dyDescent="0.25">
      <c r="A5544" s="17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</row>
    <row r="5545" spans="1:7" x14ac:dyDescent="0.25">
      <c r="A5545" s="17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</row>
    <row r="5546" spans="1:7" x14ac:dyDescent="0.25">
      <c r="A5546" s="17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</row>
    <row r="5547" spans="1:7" x14ac:dyDescent="0.25">
      <c r="A5547" s="17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</row>
    <row r="5548" spans="1:7" x14ac:dyDescent="0.25">
      <c r="A5548" s="17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</row>
    <row r="5549" spans="1:7" x14ac:dyDescent="0.25">
      <c r="A5549" s="17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</row>
    <row r="5550" spans="1:7" x14ac:dyDescent="0.25">
      <c r="A5550" s="17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</row>
    <row r="5551" spans="1:7" x14ac:dyDescent="0.25">
      <c r="A5551" s="17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</row>
    <row r="5552" spans="1:7" x14ac:dyDescent="0.25">
      <c r="A5552" s="17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</row>
    <row r="5553" spans="1:7" x14ac:dyDescent="0.25">
      <c r="A5553" s="17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</row>
    <row r="5554" spans="1:7" x14ac:dyDescent="0.25">
      <c r="A5554" s="17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</row>
    <row r="5555" spans="1:7" x14ac:dyDescent="0.25">
      <c r="A5555" s="17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</row>
    <row r="5556" spans="1:7" x14ac:dyDescent="0.25">
      <c r="A5556" s="17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</row>
    <row r="5557" spans="1:7" x14ac:dyDescent="0.25">
      <c r="A5557" s="17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</row>
    <row r="5558" spans="1:7" x14ac:dyDescent="0.25">
      <c r="A5558" s="17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</row>
    <row r="5559" spans="1:7" x14ac:dyDescent="0.25">
      <c r="A5559" s="17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</row>
    <row r="5560" spans="1:7" x14ac:dyDescent="0.25">
      <c r="A5560" s="17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</row>
    <row r="5561" spans="1:7" x14ac:dyDescent="0.25">
      <c r="A5561" s="17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</row>
    <row r="5562" spans="1:7" x14ac:dyDescent="0.25">
      <c r="A5562" s="17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</row>
    <row r="5563" spans="1:7" x14ac:dyDescent="0.25">
      <c r="A5563" s="17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</row>
    <row r="5564" spans="1:7" x14ac:dyDescent="0.25">
      <c r="A5564" s="17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</row>
    <row r="5565" spans="1:7" x14ac:dyDescent="0.25">
      <c r="A5565" s="17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</row>
    <row r="5566" spans="1:7" x14ac:dyDescent="0.25">
      <c r="A5566" s="17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</row>
    <row r="5567" spans="1:7" x14ac:dyDescent="0.25">
      <c r="A5567" s="17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</row>
    <row r="5568" spans="1:7" x14ac:dyDescent="0.25">
      <c r="A5568" s="17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</row>
    <row r="5569" spans="1:7" x14ac:dyDescent="0.25">
      <c r="A5569" s="17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</row>
    <row r="5570" spans="1:7" x14ac:dyDescent="0.25">
      <c r="A5570" s="17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</row>
    <row r="5571" spans="1:7" x14ac:dyDescent="0.25">
      <c r="A5571" s="17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</row>
    <row r="5572" spans="1:7" x14ac:dyDescent="0.25">
      <c r="A5572" s="17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</row>
    <row r="5573" spans="1:7" x14ac:dyDescent="0.25">
      <c r="A5573" s="17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</row>
    <row r="5574" spans="1:7" x14ac:dyDescent="0.25">
      <c r="A5574" s="17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</row>
    <row r="5575" spans="1:7" x14ac:dyDescent="0.25">
      <c r="A5575" s="17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</row>
    <row r="5576" spans="1:7" x14ac:dyDescent="0.25">
      <c r="A5576" s="17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</row>
    <row r="5577" spans="1:7" x14ac:dyDescent="0.25">
      <c r="A5577" s="17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</row>
    <row r="5578" spans="1:7" x14ac:dyDescent="0.25">
      <c r="A5578" s="17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</row>
    <row r="5579" spans="1:7" x14ac:dyDescent="0.25">
      <c r="A5579" s="17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</row>
    <row r="5580" spans="1:7" x14ac:dyDescent="0.25">
      <c r="A5580" s="17"/>
      <c r="B5580" s="4" t="s">
        <v>5260</v>
      </c>
      <c r="C5580" s="4" t="s">
        <v>18</v>
      </c>
      <c r="D5580" s="4" t="s">
        <v>19</v>
      </c>
      <c r="E5580" s="4" t="s">
        <v>20</v>
      </c>
      <c r="F5580" s="4" t="s">
        <v>21</v>
      </c>
      <c r="G5580" s="5" t="s">
        <v>20</v>
      </c>
    </row>
    <row r="5581" spans="1:7" x14ac:dyDescent="0.25">
      <c r="A5581" s="17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</row>
    <row r="5582" spans="1:7" x14ac:dyDescent="0.25">
      <c r="A5582" s="17"/>
      <c r="B5582" s="4" t="s">
        <v>5262</v>
      </c>
      <c r="C5582" s="4" t="s">
        <v>14</v>
      </c>
      <c r="D5582" s="4" t="s">
        <v>15</v>
      </c>
      <c r="E5582" s="4" t="s">
        <v>16</v>
      </c>
      <c r="F5582" s="4" t="s">
        <v>14</v>
      </c>
      <c r="G5582" s="5" t="s">
        <v>16</v>
      </c>
    </row>
    <row r="5583" spans="1:7" x14ac:dyDescent="0.25">
      <c r="A5583" s="17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</row>
    <row r="5584" spans="1:7" x14ac:dyDescent="0.25">
      <c r="A5584" s="17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</row>
    <row r="5585" spans="1:7" x14ac:dyDescent="0.25">
      <c r="A5585" s="17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</row>
    <row r="5586" spans="1:7" x14ac:dyDescent="0.25">
      <c r="A5586" s="17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</row>
    <row r="5587" spans="1:7" x14ac:dyDescent="0.25">
      <c r="A5587" s="17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">
        <v>163</v>
      </c>
    </row>
    <row r="5588" spans="1:7" x14ac:dyDescent="0.25">
      <c r="A5588" s="17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</row>
    <row r="5589" spans="1:7" x14ac:dyDescent="0.25">
      <c r="A5589" s="17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</row>
    <row r="5590" spans="1:7" x14ac:dyDescent="0.25">
      <c r="A5590" s="17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</row>
    <row r="5591" spans="1:7" x14ac:dyDescent="0.25">
      <c r="A5591" s="17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</row>
    <row r="5592" spans="1:7" x14ac:dyDescent="0.25">
      <c r="A5592" s="17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</row>
    <row r="5593" spans="1:7" x14ac:dyDescent="0.25">
      <c r="A5593" s="17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</row>
    <row r="5594" spans="1:7" x14ac:dyDescent="0.25">
      <c r="A5594" s="17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</row>
    <row r="5595" spans="1:7" x14ac:dyDescent="0.25">
      <c r="A5595" s="17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</row>
    <row r="5596" spans="1:7" x14ac:dyDescent="0.25">
      <c r="A5596" s="17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</row>
    <row r="5597" spans="1:7" x14ac:dyDescent="0.25">
      <c r="A5597" s="17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</row>
    <row r="5598" spans="1:7" x14ac:dyDescent="0.25">
      <c r="A5598" s="17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</row>
    <row r="5599" spans="1:7" x14ac:dyDescent="0.25">
      <c r="A5599" s="17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</row>
    <row r="5600" spans="1:7" x14ac:dyDescent="0.25">
      <c r="A5600" s="17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</row>
    <row r="5601" spans="1:7" x14ac:dyDescent="0.25">
      <c r="A5601" s="17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</row>
    <row r="5602" spans="1:7" x14ac:dyDescent="0.25">
      <c r="A5602" s="17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</row>
    <row r="5603" spans="1:7" x14ac:dyDescent="0.25">
      <c r="A5603" s="17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</row>
    <row r="5604" spans="1:7" x14ac:dyDescent="0.25">
      <c r="A5604" s="17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</row>
    <row r="5605" spans="1:7" x14ac:dyDescent="0.25">
      <c r="A5605" s="17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</row>
    <row r="5606" spans="1:7" x14ac:dyDescent="0.25">
      <c r="A5606" s="17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</row>
    <row r="5607" spans="1:7" x14ac:dyDescent="0.25">
      <c r="A5607" s="17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</row>
    <row r="5608" spans="1:7" x14ac:dyDescent="0.25">
      <c r="A5608" s="17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</row>
    <row r="5609" spans="1:7" x14ac:dyDescent="0.25">
      <c r="A5609" s="17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</row>
    <row r="5610" spans="1:7" x14ac:dyDescent="0.25">
      <c r="A5610" s="17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</row>
    <row r="5611" spans="1:7" x14ac:dyDescent="0.25">
      <c r="A5611" s="17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</row>
    <row r="5612" spans="1:7" x14ac:dyDescent="0.25">
      <c r="A5612" s="17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</row>
    <row r="5613" spans="1:7" x14ac:dyDescent="0.25">
      <c r="A5613" s="17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</row>
    <row r="5614" spans="1:7" x14ac:dyDescent="0.25">
      <c r="A5614" s="17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</row>
    <row r="5615" spans="1:7" x14ac:dyDescent="0.25">
      <c r="A5615" s="17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</row>
    <row r="5616" spans="1:7" x14ac:dyDescent="0.25">
      <c r="A5616" s="17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</row>
    <row r="5617" spans="1:7" x14ac:dyDescent="0.25">
      <c r="A5617" s="17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</row>
    <row r="5618" spans="1:7" x14ac:dyDescent="0.25">
      <c r="A5618" s="17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</row>
    <row r="5619" spans="1:7" x14ac:dyDescent="0.25">
      <c r="A5619" s="17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</row>
    <row r="5620" spans="1:7" x14ac:dyDescent="0.25">
      <c r="A5620" s="17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</row>
    <row r="5621" spans="1:7" x14ac:dyDescent="0.25">
      <c r="A5621" s="17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</row>
    <row r="5622" spans="1:7" x14ac:dyDescent="0.25">
      <c r="A5622" s="17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</row>
    <row r="5623" spans="1:7" x14ac:dyDescent="0.25">
      <c r="A5623" s="17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</row>
    <row r="5624" spans="1:7" x14ac:dyDescent="0.25">
      <c r="A5624" s="17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</row>
    <row r="5625" spans="1:7" x14ac:dyDescent="0.25">
      <c r="A5625" s="17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</row>
    <row r="5626" spans="1:7" x14ac:dyDescent="0.25">
      <c r="A5626" s="17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</row>
    <row r="5627" spans="1:7" x14ac:dyDescent="0.25">
      <c r="A5627" s="17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</row>
    <row r="5628" spans="1:7" x14ac:dyDescent="0.25">
      <c r="A5628" s="17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</row>
    <row r="5629" spans="1:7" x14ac:dyDescent="0.25">
      <c r="A5629" s="17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</row>
    <row r="5630" spans="1:7" x14ac:dyDescent="0.25">
      <c r="A5630" s="17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20</v>
      </c>
    </row>
    <row r="5631" spans="1:7" x14ac:dyDescent="0.25">
      <c r="A5631" s="17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</row>
    <row r="5632" spans="1:7" x14ac:dyDescent="0.25">
      <c r="A5632" s="17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</row>
    <row r="5633" spans="1:7" x14ac:dyDescent="0.25">
      <c r="A5633" s="17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</row>
    <row r="5634" spans="1:7" x14ac:dyDescent="0.25">
      <c r="A5634" s="17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</row>
    <row r="5635" spans="1:7" x14ac:dyDescent="0.25">
      <c r="A5635" s="17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</row>
    <row r="5636" spans="1:7" x14ac:dyDescent="0.25">
      <c r="A5636" s="17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</row>
    <row r="5637" spans="1:7" x14ac:dyDescent="0.25">
      <c r="A5637" s="17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</row>
    <row r="5638" spans="1:7" x14ac:dyDescent="0.25">
      <c r="A5638" s="17"/>
      <c r="B5638" s="4" t="s">
        <v>5318</v>
      </c>
      <c r="C5638" s="4" t="s">
        <v>35</v>
      </c>
      <c r="D5638" s="4" t="s">
        <v>35</v>
      </c>
      <c r="E5638" s="4" t="s">
        <v>163</v>
      </c>
      <c r="F5638" s="4" t="s">
        <v>21</v>
      </c>
      <c r="G5638" s="5" t="s">
        <v>20</v>
      </c>
    </row>
    <row r="5639" spans="1:7" x14ac:dyDescent="0.25">
      <c r="A5639" s="17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</row>
    <row r="5640" spans="1:7" x14ac:dyDescent="0.25">
      <c r="A5640" s="17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</row>
    <row r="5641" spans="1:7" x14ac:dyDescent="0.25">
      <c r="A5641" s="17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</row>
    <row r="5642" spans="1:7" x14ac:dyDescent="0.25">
      <c r="A5642" s="17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</row>
    <row r="5643" spans="1:7" x14ac:dyDescent="0.25">
      <c r="A5643" s="17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</row>
    <row r="5644" spans="1:7" x14ac:dyDescent="0.25">
      <c r="A5644" s="17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</row>
    <row r="5645" spans="1:7" x14ac:dyDescent="0.25">
      <c r="A5645" s="17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</row>
    <row r="5646" spans="1:7" x14ac:dyDescent="0.25">
      <c r="A5646" s="17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</row>
    <row r="5647" spans="1:7" x14ac:dyDescent="0.25">
      <c r="A5647" s="17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</row>
    <row r="5648" spans="1:7" x14ac:dyDescent="0.25">
      <c r="A5648" s="17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</row>
    <row r="5649" spans="1:7" x14ac:dyDescent="0.25">
      <c r="A5649" s="17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</row>
    <row r="5650" spans="1:7" x14ac:dyDescent="0.25">
      <c r="A5650" s="17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</row>
    <row r="5651" spans="1:7" x14ac:dyDescent="0.25">
      <c r="A5651" s="17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</row>
    <row r="5652" spans="1:7" x14ac:dyDescent="0.25">
      <c r="A5652" s="17"/>
      <c r="B5652" s="4" t="s">
        <v>5332</v>
      </c>
      <c r="C5652" s="4" t="s">
        <v>14</v>
      </c>
      <c r="D5652" s="4" t="s">
        <v>15</v>
      </c>
      <c r="E5652" s="4" t="s">
        <v>16</v>
      </c>
      <c r="F5652" s="4" t="s">
        <v>14</v>
      </c>
      <c r="G5652" s="5" t="s">
        <v>16</v>
      </c>
    </row>
    <row r="5653" spans="1:7" x14ac:dyDescent="0.25">
      <c r="A5653" s="17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</row>
    <row r="5654" spans="1:7" x14ac:dyDescent="0.25">
      <c r="A5654" s="17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</row>
    <row r="5655" spans="1:7" x14ac:dyDescent="0.25">
      <c r="A5655" s="17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</row>
    <row r="5656" spans="1:7" x14ac:dyDescent="0.25">
      <c r="A5656" s="17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</row>
    <row r="5657" spans="1:7" x14ac:dyDescent="0.25">
      <c r="A5657" s="17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</row>
    <row r="5658" spans="1:7" x14ac:dyDescent="0.25">
      <c r="A5658" s="17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</row>
    <row r="5659" spans="1:7" x14ac:dyDescent="0.25">
      <c r="A5659" s="17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</row>
    <row r="5660" spans="1:7" x14ac:dyDescent="0.25">
      <c r="A5660" s="17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</row>
    <row r="5661" spans="1:7" x14ac:dyDescent="0.25">
      <c r="A5661" s="17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</row>
    <row r="5662" spans="1:7" x14ac:dyDescent="0.25">
      <c r="A5662" s="17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</row>
    <row r="5663" spans="1:7" x14ac:dyDescent="0.25">
      <c r="A5663" s="17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</row>
    <row r="5664" spans="1:7" x14ac:dyDescent="0.25">
      <c r="A5664" s="17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</row>
    <row r="5665" spans="1:7" x14ac:dyDescent="0.25">
      <c r="A5665" s="17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</row>
    <row r="5666" spans="1:7" x14ac:dyDescent="0.25">
      <c r="A5666" s="17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</row>
    <row r="5667" spans="1:7" x14ac:dyDescent="0.25">
      <c r="A5667" s="17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</row>
    <row r="5668" spans="1:7" x14ac:dyDescent="0.25">
      <c r="A5668" s="17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</row>
    <row r="5669" spans="1:7" x14ac:dyDescent="0.25">
      <c r="A5669" s="17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</row>
    <row r="5670" spans="1:7" x14ac:dyDescent="0.25">
      <c r="A5670" s="17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</row>
    <row r="5671" spans="1:7" x14ac:dyDescent="0.25">
      <c r="A5671" s="17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</row>
    <row r="5672" spans="1:7" x14ac:dyDescent="0.25">
      <c r="A5672" s="17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</row>
    <row r="5673" spans="1:7" x14ac:dyDescent="0.25">
      <c r="A5673" s="17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</row>
    <row r="5674" spans="1:7" x14ac:dyDescent="0.25">
      <c r="A5674" s="17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</row>
    <row r="5675" spans="1:7" x14ac:dyDescent="0.25">
      <c r="A5675" s="17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</row>
    <row r="5676" spans="1:7" x14ac:dyDescent="0.25">
      <c r="A5676" s="17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</row>
    <row r="5677" spans="1:7" x14ac:dyDescent="0.25">
      <c r="A5677" s="17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</row>
    <row r="5678" spans="1:7" x14ac:dyDescent="0.25">
      <c r="A5678" s="17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">
        <v>57</v>
      </c>
    </row>
    <row r="5679" spans="1:7" x14ac:dyDescent="0.25">
      <c r="A5679" s="17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">
        <v>36</v>
      </c>
    </row>
    <row r="5680" spans="1:7" x14ac:dyDescent="0.25">
      <c r="A5680" s="17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</row>
    <row r="5681" spans="1:7" x14ac:dyDescent="0.25">
      <c r="A5681" s="17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</row>
    <row r="5682" spans="1:7" x14ac:dyDescent="0.25">
      <c r="A5682" s="17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</row>
    <row r="5683" spans="1:7" x14ac:dyDescent="0.25">
      <c r="A5683" s="17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</row>
    <row r="5684" spans="1:7" x14ac:dyDescent="0.25">
      <c r="A5684" s="17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</row>
    <row r="5685" spans="1:7" x14ac:dyDescent="0.25">
      <c r="A5685" s="17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</row>
    <row r="5686" spans="1:7" x14ac:dyDescent="0.25">
      <c r="A5686" s="17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163</v>
      </c>
    </row>
    <row r="5687" spans="1:7" x14ac:dyDescent="0.25">
      <c r="A5687" s="17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</row>
    <row r="5688" spans="1:7" x14ac:dyDescent="0.25">
      <c r="A5688" s="17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</row>
    <row r="5689" spans="1:7" x14ac:dyDescent="0.25">
      <c r="A5689" s="17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16</v>
      </c>
    </row>
    <row r="5690" spans="1:7" x14ac:dyDescent="0.25">
      <c r="A5690" s="17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</row>
    <row r="5691" spans="1:7" x14ac:dyDescent="0.25">
      <c r="A5691" s="17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</row>
    <row r="5692" spans="1:7" x14ac:dyDescent="0.25">
      <c r="A5692" s="17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</row>
    <row r="5693" spans="1:7" x14ac:dyDescent="0.25">
      <c r="A5693" s="17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</row>
    <row r="5694" spans="1:7" x14ac:dyDescent="0.25">
      <c r="A5694" s="17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</row>
    <row r="5695" spans="1:7" x14ac:dyDescent="0.25">
      <c r="A5695" s="17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</row>
    <row r="5696" spans="1:7" x14ac:dyDescent="0.25">
      <c r="A5696" s="17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</row>
    <row r="5697" spans="1:7" x14ac:dyDescent="0.25">
      <c r="A5697" s="17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</row>
    <row r="5698" spans="1:7" x14ac:dyDescent="0.25">
      <c r="A5698" s="17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</row>
    <row r="5699" spans="1:7" x14ac:dyDescent="0.25">
      <c r="A5699" s="17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</row>
    <row r="5700" spans="1:7" x14ac:dyDescent="0.25">
      <c r="A5700" s="17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</row>
    <row r="5701" spans="1:7" x14ac:dyDescent="0.25">
      <c r="A5701" s="17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</row>
    <row r="5702" spans="1:7" x14ac:dyDescent="0.25">
      <c r="A5702" s="17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</row>
    <row r="5703" spans="1:7" x14ac:dyDescent="0.25">
      <c r="A5703" s="17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</row>
    <row r="5704" spans="1:7" x14ac:dyDescent="0.25">
      <c r="A5704" s="17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</row>
    <row r="5705" spans="1:7" x14ac:dyDescent="0.25">
      <c r="A5705" s="17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</row>
    <row r="5706" spans="1:7" x14ac:dyDescent="0.25">
      <c r="A5706" s="17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</row>
    <row r="5707" spans="1:7" x14ac:dyDescent="0.25">
      <c r="A5707" s="17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</row>
    <row r="5708" spans="1:7" x14ac:dyDescent="0.25">
      <c r="A5708" s="17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</row>
    <row r="5709" spans="1:7" x14ac:dyDescent="0.25">
      <c r="A5709" s="17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</row>
    <row r="5710" spans="1:7" x14ac:dyDescent="0.25">
      <c r="A5710" s="17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</row>
    <row r="5711" spans="1:7" x14ac:dyDescent="0.25">
      <c r="A5711" s="17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</row>
    <row r="5712" spans="1:7" x14ac:dyDescent="0.25">
      <c r="A5712" s="17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</row>
    <row r="5713" spans="1:7" x14ac:dyDescent="0.25">
      <c r="A5713" s="17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</row>
    <row r="5714" spans="1:7" x14ac:dyDescent="0.25">
      <c r="A5714" s="17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</row>
    <row r="5715" spans="1:7" x14ac:dyDescent="0.25">
      <c r="A5715" s="17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</row>
    <row r="5716" spans="1:7" x14ac:dyDescent="0.25">
      <c r="A5716" s="17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</row>
    <row r="5717" spans="1:7" x14ac:dyDescent="0.25">
      <c r="A5717" s="17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</row>
    <row r="5718" spans="1:7" x14ac:dyDescent="0.25">
      <c r="A5718" s="17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</row>
    <row r="5719" spans="1:7" x14ac:dyDescent="0.25">
      <c r="A5719" s="17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</row>
    <row r="5720" spans="1:7" x14ac:dyDescent="0.25">
      <c r="A5720" s="17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</row>
    <row r="5721" spans="1:7" x14ac:dyDescent="0.25">
      <c r="A5721" s="17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</row>
    <row r="5722" spans="1:7" x14ac:dyDescent="0.25">
      <c r="A5722" s="17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</row>
    <row r="5723" spans="1:7" x14ac:dyDescent="0.25">
      <c r="A5723" s="17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</row>
    <row r="5724" spans="1:7" x14ac:dyDescent="0.25">
      <c r="A5724" s="17"/>
      <c r="B5724" s="4" t="s">
        <v>5404</v>
      </c>
      <c r="C5724" s="4" t="s">
        <v>14</v>
      </c>
      <c r="D5724" s="4" t="s">
        <v>15</v>
      </c>
      <c r="E5724" s="4" t="s">
        <v>16</v>
      </c>
      <c r="F5724" s="4" t="s">
        <v>14</v>
      </c>
      <c r="G5724" s="5" t="s">
        <v>16</v>
      </c>
    </row>
    <row r="5725" spans="1:7" x14ac:dyDescent="0.25">
      <c r="A5725" s="17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</row>
    <row r="5726" spans="1:7" x14ac:dyDescent="0.25">
      <c r="A5726" s="17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</row>
    <row r="5727" spans="1:7" x14ac:dyDescent="0.25">
      <c r="A5727" s="17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</row>
    <row r="5728" spans="1:7" x14ac:dyDescent="0.25">
      <c r="A5728" s="17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</row>
    <row r="5729" spans="1:7" x14ac:dyDescent="0.25">
      <c r="A5729" s="17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</row>
    <row r="5730" spans="1:7" x14ac:dyDescent="0.25">
      <c r="A5730" s="17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</row>
    <row r="5731" spans="1:7" x14ac:dyDescent="0.25">
      <c r="A5731" s="17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">
        <v>26</v>
      </c>
    </row>
    <row r="5732" spans="1:7" x14ac:dyDescent="0.25">
      <c r="A5732" s="17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</row>
    <row r="5733" spans="1:7" x14ac:dyDescent="0.25">
      <c r="A5733" s="17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</row>
    <row r="5734" spans="1:7" x14ac:dyDescent="0.25">
      <c r="A5734" s="17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">
        <v>11</v>
      </c>
    </row>
    <row r="5735" spans="1:7" x14ac:dyDescent="0.25">
      <c r="A5735" s="17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</row>
    <row r="5736" spans="1:7" x14ac:dyDescent="0.25">
      <c r="A5736" s="17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</row>
    <row r="5737" spans="1:7" x14ac:dyDescent="0.25">
      <c r="A5737" s="17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</row>
    <row r="5738" spans="1:7" x14ac:dyDescent="0.25">
      <c r="A5738" s="17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</row>
    <row r="5739" spans="1:7" x14ac:dyDescent="0.25">
      <c r="A5739" s="17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</row>
    <row r="5740" spans="1:7" x14ac:dyDescent="0.25">
      <c r="A5740" s="17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</row>
    <row r="5741" spans="1:7" x14ac:dyDescent="0.25">
      <c r="A5741" s="17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</row>
    <row r="5742" spans="1:7" x14ac:dyDescent="0.25">
      <c r="A5742" s="17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</row>
    <row r="5743" spans="1:7" x14ac:dyDescent="0.25">
      <c r="A5743" s="17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</row>
    <row r="5744" spans="1:7" x14ac:dyDescent="0.25">
      <c r="A5744" s="17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</row>
    <row r="5745" spans="1:7" x14ac:dyDescent="0.25">
      <c r="A5745" s="17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</row>
    <row r="5746" spans="1:7" x14ac:dyDescent="0.25">
      <c r="A5746" s="17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</row>
    <row r="5747" spans="1:7" x14ac:dyDescent="0.25">
      <c r="A5747" s="17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</row>
    <row r="5748" spans="1:7" x14ac:dyDescent="0.25">
      <c r="A5748" s="17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</row>
    <row r="5749" spans="1:7" x14ac:dyDescent="0.25">
      <c r="A5749" s="17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</row>
    <row r="5750" spans="1:7" x14ac:dyDescent="0.25">
      <c r="A5750" s="17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</row>
    <row r="5751" spans="1:7" x14ac:dyDescent="0.25">
      <c r="A5751" s="17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</row>
    <row r="5752" spans="1:7" x14ac:dyDescent="0.25">
      <c r="A5752" s="17"/>
      <c r="B5752" s="4" t="s">
        <v>5431</v>
      </c>
      <c r="C5752" s="4" t="s">
        <v>14</v>
      </c>
      <c r="D5752" s="4" t="s">
        <v>15</v>
      </c>
      <c r="E5752" s="4" t="s">
        <v>263</v>
      </c>
      <c r="F5752" s="4" t="s">
        <v>14</v>
      </c>
      <c r="G5752" s="5" t="s">
        <v>263</v>
      </c>
    </row>
    <row r="5753" spans="1:7" x14ac:dyDescent="0.25">
      <c r="A5753" s="17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</row>
    <row r="5754" spans="1:7" x14ac:dyDescent="0.25">
      <c r="A5754" s="17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</row>
    <row r="5755" spans="1:7" x14ac:dyDescent="0.25">
      <c r="A5755" s="17"/>
      <c r="B5755" s="4" t="s">
        <v>5434</v>
      </c>
      <c r="C5755" s="4" t="s">
        <v>14</v>
      </c>
      <c r="D5755" s="4" t="s">
        <v>15</v>
      </c>
      <c r="E5755" s="4" t="s">
        <v>263</v>
      </c>
      <c r="F5755" s="4" t="s">
        <v>14</v>
      </c>
      <c r="G5755" s="5" t="s">
        <v>263</v>
      </c>
    </row>
    <row r="5756" spans="1:7" x14ac:dyDescent="0.25">
      <c r="A5756" s="17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</row>
    <row r="5757" spans="1:7" x14ac:dyDescent="0.25">
      <c r="A5757" s="17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</row>
    <row r="5758" spans="1:7" x14ac:dyDescent="0.25">
      <c r="A5758" s="17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</row>
    <row r="5759" spans="1:7" x14ac:dyDescent="0.25">
      <c r="A5759" s="17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</row>
    <row r="5760" spans="1:7" x14ac:dyDescent="0.25">
      <c r="A5760" s="17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</row>
    <row r="5761" spans="1:7" x14ac:dyDescent="0.25">
      <c r="A5761" s="17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</row>
    <row r="5762" spans="1:7" x14ac:dyDescent="0.25">
      <c r="A5762" s="17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</row>
    <row r="5763" spans="1:7" x14ac:dyDescent="0.25">
      <c r="A5763" s="17"/>
      <c r="B5763" s="4" t="s">
        <v>5442</v>
      </c>
      <c r="C5763" s="4" t="s">
        <v>14</v>
      </c>
      <c r="D5763" s="4" t="s">
        <v>15</v>
      </c>
      <c r="E5763" s="4" t="s">
        <v>16</v>
      </c>
      <c r="F5763" s="4" t="s">
        <v>14</v>
      </c>
      <c r="G5763" s="5" t="s">
        <v>16</v>
      </c>
    </row>
    <row r="5764" spans="1:7" x14ac:dyDescent="0.25">
      <c r="A5764" s="17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</row>
    <row r="5765" spans="1:7" x14ac:dyDescent="0.25">
      <c r="A5765" s="17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5901</v>
      </c>
    </row>
    <row r="5766" spans="1:7" x14ac:dyDescent="0.25">
      <c r="A5766" s="17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</row>
    <row r="5767" spans="1:7" x14ac:dyDescent="0.25">
      <c r="A5767" s="17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5901</v>
      </c>
    </row>
    <row r="5768" spans="1:7" x14ac:dyDescent="0.25">
      <c r="A5768" s="17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5901</v>
      </c>
    </row>
    <row r="5769" spans="1:7" x14ac:dyDescent="0.25">
      <c r="A5769" s="17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</row>
    <row r="5770" spans="1:7" x14ac:dyDescent="0.25">
      <c r="A5770" s="17"/>
      <c r="B5770" s="4" t="s">
        <v>5449</v>
      </c>
      <c r="C5770" s="4" t="s">
        <v>14</v>
      </c>
      <c r="D5770" s="4" t="s">
        <v>15</v>
      </c>
      <c r="E5770" s="4" t="s">
        <v>263</v>
      </c>
      <c r="F5770" s="4" t="s">
        <v>14</v>
      </c>
      <c r="G5770" s="5" t="s">
        <v>263</v>
      </c>
    </row>
    <row r="5771" spans="1:7" x14ac:dyDescent="0.25">
      <c r="A5771" s="17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</row>
    <row r="5772" spans="1:7" x14ac:dyDescent="0.25">
      <c r="A5772" s="17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</row>
    <row r="5773" spans="1:7" x14ac:dyDescent="0.25">
      <c r="A5773" s="17"/>
      <c r="B5773" s="4" t="s">
        <v>5452</v>
      </c>
      <c r="C5773" s="4" t="s">
        <v>14</v>
      </c>
      <c r="D5773" s="4" t="s">
        <v>15</v>
      </c>
      <c r="E5773" s="4" t="s">
        <v>16</v>
      </c>
      <c r="F5773" s="4" t="s">
        <v>14</v>
      </c>
      <c r="G5773" s="5" t="s">
        <v>16</v>
      </c>
    </row>
    <row r="5774" spans="1:7" x14ac:dyDescent="0.25">
      <c r="A5774" s="17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</row>
    <row r="5775" spans="1:7" x14ac:dyDescent="0.25">
      <c r="A5775" s="17"/>
      <c r="B5775" s="4" t="s">
        <v>5454</v>
      </c>
      <c r="C5775" s="4" t="s">
        <v>14</v>
      </c>
      <c r="D5775" s="4" t="s">
        <v>15</v>
      </c>
      <c r="E5775" s="4" t="s">
        <v>16</v>
      </c>
      <c r="F5775" s="4" t="s">
        <v>14</v>
      </c>
      <c r="G5775" s="5" t="s">
        <v>16</v>
      </c>
    </row>
    <row r="5776" spans="1:7" x14ac:dyDescent="0.25">
      <c r="A5776" s="17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</row>
    <row r="5777" spans="1:7" x14ac:dyDescent="0.25">
      <c r="A5777" s="17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</row>
    <row r="5778" spans="1:7" x14ac:dyDescent="0.25">
      <c r="A5778" s="17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</row>
    <row r="5779" spans="1:7" x14ac:dyDescent="0.25">
      <c r="A5779" s="17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</row>
    <row r="5780" spans="1:7" x14ac:dyDescent="0.25">
      <c r="A5780" s="17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</row>
    <row r="5781" spans="1:7" x14ac:dyDescent="0.25">
      <c r="A5781" s="17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</row>
    <row r="5782" spans="1:7" x14ac:dyDescent="0.25">
      <c r="A5782" s="17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</row>
    <row r="5783" spans="1:7" x14ac:dyDescent="0.25">
      <c r="A5783" s="17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</row>
    <row r="5784" spans="1:7" x14ac:dyDescent="0.25">
      <c r="A5784" s="17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11</v>
      </c>
    </row>
    <row r="5785" spans="1:7" x14ac:dyDescent="0.25">
      <c r="A5785" s="17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">
        <v>20</v>
      </c>
    </row>
    <row r="5786" spans="1:7" x14ac:dyDescent="0.25">
      <c r="A5786" s="17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</row>
    <row r="5787" spans="1:7" x14ac:dyDescent="0.25">
      <c r="A5787" s="17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</row>
    <row r="5788" spans="1:7" x14ac:dyDescent="0.25">
      <c r="A5788" s="17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</row>
    <row r="5789" spans="1:7" x14ac:dyDescent="0.25">
      <c r="A5789" s="17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11</v>
      </c>
    </row>
    <row r="5790" spans="1:7" x14ac:dyDescent="0.25">
      <c r="A5790" s="17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</row>
    <row r="5791" spans="1:7" x14ac:dyDescent="0.25">
      <c r="A5791" s="17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</row>
    <row r="5792" spans="1:7" x14ac:dyDescent="0.25">
      <c r="A5792" s="17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</row>
    <row r="5793" spans="1:7" x14ac:dyDescent="0.25">
      <c r="A5793" s="17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</row>
    <row r="5794" spans="1:7" x14ac:dyDescent="0.25">
      <c r="A5794" s="17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</row>
    <row r="5795" spans="1:7" x14ac:dyDescent="0.25">
      <c r="A5795" s="17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</row>
    <row r="5796" spans="1:7" x14ac:dyDescent="0.25">
      <c r="A5796" s="17"/>
      <c r="B5796" s="4" t="s">
        <v>5475</v>
      </c>
      <c r="C5796" s="4" t="s">
        <v>14</v>
      </c>
      <c r="D5796" s="4" t="s">
        <v>15</v>
      </c>
      <c r="E5796" s="4" t="s">
        <v>16</v>
      </c>
      <c r="F5796" s="4" t="s">
        <v>14</v>
      </c>
      <c r="G5796" s="5" t="s">
        <v>16</v>
      </c>
    </row>
    <row r="5797" spans="1:7" x14ac:dyDescent="0.25">
      <c r="A5797" s="17"/>
      <c r="B5797" s="4" t="s">
        <v>5476</v>
      </c>
      <c r="C5797" s="4" t="s">
        <v>14</v>
      </c>
      <c r="D5797" s="4" t="s">
        <v>15</v>
      </c>
      <c r="E5797" s="4" t="s">
        <v>16</v>
      </c>
      <c r="F5797" s="4" t="s">
        <v>14</v>
      </c>
      <c r="G5797" s="5" t="s">
        <v>16</v>
      </c>
    </row>
    <row r="5798" spans="1:7" x14ac:dyDescent="0.25">
      <c r="A5798" s="17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16</v>
      </c>
    </row>
    <row r="5799" spans="1:7" x14ac:dyDescent="0.25">
      <c r="A5799" s="17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</row>
    <row r="5800" spans="1:7" x14ac:dyDescent="0.25">
      <c r="A5800" s="17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16</v>
      </c>
    </row>
    <row r="5801" spans="1:7" x14ac:dyDescent="0.25">
      <c r="A5801" s="17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16</v>
      </c>
    </row>
    <row r="5802" spans="1:7" x14ac:dyDescent="0.25">
      <c r="A5802" s="17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16</v>
      </c>
    </row>
    <row r="5803" spans="1:7" x14ac:dyDescent="0.25">
      <c r="A5803" s="17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</row>
    <row r="5804" spans="1:7" x14ac:dyDescent="0.25">
      <c r="A5804" s="17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</row>
    <row r="5805" spans="1:7" x14ac:dyDescent="0.25">
      <c r="A5805" s="17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</row>
    <row r="5806" spans="1:7" x14ac:dyDescent="0.25">
      <c r="A5806" s="17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</row>
    <row r="5807" spans="1:7" x14ac:dyDescent="0.25">
      <c r="A5807" s="17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</row>
    <row r="5808" spans="1:7" x14ac:dyDescent="0.25">
      <c r="A5808" s="17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16</v>
      </c>
    </row>
    <row r="5809" spans="1:7" x14ac:dyDescent="0.25">
      <c r="A5809" s="17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</row>
    <row r="5810" spans="1:7" x14ac:dyDescent="0.25">
      <c r="A5810" s="17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</row>
    <row r="5811" spans="1:7" x14ac:dyDescent="0.25">
      <c r="A5811" s="17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</row>
    <row r="5812" spans="1:7" x14ac:dyDescent="0.25">
      <c r="A5812" s="17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</row>
    <row r="5813" spans="1:7" x14ac:dyDescent="0.25">
      <c r="A5813" s="17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</row>
    <row r="5814" spans="1:7" x14ac:dyDescent="0.25">
      <c r="A5814" s="17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</row>
    <row r="5815" spans="1:7" x14ac:dyDescent="0.25">
      <c r="A5815" s="17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</row>
    <row r="5816" spans="1:7" x14ac:dyDescent="0.25">
      <c r="A5816" s="17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</row>
    <row r="5817" spans="1:7" x14ac:dyDescent="0.25">
      <c r="A5817" s="17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</row>
    <row r="5818" spans="1:7" x14ac:dyDescent="0.25">
      <c r="A5818" s="17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</row>
    <row r="5819" spans="1:7" x14ac:dyDescent="0.25">
      <c r="A5819" s="17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</row>
    <row r="5820" spans="1:7" x14ac:dyDescent="0.25">
      <c r="A5820" s="17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</row>
    <row r="5821" spans="1:7" x14ac:dyDescent="0.25">
      <c r="A5821" s="17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16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Diciembre 2023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David Prado Nole</cp:lastModifiedBy>
  <dcterms:created xsi:type="dcterms:W3CDTF">2016-04-11T21:31:58Z</dcterms:created>
  <dcterms:modified xsi:type="dcterms:W3CDTF">2024-02-09T15:24:06Z</dcterms:modified>
</cp:coreProperties>
</file>